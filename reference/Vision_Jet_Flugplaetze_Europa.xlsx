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nahmen" sheetId="1" state="visible" r:id="rId3"/>
    <sheet name="Flugplätze Europ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<sst xmlns="http://schemas.openxmlformats.org/spreadsheetml/2006/main" count="5893" uniqueCount="3025">
  <si>
    <t xml:space="preserve">Cirrus SF50 Vision Jet G3 – Startstrecken-, Zuladungs- und Reichweitenanalyse</t>
  </si>
  <si>
    <t xml:space="preserve">Quelle Flugzeugdaten: cirrusaircraft.com/aircraft/vision-jet (Stand 07/2026) · Flugplatzdaten: OurAirports (Open Data)</t>
  </si>
  <si>
    <t xml:space="preserve">FLUGZEUGDATEN (Herstellerangaben)</t>
  </si>
  <si>
    <t xml:space="preserve">Max. Startmasse (MTOW)</t>
  </si>
  <si>
    <t xml:space="preserve">kg</t>
  </si>
  <si>
    <t xml:space="preserve">Leermasse (BEW, Standardausstattung)</t>
  </si>
  <si>
    <t xml:space="preserve">Max. Masse ohne Kraftstoff (MZFW)</t>
  </si>
  <si>
    <t xml:space="preserve">Max. ausfliegbarer Kraftstoff</t>
  </si>
  <si>
    <t xml:space="preserve">Max. Kraftstoff (Volumen)</t>
  </si>
  <si>
    <t xml:space="preserve">US gal</t>
  </si>
  <si>
    <t xml:space="preserve">Startstrecke über 15 m Hindernis (MSL, ISA, MTOW)</t>
  </si>
  <si>
    <t xml:space="preserve">m</t>
  </si>
  <si>
    <t xml:space="preserve">Startrollstrecke (MSL, ISA, MTOW)</t>
  </si>
  <si>
    <t xml:space="preserve">Landerollstrecke</t>
  </si>
  <si>
    <t xml:space="preserve">Max. Reisegeschwindigkeit</t>
  </si>
  <si>
    <t xml:space="preserve">KTAS</t>
  </si>
  <si>
    <t xml:space="preserve">Max. Reichweite (Herstellerangabe)</t>
  </si>
  <si>
    <t xml:space="preserve">NM</t>
  </si>
  <si>
    <t xml:space="preserve">ANNAHMEN (blau = frei änderbar)</t>
  </si>
  <si>
    <t xml:space="preserve">Masse je Person (inkl. Handgepäck)</t>
  </si>
  <si>
    <t xml:space="preserve">Gepäck je Person</t>
  </si>
  <si>
    <t xml:space="preserve">Sicherheits-/Temperaturzuschlag (ISA+15, nass, Marge)</t>
  </si>
  <si>
    <t xml:space="preserve">Faktor</t>
  </si>
  <si>
    <t xml:space="preserve">Höhenzuschlag je 1.000 ft Platzhöhe</t>
  </si>
  <si>
    <t xml:space="preserve">REICHWEITEN-PARAMETER</t>
  </si>
  <si>
    <t xml:space="preserve">Kraftstoff Rollen/Start</t>
  </si>
  <si>
    <t xml:space="preserve">gal</t>
  </si>
  <si>
    <t xml:space="preserve">Kraftstoff Steigflug auf FL310</t>
  </si>
  <si>
    <t xml:space="preserve">Im Steigflug zurückgelegte Strecke</t>
  </si>
  <si>
    <t xml:space="preserve">Reserve Sparflug (45 min + Anflug)</t>
  </si>
  <si>
    <t xml:space="preserve">Reserve Schnellflug (NBAA-nah)</t>
  </si>
  <si>
    <t xml:space="preserve">Sparflug (LRC): Geschwindigkeit</t>
  </si>
  <si>
    <t xml:space="preserve">Sparflug (LRC): Verbrauch</t>
  </si>
  <si>
    <t xml:space="preserve">gal/h</t>
  </si>
  <si>
    <t xml:space="preserve">Schnellflug FL310: Geschwindigkeit</t>
  </si>
  <si>
    <t xml:space="preserve">Schnellflug FL310: Verbrauch</t>
  </si>
  <si>
    <t xml:space="preserve">VARIANTEN – sortiert nach Startmasse aufsteigend</t>
  </si>
  <si>
    <t xml:space="preserve">Variante</t>
  </si>
  <si>
    <t xml:space="preserve">Pers.</t>
  </si>
  <si>
    <t xml:space="preserve">Gepäck (kg)</t>
  </si>
  <si>
    <t xml:space="preserve">Kraftstoff (kg)</t>
  </si>
  <si>
    <t xml:space="preserve">Kraftstoff (gal)</t>
  </si>
  <si>
    <t xml:space="preserve">Tankfüllung</t>
  </si>
  <si>
    <t xml:space="preserve">Startmasse (kg)</t>
  </si>
  <si>
    <t xml:space="preserve">ZFW (kg)</t>
  </si>
  <si>
    <t xml:space="preserve">MTOW ok?</t>
  </si>
  <si>
    <t xml:space="preserve">MZFW ok?</t>
  </si>
  <si>
    <t xml:space="preserve">Erf. Bahn MSL (m)</t>
  </si>
  <si>
    <t xml:space="preserve">Reichweite Sparflug (km)</t>
  </si>
  <si>
    <t xml:space="preserve">Reichweite Schnellflug (km)</t>
  </si>
  <si>
    <t xml:space="preserve">V1: 2 Personen, Tank wie V4 (64 %)</t>
  </si>
  <si>
    <t xml:space="preserve">V2: 2 Personen, maximal getankt</t>
  </si>
  <si>
    <t xml:space="preserve">V3: 4 Personen, maximal getankt</t>
  </si>
  <si>
    <t xml:space="preserve">V4: 6 Personen, maximal getankt</t>
  </si>
  <si>
    <t xml:space="preserve">Hinweise:</t>
  </si>
  <si>
    <t xml:space="preserve">• Spalten sind nach Startmasse aufsteigend sortiert; V2–V4 zugleich nach Reichweite absteigend.</t>
  </si>
  <si>
    <t xml:space="preserve">  V1 ist die Kurzbahn-Variante: gleiche Tankmenge wie V4, dadurch geringste Startmasse und kürzeste erforderliche Bahn.</t>
  </si>
  <si>
    <t xml:space="preserve">• Startstrecke skaliert näherungsweise mit (Startmasse/MTOW)^2.</t>
  </si>
  <si>
    <t xml:space="preserve">• Erf. Bahn = Startstrecke über 15 m Hindernis x (W/MTOW)^2 x Sicherheitsfaktor, im Flugplatzblatt zusätzlich x Höhenzuschlag.</t>
  </si>
  <si>
    <t xml:space="preserve">• Der Vision Jet benötigt eine befestigte Bahn (Asphalt/Beton); Grasplätze sind nicht zulässig.</t>
  </si>
  <si>
    <t xml:space="preserve">• Leermasse 1.610 kg = Herstellerangabe Standardausstattung; real ausgerüstete Maschinen wiegen oft 30–70 kg mehr.</t>
  </si>
  <si>
    <t xml:space="preserve">• Reichweite ist eine Überschlagsrechnung, kalibriert auf die Herstellerangabe 1.275 NM. Maßgeblich ist stets das AFM.</t>
  </si>
  <si>
    <t xml:space="preserve">• "6 Personen" = 6 Insassen inkl. Pilot.</t>
  </si>
  <si>
    <t xml:space="preserve">• ACHTUNG: Die Bahnlängen sind physische Pistenlängen. Deklarierte Startstrecken (TORA/TODA/ASDA/LDA) können deutlich kürzer sein –</t>
  </si>
  <si>
    <t xml:space="preserve">  Beispiel Speyer: 1.677 m gebaut, 1.400 m deklariert. Vor der Planung immer die AIP prüfen.</t>
  </si>
  <si>
    <t xml:space="preserve">• Flugplatzblatt: Schwelle 500 m Pistenlänge, gruppiert nach Land (51 europäische Länder/Territorien, Russland ausgenommen).</t>
  </si>
  <si>
    <t xml:space="preserve">• Reine Militärflugplätze ohne zivile Mitbenutzung sind ausgeschlossen (Namens-Heuristik, ggf. unvollständig).</t>
  </si>
  <si>
    <t xml:space="preserve">Flugplätze in Europa mit befestigter Bahn &gt; 500 m – Eignung für den Cirrus Vision Jet G3</t>
  </si>
  <si>
    <t xml:space="preserve">"ja" = Bahnlänge reicht inkl. Sicherheits- und Höhenzuschlag · Bahnlänge = physische Piste, deklarierte Werte (TORA/LDA) laut AIP prüfen · Russland nicht enthalten · reine Militärplätze ausgeschlossen</t>
  </si>
  <si>
    <t xml:space="preserve">Flugplatz</t>
  </si>
  <si>
    <t xml:space="preserve">Kennung (ICAO)</t>
  </si>
  <si>
    <t xml:space="preserve">Bahnlänge (m)</t>
  </si>
  <si>
    <t xml:space="preserve">Platzhöhe (ft)</t>
  </si>
  <si>
    <t xml:space="preserve">Belag</t>
  </si>
  <si>
    <t xml:space="preserve">Erf. Bahn V1 (m)</t>
  </si>
  <si>
    <t xml:space="preserve">Erf. Bahn V2 (m)</t>
  </si>
  <si>
    <t xml:space="preserve">Erf. Bahn V3 (m)</t>
  </si>
  <si>
    <t xml:space="preserve">Erf. Bahn V4 (m)</t>
  </si>
  <si>
    <t xml:space="preserve">Kategorie / Bemerkung</t>
  </si>
  <si>
    <t xml:space="preserve">Albanien  (2 Flugplätze)</t>
  </si>
  <si>
    <t xml:space="preserve">Tirana International Airport Mother Teresa</t>
  </si>
  <si>
    <t xml:space="preserve">LATI</t>
  </si>
  <si>
    <t xml:space="preserve">Asphalt/Beton</t>
  </si>
  <si>
    <t xml:space="preserve">Verkehrsflughafen</t>
  </si>
  <si>
    <t xml:space="preserve">Kukës International Airport</t>
  </si>
  <si>
    <t xml:space="preserve">LAKU</t>
  </si>
  <si>
    <t xml:space="preserve">Verkehrslandeplatz</t>
  </si>
  <si>
    <t xml:space="preserve">Belarus  (7 Flugplätze)</t>
  </si>
  <si>
    <t xml:space="preserve">Minsk National Airport</t>
  </si>
  <si>
    <t xml:space="preserve">UMMS</t>
  </si>
  <si>
    <t xml:space="preserve">Brest International Airport</t>
  </si>
  <si>
    <t xml:space="preserve">UMBB</t>
  </si>
  <si>
    <t xml:space="preserve">Vitebsk Vostochny Airport</t>
  </si>
  <si>
    <t xml:space="preserve">UMII</t>
  </si>
  <si>
    <t xml:space="preserve">Gomel Airport</t>
  </si>
  <si>
    <t xml:space="preserve">UMGG</t>
  </si>
  <si>
    <t xml:space="preserve">Mogilev Airport</t>
  </si>
  <si>
    <t xml:space="preserve">UMOO</t>
  </si>
  <si>
    <t xml:space="preserve">Hrodna Airport</t>
  </si>
  <si>
    <t xml:space="preserve">UMMG</t>
  </si>
  <si>
    <t xml:space="preserve">Dzerzhinsky Highway Strip</t>
  </si>
  <si>
    <t xml:space="preserve">BY-0022</t>
  </si>
  <si>
    <t xml:space="preserve">Landeplatz</t>
  </si>
  <si>
    <t xml:space="preserve">Belgien  (15 Flugplätze)</t>
  </si>
  <si>
    <t xml:space="preserve">Liège Airport</t>
  </si>
  <si>
    <t xml:space="preserve">EBLG</t>
  </si>
  <si>
    <t xml:space="preserve">Brussels Airport</t>
  </si>
  <si>
    <t xml:space="preserve">EBBR</t>
  </si>
  <si>
    <t xml:space="preserve">Ostend-Bruges International Airport</t>
  </si>
  <si>
    <t xml:space="preserve">EBOS</t>
  </si>
  <si>
    <t xml:space="preserve">Brussels South Charleroi Airport</t>
  </si>
  <si>
    <t xml:space="preserve">EBCI</t>
  </si>
  <si>
    <t xml:space="preserve">Kortrijk-Wevelgem International Airport</t>
  </si>
  <si>
    <t xml:space="preserve">EBKT</t>
  </si>
  <si>
    <t xml:space="preserve">Antwerp International Airport (Deurne)</t>
  </si>
  <si>
    <t xml:space="preserve">EBAW</t>
  </si>
  <si>
    <t xml:space="preserve">Sint-Truiden / Brustem Airfield</t>
  </si>
  <si>
    <t xml:space="preserve">EBST</t>
  </si>
  <si>
    <t xml:space="preserve">Brasschaat Airfield</t>
  </si>
  <si>
    <t xml:space="preserve">EBBT</t>
  </si>
  <si>
    <t xml:space="preserve">Spa-La Sauvenière Airfield</t>
  </si>
  <si>
    <t xml:space="preserve">EBSP</t>
  </si>
  <si>
    <t xml:space="preserve">Oostmalle Airfield</t>
  </si>
  <si>
    <t xml:space="preserve">EBZR</t>
  </si>
  <si>
    <t xml:space="preserve">Genk Zwartberg Airfield</t>
  </si>
  <si>
    <t xml:space="preserve">EBZW</t>
  </si>
  <si>
    <t xml:space="preserve">Goetsenhoven Airfield</t>
  </si>
  <si>
    <t xml:space="preserve">EBTN</t>
  </si>
  <si>
    <t xml:space="preserve">Saint-Ghislain Airfield</t>
  </si>
  <si>
    <t xml:space="preserve">EBSG</t>
  </si>
  <si>
    <t xml:space="preserve">Namur-Suarlée Airfield</t>
  </si>
  <si>
    <t xml:space="preserve">EBNM</t>
  </si>
  <si>
    <t xml:space="preserve">Leopoldsburg Airfield</t>
  </si>
  <si>
    <t xml:space="preserve">EBLE</t>
  </si>
  <si>
    <t xml:space="preserve">Bosnien und Herzegowina  (5 Flugplätze)</t>
  </si>
  <si>
    <t xml:space="preserve">Sarajevo International Airport</t>
  </si>
  <si>
    <t xml:space="preserve">LQSA</t>
  </si>
  <si>
    <t xml:space="preserve">Banja Luka International Airport</t>
  </si>
  <si>
    <t xml:space="preserve">LQBK</t>
  </si>
  <si>
    <t xml:space="preserve">Tuzla International Airport</t>
  </si>
  <si>
    <t xml:space="preserve">LQTZ</t>
  </si>
  <si>
    <t xml:space="preserve">Mostar International Airport</t>
  </si>
  <si>
    <t xml:space="preserve">LQMO</t>
  </si>
  <si>
    <t xml:space="preserve">Brčko-Brod Airfield</t>
  </si>
  <si>
    <t xml:space="preserve">BA-0003</t>
  </si>
  <si>
    <t xml:space="preserve">Bulgarien  (14 Flugplätze)</t>
  </si>
  <si>
    <t xml:space="preserve">Sofia Airport</t>
  </si>
  <si>
    <t xml:space="preserve">LBSF</t>
  </si>
  <si>
    <t xml:space="preserve">Burgas Airport</t>
  </si>
  <si>
    <t xml:space="preserve">LBBG</t>
  </si>
  <si>
    <t xml:space="preserve">Sapareva Banya Airport</t>
  </si>
  <si>
    <t xml:space="preserve">BG-0170</t>
  </si>
  <si>
    <t xml:space="preserve">Varna Airport</t>
  </si>
  <si>
    <t xml:space="preserve">LBWN</t>
  </si>
  <si>
    <t xml:space="preserve">Ruse Airport</t>
  </si>
  <si>
    <t xml:space="preserve">LBRS</t>
  </si>
  <si>
    <t xml:space="preserve">Plovdiv International Airport</t>
  </si>
  <si>
    <t xml:space="preserve">LBPD</t>
  </si>
  <si>
    <t xml:space="preserve">Tenevo Airstrip</t>
  </si>
  <si>
    <t xml:space="preserve">LB18</t>
  </si>
  <si>
    <t xml:space="preserve">Stara Zagora Airport</t>
  </si>
  <si>
    <t xml:space="preserve">LBSZ</t>
  </si>
  <si>
    <t xml:space="preserve">Sofia West Airfield</t>
  </si>
  <si>
    <t xml:space="preserve">LB13</t>
  </si>
  <si>
    <t xml:space="preserve">Sliven Barshen Airfield</t>
  </si>
  <si>
    <t xml:space="preserve">LBSL</t>
  </si>
  <si>
    <t xml:space="preserve">Balchik Airfield</t>
  </si>
  <si>
    <t xml:space="preserve">LBWB</t>
  </si>
  <si>
    <t xml:space="preserve">Gorna Oryahovitsa Airport</t>
  </si>
  <si>
    <t xml:space="preserve">LBGO</t>
  </si>
  <si>
    <t xml:space="preserve">Vidin Smurdan Airfield</t>
  </si>
  <si>
    <t xml:space="preserve">LBVD</t>
  </si>
  <si>
    <t xml:space="preserve">Ihtiman Airfield</t>
  </si>
  <si>
    <t xml:space="preserve">LBHT</t>
  </si>
  <si>
    <t xml:space="preserve">Deutschland  (184 Flugplätze)</t>
  </si>
  <si>
    <t xml:space="preserve">Flughafen Berlin Brandenburg</t>
  </si>
  <si>
    <t xml:space="preserve">EDDB</t>
  </si>
  <si>
    <t xml:space="preserve">Verkehrsflughafen – Verkehrsflughafen – Slots/Handling</t>
  </si>
  <si>
    <t xml:space="preserve">Flughafen Frankfurt/Main</t>
  </si>
  <si>
    <t xml:space="preserve">EDDF</t>
  </si>
  <si>
    <t xml:space="preserve">Verkehrsflughafen – Großflughafen – Slots, hohe Gebühren</t>
  </si>
  <si>
    <t xml:space="preserve">Flughafen München</t>
  </si>
  <si>
    <t xml:space="preserve">EDDM</t>
  </si>
  <si>
    <t xml:space="preserve">Verkehrsflughafen – Großflughafen – Slots</t>
  </si>
  <si>
    <t xml:space="preserve">Flughafen Köln/Bonn</t>
  </si>
  <si>
    <t xml:space="preserve">EDDK</t>
  </si>
  <si>
    <t xml:space="preserve">Flughafen Frankfurt-Hahn</t>
  </si>
  <si>
    <t xml:space="preserve">EDFH</t>
  </si>
  <si>
    <t xml:space="preserve">Flughafen Hannover</t>
  </si>
  <si>
    <t xml:space="preserve">EDDV</t>
  </si>
  <si>
    <t xml:space="preserve">Flughafen Hamburg</t>
  </si>
  <si>
    <t xml:space="preserve">EDDH</t>
  </si>
  <si>
    <t xml:space="preserve">Flughafen Leipzig/Halle</t>
  </si>
  <si>
    <t xml:space="preserve">EDDP</t>
  </si>
  <si>
    <t xml:space="preserve">Flughafen Stuttgart</t>
  </si>
  <si>
    <t xml:space="preserve">EDDS</t>
  </si>
  <si>
    <t xml:space="preserve">Flugplatz Bitburg</t>
  </si>
  <si>
    <t xml:space="preserve">EDRB</t>
  </si>
  <si>
    <t xml:space="preserve">Landeplatz – Ehem. Militärflugplatz</t>
  </si>
  <si>
    <t xml:space="preserve">Flughafen Düsseldorf</t>
  </si>
  <si>
    <t xml:space="preserve">EDDL</t>
  </si>
  <si>
    <t xml:space="preserve">Verkehrsflughafen – Slots</t>
  </si>
  <si>
    <t xml:space="preserve">Flugplatz Lahr</t>
  </si>
  <si>
    <t xml:space="preserve">EDTL</t>
  </si>
  <si>
    <t xml:space="preserve">Verkehrslandeplatz – Ehem. Militärflugplatz, ziviler Sonderlandeplatz</t>
  </si>
  <si>
    <t xml:space="preserve">Flughafen Karlsruhe/Baden-Baden</t>
  </si>
  <si>
    <t xml:space="preserve">EDSB</t>
  </si>
  <si>
    <t xml:space="preserve">Flugplatz Ingolstadt Manching</t>
  </si>
  <si>
    <t xml:space="preserve">ETSI</t>
  </si>
  <si>
    <t xml:space="preserve">Flughafen Dresden</t>
  </si>
  <si>
    <t xml:space="preserve">EDDC</t>
  </si>
  <si>
    <t xml:space="preserve">Flughafen Nürnberg</t>
  </si>
  <si>
    <t xml:space="preserve">EDDN</t>
  </si>
  <si>
    <t xml:space="preserve">Flugplatz Zweibrücken</t>
  </si>
  <si>
    <t xml:space="preserve">EDRZ</t>
  </si>
  <si>
    <t xml:space="preserve">Landeplatz – Ehem. Verkehrsflughafen, eingeschränkter Betrieb</t>
  </si>
  <si>
    <t xml:space="preserve">Flughafen Bremen</t>
  </si>
  <si>
    <t xml:space="preserve">EDDW</t>
  </si>
  <si>
    <t xml:space="preserve">Flugplatz Hamburg-Finkenwerder</t>
  </si>
  <si>
    <t xml:space="preserve">EDHI</t>
  </si>
  <si>
    <t xml:space="preserve">Flughafen Memmingen (Allgäu)</t>
  </si>
  <si>
    <t xml:space="preserve">EDJA</t>
  </si>
  <si>
    <t xml:space="preserve">Flughafen Erfurt-Weimar</t>
  </si>
  <si>
    <t xml:space="preserve">EDDE</t>
  </si>
  <si>
    <t xml:space="preserve">Flughafen Magdeburg-Cochstedt</t>
  </si>
  <si>
    <t xml:space="preserve">EDBC</t>
  </si>
  <si>
    <t xml:space="preserve">Landeplatz – DLR-Forschungsflughafen – kein öffentlicher Verkehr</t>
  </si>
  <si>
    <t xml:space="preserve">Flughafen Kassel-Calden</t>
  </si>
  <si>
    <t xml:space="preserve">EDVK</t>
  </si>
  <si>
    <t xml:space="preserve">Flughafen Rostock-Laage</t>
  </si>
  <si>
    <t xml:space="preserve">ETNL</t>
  </si>
  <si>
    <t xml:space="preserve">Verkehrslandeplatz – Militärisch/zivil mitbenutzt</t>
  </si>
  <si>
    <t xml:space="preserve">Flughafen Weeze (Niederrhein)</t>
  </si>
  <si>
    <t xml:space="preserve">EDLV</t>
  </si>
  <si>
    <t xml:space="preserve">Flugplatz Cuxhaven/Nordholz</t>
  </si>
  <si>
    <t xml:space="preserve">ETMN</t>
  </si>
  <si>
    <t xml:space="preserve">Flughafen Leipzig-Altenburg</t>
  </si>
  <si>
    <t xml:space="preserve">EDAC</t>
  </si>
  <si>
    <t xml:space="preserve">Flugplatz Peenemünde</t>
  </si>
  <si>
    <t xml:space="preserve">EDCP</t>
  </si>
  <si>
    <t xml:space="preserve">Flugplatz Neuhardenberg Marxwalde</t>
  </si>
  <si>
    <t xml:space="preserve">EDON</t>
  </si>
  <si>
    <t xml:space="preserve">Flugplatz Rechlin-Lärz (Müritz Airpark)</t>
  </si>
  <si>
    <t xml:space="preserve">EDAX</t>
  </si>
  <si>
    <t xml:space="preserve">Flughafen Friedrichshafen (Bodensee-Airport)</t>
  </si>
  <si>
    <t xml:space="preserve">EDNY</t>
  </si>
  <si>
    <t xml:space="preserve">Flughafen Heringsdorf</t>
  </si>
  <si>
    <t xml:space="preserve">EDAH</t>
  </si>
  <si>
    <t xml:space="preserve">Flughafen Braunschweig-Wolfsburg</t>
  </si>
  <si>
    <t xml:space="preserve">EDVE</t>
  </si>
  <si>
    <t xml:space="preserve">Flughafen Neubrandenburg</t>
  </si>
  <si>
    <t xml:space="preserve">EDBN</t>
  </si>
  <si>
    <t xml:space="preserve">Flugplatz Oberpfaffenhofen</t>
  </si>
  <si>
    <t xml:space="preserve">EDMO</t>
  </si>
  <si>
    <t xml:space="preserve">Verkehrslandeplatz – Werksflugplatz/GAT – PPR</t>
  </si>
  <si>
    <t xml:space="preserve">Flugplatz Bautzen</t>
  </si>
  <si>
    <t xml:space="preserve">EDAB</t>
  </si>
  <si>
    <t xml:space="preserve">Flughafen Paderborn/Lippstadt</t>
  </si>
  <si>
    <t xml:space="preserve">EDLP</t>
  </si>
  <si>
    <t xml:space="preserve">Flughafen Münster/Osnabrück</t>
  </si>
  <si>
    <t xml:space="preserve">EDDG</t>
  </si>
  <si>
    <t xml:space="preserve">Flughafen Westerland/Sylt</t>
  </si>
  <si>
    <t xml:space="preserve">EDXW</t>
  </si>
  <si>
    <t xml:space="preserve">Flughafen Lübeck-Blankensee</t>
  </si>
  <si>
    <t xml:space="preserve">EDHL</t>
  </si>
  <si>
    <t xml:space="preserve">Flugplatz Rothenburg/Görlitz</t>
  </si>
  <si>
    <t xml:space="preserve">EDBR</t>
  </si>
  <si>
    <t xml:space="preserve">Flugplatz Spremberg-Welzow</t>
  </si>
  <si>
    <t xml:space="preserve">EDCY</t>
  </si>
  <si>
    <t xml:space="preserve">Flughafen Saarbrücken</t>
  </si>
  <si>
    <t xml:space="preserve">EDDR</t>
  </si>
  <si>
    <t xml:space="preserve">Flughafen Dortmund</t>
  </si>
  <si>
    <t xml:space="preserve">EDLW</t>
  </si>
  <si>
    <t xml:space="preserve">Flugplatz Stendal-Borstel</t>
  </si>
  <si>
    <t xml:space="preserve">EDOV</t>
  </si>
  <si>
    <t xml:space="preserve">Flugplatz Giebelstadt</t>
  </si>
  <si>
    <t xml:space="preserve">EDQG</t>
  </si>
  <si>
    <t xml:space="preserve">Flugplatz Eisenach-Kindel</t>
  </si>
  <si>
    <t xml:space="preserve">EDGE</t>
  </si>
  <si>
    <t xml:space="preserve">Flugplatz Stralsund-Barth</t>
  </si>
  <si>
    <t xml:space="preserve">EDBH</t>
  </si>
  <si>
    <t xml:space="preserve">Flugplatz Speyer</t>
  </si>
  <si>
    <t xml:space="preserve">EDRY</t>
  </si>
  <si>
    <t xml:space="preserve">Landeplatz – Piste 1.677 m gebaut, aber nur 1.400 m als TORA/LDA deklariert</t>
  </si>
  <si>
    <t xml:space="preserve">Flugplatz Bremgarten</t>
  </si>
  <si>
    <t xml:space="preserve">EDTG</t>
  </si>
  <si>
    <t xml:space="preserve">Flugplatz Mendig</t>
  </si>
  <si>
    <t xml:space="preserve">ETHM</t>
  </si>
  <si>
    <t xml:space="preserve">Landeplatz – Ehem. Heeresflugplatz, ziviler Sonderlandeplatz</t>
  </si>
  <si>
    <t xml:space="preserve">Flugplatz Siegerland</t>
  </si>
  <si>
    <t xml:space="preserve">EDGS</t>
  </si>
  <si>
    <t xml:space="preserve">Flugplatz Augsburg</t>
  </si>
  <si>
    <t xml:space="preserve">EDMA</t>
  </si>
  <si>
    <t xml:space="preserve">Flugplatz Mengen-Hohentengen</t>
  </si>
  <si>
    <t xml:space="preserve">EDTM</t>
  </si>
  <si>
    <t xml:space="preserve">Flugplatz Essen-Mülheim</t>
  </si>
  <si>
    <t xml:space="preserve">EDLE</t>
  </si>
  <si>
    <t xml:space="preserve">Flugplatz Schwäbisch Hall (Adolf Würth)</t>
  </si>
  <si>
    <t xml:space="preserve">EDTY</t>
  </si>
  <si>
    <t xml:space="preserve">Flugplatz Eberswalde-Finow</t>
  </si>
  <si>
    <t xml:space="preserve">EDAV</t>
  </si>
  <si>
    <t xml:space="preserve">Flugplatz Schönhagen</t>
  </si>
  <si>
    <t xml:space="preserve">EDAZ</t>
  </si>
  <si>
    <t xml:space="preserve">Landeplatz – Größter GA-Platz Raum Berlin – PPR</t>
  </si>
  <si>
    <t xml:space="preserve">Flugplatz Dinslaken-Schwarze Heide</t>
  </si>
  <si>
    <t xml:space="preserve">EDLD</t>
  </si>
  <si>
    <t xml:space="preserve">Flugplatz Hof-Plauen</t>
  </si>
  <si>
    <t xml:space="preserve">EDQM</t>
  </si>
  <si>
    <t xml:space="preserve">Flugplatz JadeWeser</t>
  </si>
  <si>
    <t xml:space="preserve">EDWI</t>
  </si>
  <si>
    <t xml:space="preserve">Flugplatz Obermehler-Schlotheim</t>
  </si>
  <si>
    <t xml:space="preserve">EDCO</t>
  </si>
  <si>
    <t xml:space="preserve">Flugplatz Husum-Schwesing</t>
  </si>
  <si>
    <t xml:space="preserve">EDXJ</t>
  </si>
  <si>
    <t xml:space="preserve">Flugplatz Großenhain</t>
  </si>
  <si>
    <t xml:space="preserve">EDAK</t>
  </si>
  <si>
    <t xml:space="preserve">Flugplatz Frankfurt-Egelsbach</t>
  </si>
  <si>
    <t xml:space="preserve">EDFE</t>
  </si>
  <si>
    <t xml:space="preserve">Verkehrslandeplatz – Wichtigster GA-Platz Rhein-Main – PPR</t>
  </si>
  <si>
    <t xml:space="preserve">Flugplatz Straubing</t>
  </si>
  <si>
    <t xml:space="preserve">EDMS</t>
  </si>
  <si>
    <t xml:space="preserve">Flugplatz Freiburg im Breisgau</t>
  </si>
  <si>
    <t xml:space="preserve">EDTF</t>
  </si>
  <si>
    <t xml:space="preserve">Flugplatz Biberach an der Riß</t>
  </si>
  <si>
    <t xml:space="preserve">EDMB</t>
  </si>
  <si>
    <t xml:space="preserve">Flugplatz Reichelsheim</t>
  </si>
  <si>
    <t xml:space="preserve">EDFB</t>
  </si>
  <si>
    <t xml:space="preserve">Flugplatz Emden</t>
  </si>
  <si>
    <t xml:space="preserve">EDWE</t>
  </si>
  <si>
    <t xml:space="preserve">Flugplatz Donaueschingen-Villingen</t>
  </si>
  <si>
    <t xml:space="preserve">EDTD</t>
  </si>
  <si>
    <t xml:space="preserve">Flugplatz Kiel-Holtenau</t>
  </si>
  <si>
    <t xml:space="preserve">EDHK</t>
  </si>
  <si>
    <t xml:space="preserve">Flugplatz Bielefeld</t>
  </si>
  <si>
    <t xml:space="preserve">EDLI</t>
  </si>
  <si>
    <t xml:space="preserve">Flugplatz Neuhausen ob Eck</t>
  </si>
  <si>
    <t xml:space="preserve">EDSN</t>
  </si>
  <si>
    <t xml:space="preserve">Flugplatz Allendorf-Eder</t>
  </si>
  <si>
    <t xml:space="preserve">EDFQ</t>
  </si>
  <si>
    <t xml:space="preserve">Flugplatz Stadtlohn-Vreden</t>
  </si>
  <si>
    <t xml:space="preserve">EDLS</t>
  </si>
  <si>
    <t xml:space="preserve">Flugplatz Hildesheim</t>
  </si>
  <si>
    <t xml:space="preserve">EDVM</t>
  </si>
  <si>
    <t xml:space="preserve">Flugplatz Flensburg-Schäferhaus</t>
  </si>
  <si>
    <t xml:space="preserve">EDXF</t>
  </si>
  <si>
    <t xml:space="preserve">Flugplatz Strausberg</t>
  </si>
  <si>
    <t xml:space="preserve">EDAY</t>
  </si>
  <si>
    <t xml:space="preserve">Flugplatz Allstedt</t>
  </si>
  <si>
    <t xml:space="preserve">EDBT</t>
  </si>
  <si>
    <t xml:space="preserve">Flugplatz Mönchengladbach</t>
  </si>
  <si>
    <t xml:space="preserve">EDLN</t>
  </si>
  <si>
    <t xml:space="preserve">Flugplatz Trier-Föhren</t>
  </si>
  <si>
    <t xml:space="preserve">EDRT</t>
  </si>
  <si>
    <t xml:space="preserve">Flugplatz Falkenberg-Lönnewitz</t>
  </si>
  <si>
    <t xml:space="preserve">EDUF</t>
  </si>
  <si>
    <t xml:space="preserve">Flugplatz Leer-Papenburg</t>
  </si>
  <si>
    <t xml:space="preserve">EDWF</t>
  </si>
  <si>
    <t xml:space="preserve">Flugplatz Koblenz-Winningen</t>
  </si>
  <si>
    <t xml:space="preserve">EDRK</t>
  </si>
  <si>
    <t xml:space="preserve">Flugplatz Eisenhüttenstadt</t>
  </si>
  <si>
    <t xml:space="preserve">EDAE</t>
  </si>
  <si>
    <t xml:space="preserve">Flugplatz Jena-Schöngleina</t>
  </si>
  <si>
    <t xml:space="preserve">EDBJ</t>
  </si>
  <si>
    <t xml:space="preserve">Flugplatz Meinerzhagen</t>
  </si>
  <si>
    <t xml:space="preserve">EDKZ</t>
  </si>
  <si>
    <t xml:space="preserve">Flugplatz Aachen-Merzbrück</t>
  </si>
  <si>
    <t xml:space="preserve">EDKA</t>
  </si>
  <si>
    <t xml:space="preserve">Flugplatz Eggenfelden</t>
  </si>
  <si>
    <t xml:space="preserve">EDME</t>
  </si>
  <si>
    <t xml:space="preserve">Flugplatz Mindelheim-Mattsies</t>
  </si>
  <si>
    <t xml:space="preserve">EDMN</t>
  </si>
  <si>
    <t xml:space="preserve">Flugplatz Merseburg</t>
  </si>
  <si>
    <t xml:space="preserve">EDAM</t>
  </si>
  <si>
    <t xml:space="preserve">Flugplatz Vilshofen</t>
  </si>
  <si>
    <t xml:space="preserve">EDMV</t>
  </si>
  <si>
    <t xml:space="preserve">Flugplatz Halle-Oppin</t>
  </si>
  <si>
    <t xml:space="preserve">EDAQ</t>
  </si>
  <si>
    <t xml:space="preserve">Flugplatz Bamberg-Breitenau</t>
  </si>
  <si>
    <t xml:space="preserve">EDQA</t>
  </si>
  <si>
    <t xml:space="preserve">Flugplatz Kamenz</t>
  </si>
  <si>
    <t xml:space="preserve">EDCM</t>
  </si>
  <si>
    <t xml:space="preserve">Flugplatz Haßfurt-Schweinfurt</t>
  </si>
  <si>
    <t xml:space="preserve">EDQT</t>
  </si>
  <si>
    <t xml:space="preserve">Flugplatz Dahlemer Binz</t>
  </si>
  <si>
    <t xml:space="preserve">EDKV</t>
  </si>
  <si>
    <t xml:space="preserve">Flugplatz Mannheim-City</t>
  </si>
  <si>
    <t xml:space="preserve">EDFM</t>
  </si>
  <si>
    <t xml:space="preserve">Flugplatz Arnsberg-Menden</t>
  </si>
  <si>
    <t xml:space="preserve">EDLA</t>
  </si>
  <si>
    <t xml:space="preserve">Flugplatz Itzehoe Hungriger Wolf</t>
  </si>
  <si>
    <t xml:space="preserve">EDHF</t>
  </si>
  <si>
    <t xml:space="preserve">Flugplatz Bayreuth</t>
  </si>
  <si>
    <t xml:space="preserve">EDQD</t>
  </si>
  <si>
    <t xml:space="preserve">Flugplatz Leutkirch-Unterzeil</t>
  </si>
  <si>
    <t xml:space="preserve">EDNL</t>
  </si>
  <si>
    <t xml:space="preserve">Flugplatz Dessau</t>
  </si>
  <si>
    <t xml:space="preserve">EDAD</t>
  </si>
  <si>
    <t xml:space="preserve">Flugplatz Riesa-Göhlis</t>
  </si>
  <si>
    <t xml:space="preserve">EDAU</t>
  </si>
  <si>
    <t xml:space="preserve">Flugplatz Kyritz</t>
  </si>
  <si>
    <t xml:space="preserve">EDBK</t>
  </si>
  <si>
    <t xml:space="preserve">Flugplatz Magdeburg City</t>
  </si>
  <si>
    <t xml:space="preserve">EDBM</t>
  </si>
  <si>
    <t xml:space="preserve">Flugplatz Anklam Otto Lilienthal</t>
  </si>
  <si>
    <t xml:space="preserve">EDCA</t>
  </si>
  <si>
    <t xml:space="preserve">Flugplatz Mainz-Finthen</t>
  </si>
  <si>
    <t xml:space="preserve">EDFZ</t>
  </si>
  <si>
    <t xml:space="preserve">Flugplatz Tutow-Betriebs</t>
  </si>
  <si>
    <t xml:space="preserve">EDUW</t>
  </si>
  <si>
    <t xml:space="preserve">Flugplatz Borkum</t>
  </si>
  <si>
    <t xml:space="preserve">EDWR</t>
  </si>
  <si>
    <t xml:space="preserve">Landeplatz – Insel Borkum</t>
  </si>
  <si>
    <t xml:space="preserve">Flugplatz Norderney</t>
  </si>
  <si>
    <t xml:space="preserve">EDWY</t>
  </si>
  <si>
    <t xml:space="preserve">Landeplatz – Insel Norderney</t>
  </si>
  <si>
    <t xml:space="preserve">Flugplatz Burg Feuerstein</t>
  </si>
  <si>
    <t xml:space="preserve">EDQE</t>
  </si>
  <si>
    <t xml:space="preserve">Flugplatz Rendsburg-Schachtholm</t>
  </si>
  <si>
    <t xml:space="preserve">EDXR</t>
  </si>
  <si>
    <t xml:space="preserve">Flugplatz Rothenburg ob der Tauber</t>
  </si>
  <si>
    <t xml:space="preserve">EDFR</t>
  </si>
  <si>
    <t xml:space="preserve">Flugplatz Aalen Heidenheim Elchingen</t>
  </si>
  <si>
    <t xml:space="preserve">EDPA</t>
  </si>
  <si>
    <t xml:space="preserve">Flugplatz Gera-Leumnitz</t>
  </si>
  <si>
    <t xml:space="preserve">EDAJ</t>
  </si>
  <si>
    <t xml:space="preserve">Flugplatz Fehrbellin</t>
  </si>
  <si>
    <t xml:space="preserve">EDBF</t>
  </si>
  <si>
    <t xml:space="preserve">Flugplatz Rügen</t>
  </si>
  <si>
    <t xml:space="preserve">EDCG</t>
  </si>
  <si>
    <t xml:space="preserve">Landeplatz – Insel Rügen</t>
  </si>
  <si>
    <t xml:space="preserve">Flugplatz Chemnitz/Jahnsdorf</t>
  </si>
  <si>
    <t xml:space="preserve">EDCJ</t>
  </si>
  <si>
    <t xml:space="preserve">Flugplatz Meschede-Schüren</t>
  </si>
  <si>
    <t xml:space="preserve">EDKM</t>
  </si>
  <si>
    <t xml:space="preserve">Flugplatz Landshut</t>
  </si>
  <si>
    <t xml:space="preserve">EDML</t>
  </si>
  <si>
    <t xml:space="preserve">Flugplatz Nordhorn-Lingen</t>
  </si>
  <si>
    <t xml:space="preserve">EDWN</t>
  </si>
  <si>
    <t xml:space="preserve">Flugplatz Ohlstadt</t>
  </si>
  <si>
    <t xml:space="preserve">DE-0075</t>
  </si>
  <si>
    <t xml:space="preserve">Flugplatz Borkenberge</t>
  </si>
  <si>
    <t xml:space="preserve">EDLB</t>
  </si>
  <si>
    <t xml:space="preserve">Flugplatz Arnstadt-Alkersleben</t>
  </si>
  <si>
    <t xml:space="preserve">EDBA</t>
  </si>
  <si>
    <t xml:space="preserve">Flugplatz Porta Westfalica</t>
  </si>
  <si>
    <t xml:space="preserve">EDVY</t>
  </si>
  <si>
    <t xml:space="preserve">Flugplatz Oehna</t>
  </si>
  <si>
    <t xml:space="preserve">EDBO</t>
  </si>
  <si>
    <t xml:space="preserve">Flugplatz Münster-Telgte</t>
  </si>
  <si>
    <t xml:space="preserve">EDLT</t>
  </si>
  <si>
    <t xml:space="preserve">Flugplatz Mühldorf</t>
  </si>
  <si>
    <t xml:space="preserve">EDMY</t>
  </si>
  <si>
    <t xml:space="preserve">Flugplatz Wangerooge</t>
  </si>
  <si>
    <t xml:space="preserve">EDWG</t>
  </si>
  <si>
    <t xml:space="preserve">Landeplatz – Insel Wangerooge – stark eingeschränkt</t>
  </si>
  <si>
    <t xml:space="preserve">Flugplatz Aschaffenburg</t>
  </si>
  <si>
    <t xml:space="preserve">EDFC</t>
  </si>
  <si>
    <t xml:space="preserve">Flugplatz Ganderkesee Atlas</t>
  </si>
  <si>
    <t xml:space="preserve">EDWQ</t>
  </si>
  <si>
    <t xml:space="preserve">Flugplatz Marl-Loemühle</t>
  </si>
  <si>
    <t xml:space="preserve">EDLM</t>
  </si>
  <si>
    <t xml:space="preserve">Flugplatz Höxter-Holzminden</t>
  </si>
  <si>
    <t xml:space="preserve">EDVI</t>
  </si>
  <si>
    <t xml:space="preserve">Flugplatz Schleissheim</t>
  </si>
  <si>
    <t xml:space="preserve">EDNX</t>
  </si>
  <si>
    <t xml:space="preserve">Flugplatz Rottweil-Zepfenhan</t>
  </si>
  <si>
    <t xml:space="preserve">EDSZ</t>
  </si>
  <si>
    <t xml:space="preserve">Flugplatz Cottbus-Neuhausen</t>
  </si>
  <si>
    <t xml:space="preserve">EDAP</t>
  </si>
  <si>
    <t xml:space="preserve">Flugplatz Werneuchen</t>
  </si>
  <si>
    <t xml:space="preserve">EDBW</t>
  </si>
  <si>
    <t xml:space="preserve">Flugplatz Worms</t>
  </si>
  <si>
    <t xml:space="preserve">EDFV</t>
  </si>
  <si>
    <t xml:space="preserve">Flugplatz Bonn-Hangelar</t>
  </si>
  <si>
    <t xml:space="preserve">EDKB</t>
  </si>
  <si>
    <t xml:space="preserve">Flugplatz Saarlouis-Düren</t>
  </si>
  <si>
    <t xml:space="preserve">EDRJ</t>
  </si>
  <si>
    <t xml:space="preserve">Flugplatz Pirmasens-Pottschütthöhe</t>
  </si>
  <si>
    <t xml:space="preserve">EDRP</t>
  </si>
  <si>
    <t xml:space="preserve">Flugplatz Uelzen</t>
  </si>
  <si>
    <t xml:space="preserve">EDVU</t>
  </si>
  <si>
    <t xml:space="preserve">Flugplatz Kitzingen</t>
  </si>
  <si>
    <t xml:space="preserve">ETIN</t>
  </si>
  <si>
    <t xml:space="preserve">Flugplatz Hartenholm</t>
  </si>
  <si>
    <t xml:space="preserve">EDHM</t>
  </si>
  <si>
    <t xml:space="preserve">Flugplatz Limburg-Elz</t>
  </si>
  <si>
    <t xml:space="preserve">EDFY</t>
  </si>
  <si>
    <t xml:space="preserve">Flugplatz Brilon-Hochsauerland</t>
  </si>
  <si>
    <t xml:space="preserve">EDKO</t>
  </si>
  <si>
    <t xml:space="preserve">Flugplatz Nördlingen</t>
  </si>
  <si>
    <t xml:space="preserve">EDNO</t>
  </si>
  <si>
    <t xml:space="preserve">Flugplatz Heubach</t>
  </si>
  <si>
    <t xml:space="preserve">EDTH</t>
  </si>
  <si>
    <t xml:space="preserve">Flugplatz Gunzenhausen-Reutberg</t>
  </si>
  <si>
    <t xml:space="preserve">EDMH</t>
  </si>
  <si>
    <t xml:space="preserve">Flugplatz Norden-Norddeich</t>
  </si>
  <si>
    <t xml:space="preserve">EDWS</t>
  </si>
  <si>
    <t xml:space="preserve">Flugplatz Heide-Büsum</t>
  </si>
  <si>
    <t xml:space="preserve">EDXB</t>
  </si>
  <si>
    <t xml:space="preserve">Flugplatz Kulmbach</t>
  </si>
  <si>
    <t xml:space="preserve">EDQK</t>
  </si>
  <si>
    <t xml:space="preserve">Flugplatz Winzeln-Schramberg</t>
  </si>
  <si>
    <t xml:space="preserve">EDTW</t>
  </si>
  <si>
    <t xml:space="preserve">Flugplatz Donauwörth-Genderkingen</t>
  </si>
  <si>
    <t xml:space="preserve">EDMQ</t>
  </si>
  <si>
    <t xml:space="preserve">Flugplatz Herzogenaurach</t>
  </si>
  <si>
    <t xml:space="preserve">EDQH</t>
  </si>
  <si>
    <t xml:space="preserve">Flugplatz Damme</t>
  </si>
  <si>
    <t xml:space="preserve">EDWC</t>
  </si>
  <si>
    <t xml:space="preserve">Flugplatz Juist</t>
  </si>
  <si>
    <t xml:space="preserve">EDWJ</t>
  </si>
  <si>
    <t xml:space="preserve">Flugplatz Sankt Michaelisdonn</t>
  </si>
  <si>
    <t xml:space="preserve">EDXM</t>
  </si>
  <si>
    <t xml:space="preserve">Flugplatz Ballenstedt</t>
  </si>
  <si>
    <t xml:space="preserve">EDCB</t>
  </si>
  <si>
    <t xml:space="preserve">Flugplatz Pattonville</t>
  </si>
  <si>
    <t xml:space="preserve">EDTQ</t>
  </si>
  <si>
    <t xml:space="preserve">Flugplatz Würzburg-Schenkenturm</t>
  </si>
  <si>
    <t xml:space="preserve">EDFW</t>
  </si>
  <si>
    <t xml:space="preserve">Flugplatz Sankt Peter-Ording</t>
  </si>
  <si>
    <t xml:space="preserve">EDXO</t>
  </si>
  <si>
    <t xml:space="preserve">Flugplatz Stade</t>
  </si>
  <si>
    <t xml:space="preserve">EDHS</t>
  </si>
  <si>
    <t xml:space="preserve">Flugplatz Regensburg-Oberhub</t>
  </si>
  <si>
    <t xml:space="preserve">EDNR</t>
  </si>
  <si>
    <t xml:space="preserve">Flugplatz Coburg-Brandensteinsebene</t>
  </si>
  <si>
    <t xml:space="preserve">EDQC</t>
  </si>
  <si>
    <t xml:space="preserve">Flugplatz Wasserkuppe</t>
  </si>
  <si>
    <t xml:space="preserve">EDER</t>
  </si>
  <si>
    <t xml:space="preserve">Flugplatz Mosbach-Lohrbach</t>
  </si>
  <si>
    <t xml:space="preserve">EDGM</t>
  </si>
  <si>
    <t xml:space="preserve">Flugplatz Rinteln</t>
  </si>
  <si>
    <t xml:space="preserve">EDVR</t>
  </si>
  <si>
    <t xml:space="preserve">Flugplatz Ahrenlohe</t>
  </si>
  <si>
    <t xml:space="preserve">EDHO</t>
  </si>
  <si>
    <t xml:space="preserve">Flugplatz Donzdorf</t>
  </si>
  <si>
    <t xml:space="preserve">EDPM</t>
  </si>
  <si>
    <t xml:space="preserve">Flugplatz Neustadt/Aisch</t>
  </si>
  <si>
    <t xml:space="preserve">EDQN</t>
  </si>
  <si>
    <t xml:space="preserve">Flugplatz Bad Dürkheim</t>
  </si>
  <si>
    <t xml:space="preserve">EDRF</t>
  </si>
  <si>
    <t xml:space="preserve">Flugplatz Langeoog</t>
  </si>
  <si>
    <t xml:space="preserve">EDWL</t>
  </si>
  <si>
    <t xml:space="preserve">Flugplatz Vogtareuth</t>
  </si>
  <si>
    <t xml:space="preserve">EDNV</t>
  </si>
  <si>
    <t xml:space="preserve">Flugplatz Oerlinghausen</t>
  </si>
  <si>
    <t xml:space="preserve">EDLO</t>
  </si>
  <si>
    <t xml:space="preserve">Flugplatz Schwenningen am Neckar</t>
  </si>
  <si>
    <t xml:space="preserve">EDTS</t>
  </si>
  <si>
    <t xml:space="preserve">Flugplatz Westerstede-Felde</t>
  </si>
  <si>
    <t xml:space="preserve">EDWX</t>
  </si>
  <si>
    <t xml:space="preserve">Flugplatz Michelstadt-Odenwald</t>
  </si>
  <si>
    <t xml:space="preserve">EDFO</t>
  </si>
  <si>
    <t xml:space="preserve">Flugplatz Roth</t>
  </si>
  <si>
    <t xml:space="preserve">ETHR</t>
  </si>
  <si>
    <t xml:space="preserve">Flugplatz Weiden in der Oberpfalz</t>
  </si>
  <si>
    <t xml:space="preserve">EDQW</t>
  </si>
  <si>
    <t xml:space="preserve">Flugplatz Harlesiel</t>
  </si>
  <si>
    <t xml:space="preserve">EDXP</t>
  </si>
  <si>
    <t xml:space="preserve">Flugplatz Rheine-Bentlage</t>
  </si>
  <si>
    <t xml:space="preserve">ETHE</t>
  </si>
  <si>
    <t xml:space="preserve">Dänemark  (23 Flugplätze)</t>
  </si>
  <si>
    <t xml:space="preserve">Copenhagen Kastrup Airport</t>
  </si>
  <si>
    <t xml:space="preserve">EKCH</t>
  </si>
  <si>
    <t xml:space="preserve">Billund Airport</t>
  </si>
  <si>
    <t xml:space="preserve">EKBI</t>
  </si>
  <si>
    <t xml:space="preserve">Midtjyllands Airport / Air Base Karup</t>
  </si>
  <si>
    <t xml:space="preserve">EKKA</t>
  </si>
  <si>
    <t xml:space="preserve">Aarhus Airport</t>
  </si>
  <si>
    <t xml:space="preserve">EKAH</t>
  </si>
  <si>
    <t xml:space="preserve">Aalborg Airport</t>
  </si>
  <si>
    <t xml:space="preserve">EKYT</t>
  </si>
  <si>
    <t xml:space="preserve">Esbjerg Airport</t>
  </si>
  <si>
    <t xml:space="preserve">EKEB</t>
  </si>
  <si>
    <t xml:space="preserve">Bornholm Airport</t>
  </si>
  <si>
    <t xml:space="preserve">EKRN</t>
  </si>
  <si>
    <t xml:space="preserve">Odense Hans Christian Andersen Airport</t>
  </si>
  <si>
    <t xml:space="preserve">EKOD</t>
  </si>
  <si>
    <t xml:space="preserve">Sønderborg Airport</t>
  </si>
  <si>
    <t xml:space="preserve">EKSB</t>
  </si>
  <si>
    <t xml:space="preserve">Copenhagen Roskilde Airport</t>
  </si>
  <si>
    <t xml:space="preserve">EKRK</t>
  </si>
  <si>
    <t xml:space="preserve">Thisted Airport</t>
  </si>
  <si>
    <t xml:space="preserve">EKTS</t>
  </si>
  <si>
    <t xml:space="preserve">Stauning Vestjylland  Airport</t>
  </si>
  <si>
    <t xml:space="preserve">EKVJ</t>
  </si>
  <si>
    <t xml:space="preserve">Vesthimmerland Airfield</t>
  </si>
  <si>
    <t xml:space="preserve">EKVH</t>
  </si>
  <si>
    <t xml:space="preserve">Lolland Falster Maribo Airport</t>
  </si>
  <si>
    <t xml:space="preserve">EKMB</t>
  </si>
  <si>
    <t xml:space="preserve">Herning Airfield</t>
  </si>
  <si>
    <t xml:space="preserve">EKHG</t>
  </si>
  <si>
    <t xml:space="preserve">Lindtorp Airfield</t>
  </si>
  <si>
    <t xml:space="preserve">EKHO</t>
  </si>
  <si>
    <t xml:space="preserve">Sindal Airport</t>
  </si>
  <si>
    <t xml:space="preserve">EKSN</t>
  </si>
  <si>
    <t xml:space="preserve">Skive Airport</t>
  </si>
  <si>
    <t xml:space="preserve">EKSV</t>
  </si>
  <si>
    <t xml:space="preserve">Haderslev Airfield</t>
  </si>
  <si>
    <t xml:space="preserve">EKHV</t>
  </si>
  <si>
    <t xml:space="preserve">Kruså-Padborg Airfield</t>
  </si>
  <si>
    <t xml:space="preserve">EKPB</t>
  </si>
  <si>
    <t xml:space="preserve">Kolding Vamdrup Airfield</t>
  </si>
  <si>
    <t xml:space="preserve">EKVD</t>
  </si>
  <si>
    <t xml:space="preserve">Grønholt Hillerød Airfield</t>
  </si>
  <si>
    <t xml:space="preserve">EKGH</t>
  </si>
  <si>
    <t xml:space="preserve">Læsø Airport</t>
  </si>
  <si>
    <t xml:space="preserve">EKLS</t>
  </si>
  <si>
    <t xml:space="preserve">Estland  (5 Flugplätze)</t>
  </si>
  <si>
    <t xml:space="preserve">Lennart Meri Tallinn Airport</t>
  </si>
  <si>
    <t xml:space="preserve">EETN</t>
  </si>
  <si>
    <t xml:space="preserve">Kuressaare Airport</t>
  </si>
  <si>
    <t xml:space="preserve">EEKE</t>
  </si>
  <si>
    <t xml:space="preserve">Pärnu Airport</t>
  </si>
  <si>
    <t xml:space="preserve">EEPU</t>
  </si>
  <si>
    <t xml:space="preserve">Tartu Airport</t>
  </si>
  <si>
    <t xml:space="preserve">EETU</t>
  </si>
  <si>
    <t xml:space="preserve">Kärdla Airport</t>
  </si>
  <si>
    <t xml:space="preserve">EEKA</t>
  </si>
  <si>
    <t xml:space="preserve">Finnland  (62 Flugplätze)</t>
  </si>
  <si>
    <t xml:space="preserve">Helsinki Vantaa Airport</t>
  </si>
  <si>
    <t xml:space="preserve">EFHK</t>
  </si>
  <si>
    <t xml:space="preserve">Rovaniemi Airport</t>
  </si>
  <si>
    <t xml:space="preserve">EFRO</t>
  </si>
  <si>
    <t xml:space="preserve">Kuopio Airport</t>
  </si>
  <si>
    <t xml:space="preserve">EFKU</t>
  </si>
  <si>
    <t xml:space="preserve">Kauhava Airfield</t>
  </si>
  <si>
    <t xml:space="preserve">EFKA</t>
  </si>
  <si>
    <t xml:space="preserve">Tampere-Pirkkala Airport</t>
  </si>
  <si>
    <t xml:space="preserve">EFTP</t>
  </si>
  <si>
    <t xml:space="preserve">Vaasa Airport</t>
  </si>
  <si>
    <t xml:space="preserve">EFVA</t>
  </si>
  <si>
    <t xml:space="preserve">Halli Airport</t>
  </si>
  <si>
    <t xml:space="preserve">EFHA</t>
  </si>
  <si>
    <t xml:space="preserve">Jyväskylä Airport</t>
  </si>
  <si>
    <t xml:space="preserve">EFJY</t>
  </si>
  <si>
    <t xml:space="preserve">Kemi-Tornio Airport</t>
  </si>
  <si>
    <t xml:space="preserve">EFKE</t>
  </si>
  <si>
    <t xml:space="preserve">Oulu Airport</t>
  </si>
  <si>
    <t xml:space="preserve">EFOU</t>
  </si>
  <si>
    <t xml:space="preserve">Joensuu Airport</t>
  </si>
  <si>
    <t xml:space="preserve">EFJO</t>
  </si>
  <si>
    <t xml:space="preserve">Kokkola-Pietarsaari Airport</t>
  </si>
  <si>
    <t xml:space="preserve">EFKK</t>
  </si>
  <si>
    <t xml:space="preserve">Kuusamo Airport</t>
  </si>
  <si>
    <t xml:space="preserve">EFKS</t>
  </si>
  <si>
    <t xml:space="preserve">Kittilä International Airport</t>
  </si>
  <si>
    <t xml:space="preserve">EFKT</t>
  </si>
  <si>
    <t xml:space="preserve">Lappeenranta Airport</t>
  </si>
  <si>
    <t xml:space="preserve">EFLP</t>
  </si>
  <si>
    <t xml:space="preserve">Turku Airport</t>
  </si>
  <si>
    <t xml:space="preserve">EFTU</t>
  </si>
  <si>
    <t xml:space="preserve">Ivalo Airport</t>
  </si>
  <si>
    <t xml:space="preserve">EFIV</t>
  </si>
  <si>
    <t xml:space="preserve">Kajaani Airport</t>
  </si>
  <si>
    <t xml:space="preserve">EFKI</t>
  </si>
  <si>
    <t xml:space="preserve">Pori Airport</t>
  </si>
  <si>
    <t xml:space="preserve">EFPO</t>
  </si>
  <si>
    <t xml:space="preserve">Savonlinna Airport</t>
  </si>
  <si>
    <t xml:space="preserve">EFSA</t>
  </si>
  <si>
    <t xml:space="preserve">Enontekio Airport</t>
  </si>
  <si>
    <t xml:space="preserve">EFET</t>
  </si>
  <si>
    <t xml:space="preserve">Seinäjoki Airport</t>
  </si>
  <si>
    <t xml:space="preserve">EFSI</t>
  </si>
  <si>
    <t xml:space="preserve">Varkaus Airport</t>
  </si>
  <si>
    <t xml:space="preserve">EFVR</t>
  </si>
  <si>
    <t xml:space="preserve">Pudasjärvi Airfield</t>
  </si>
  <si>
    <t xml:space="preserve">EFPU</t>
  </si>
  <si>
    <t xml:space="preserve">Mariehamn Airport</t>
  </si>
  <si>
    <t xml:space="preserve">EFMA</t>
  </si>
  <si>
    <t xml:space="preserve">Mikkeli Airport</t>
  </si>
  <si>
    <t xml:space="preserve">EFMI</t>
  </si>
  <si>
    <t xml:space="preserve">Hanko Airfield</t>
  </si>
  <si>
    <t xml:space="preserve">EFHN</t>
  </si>
  <si>
    <t xml:space="preserve">Kitee Airport</t>
  </si>
  <si>
    <t xml:space="preserve">EFIT</t>
  </si>
  <si>
    <t xml:space="preserve">Sodankyla Airport</t>
  </si>
  <si>
    <t xml:space="preserve">EFSO</t>
  </si>
  <si>
    <t xml:space="preserve">Ylivieska Airfield</t>
  </si>
  <si>
    <t xml:space="preserve">EFYL</t>
  </si>
  <si>
    <t xml:space="preserve">Kemijärvi Airfield</t>
  </si>
  <si>
    <t xml:space="preserve">EFKM</t>
  </si>
  <si>
    <t xml:space="preserve">Selanpaa Airfield</t>
  </si>
  <si>
    <t xml:space="preserve">EFSE</t>
  </si>
  <si>
    <t xml:space="preserve">Hyvinkää Airfield</t>
  </si>
  <si>
    <t xml:space="preserve">EFHV</t>
  </si>
  <si>
    <t xml:space="preserve">Kalajoki Airfield</t>
  </si>
  <si>
    <t xml:space="preserve">EFKO</t>
  </si>
  <si>
    <t xml:space="preserve">Lahti Vesivehmaa Airfield</t>
  </si>
  <si>
    <t xml:space="preserve">EFLA</t>
  </si>
  <si>
    <t xml:space="preserve">Menkijärvi Airfield</t>
  </si>
  <si>
    <t xml:space="preserve">EFME</t>
  </si>
  <si>
    <t xml:space="preserve">Nummela Airfield</t>
  </si>
  <si>
    <t xml:space="preserve">EFNU</t>
  </si>
  <si>
    <t xml:space="preserve">Ranua Airfield</t>
  </si>
  <si>
    <t xml:space="preserve">EFRU</t>
  </si>
  <si>
    <t xml:space="preserve">Kauhajoki Airfield</t>
  </si>
  <si>
    <t xml:space="preserve">EFKJ</t>
  </si>
  <si>
    <t xml:space="preserve">Piikajarvi Airfield</t>
  </si>
  <si>
    <t xml:space="preserve">EFPI</t>
  </si>
  <si>
    <t xml:space="preserve">Immola Airfield</t>
  </si>
  <si>
    <t xml:space="preserve">EFIM</t>
  </si>
  <si>
    <t xml:space="preserve">Eura Airfield</t>
  </si>
  <si>
    <t xml:space="preserve">EFEU</t>
  </si>
  <si>
    <t xml:space="preserve">Helsinki East-Redstone Aerodrome</t>
  </si>
  <si>
    <t xml:space="preserve">EFPR</t>
  </si>
  <si>
    <t xml:space="preserve">Pyhäsalmi Airfield</t>
  </si>
  <si>
    <t xml:space="preserve">EFPY</t>
  </si>
  <si>
    <t xml:space="preserve">Raahe Pattijoki Airfield</t>
  </si>
  <si>
    <t xml:space="preserve">EFRH</t>
  </si>
  <si>
    <t xml:space="preserve">Rantasalmi Airfield</t>
  </si>
  <si>
    <t xml:space="preserve">EFRN</t>
  </si>
  <si>
    <t xml:space="preserve">Lieksa Nurmes Airfield</t>
  </si>
  <si>
    <t xml:space="preserve">EFLN</t>
  </si>
  <si>
    <t xml:space="preserve">Kiikala Airfield</t>
  </si>
  <si>
    <t xml:space="preserve">EFIK</t>
  </si>
  <si>
    <t xml:space="preserve">Hämeenkyrö Airfield</t>
  </si>
  <si>
    <t xml:space="preserve">EFHM</t>
  </si>
  <si>
    <t xml:space="preserve">Kivijärvi Airfield</t>
  </si>
  <si>
    <t xml:space="preserve">EFKV</t>
  </si>
  <si>
    <t xml:space="preserve">Vampula Airfield</t>
  </si>
  <si>
    <t xml:space="preserve">EFVP</t>
  </si>
  <si>
    <t xml:space="preserve">Räyskälä Airfield</t>
  </si>
  <si>
    <t xml:space="preserve">EFRY</t>
  </si>
  <si>
    <t xml:space="preserve">Aavahelukka Airfield</t>
  </si>
  <si>
    <t xml:space="preserve">EFAA</t>
  </si>
  <si>
    <t xml:space="preserve">Kymi Airfield</t>
  </si>
  <si>
    <t xml:space="preserve">EFKY</t>
  </si>
  <si>
    <t xml:space="preserve">Kiuruvesi Airfield</t>
  </si>
  <si>
    <t xml:space="preserve">EFRV</t>
  </si>
  <si>
    <t xml:space="preserve">Jämijärvi Airfield</t>
  </si>
  <si>
    <t xml:space="preserve">EFJM</t>
  </si>
  <si>
    <t xml:space="preserve">Ahmosuo Airfield</t>
  </si>
  <si>
    <t xml:space="preserve">EFAH</t>
  </si>
  <si>
    <t xml:space="preserve">Alavus Airfield</t>
  </si>
  <si>
    <t xml:space="preserve">EFAL</t>
  </si>
  <si>
    <t xml:space="preserve">Pieksämäki Airfield</t>
  </si>
  <si>
    <t xml:space="preserve">EFPK</t>
  </si>
  <si>
    <t xml:space="preserve">Kannus Airfield</t>
  </si>
  <si>
    <t xml:space="preserve">EFKN</t>
  </si>
  <si>
    <t xml:space="preserve">Iisalmi Airfield</t>
  </si>
  <si>
    <t xml:space="preserve">EFII</t>
  </si>
  <si>
    <t xml:space="preserve">Kumlinge Airfield</t>
  </si>
  <si>
    <t xml:space="preserve">EFKG</t>
  </si>
  <si>
    <t xml:space="preserve">Frankreich  (218 Flugplätze)</t>
  </si>
  <si>
    <t xml:space="preserve">Charles de Gaulle International Airport</t>
  </si>
  <si>
    <t xml:space="preserve">LFPG</t>
  </si>
  <si>
    <t xml:space="preserve">Lyon Saint-Exupéry Airport</t>
  </si>
  <si>
    <t xml:space="preserve">LFLL</t>
  </si>
  <si>
    <t xml:space="preserve">EuroAirport Basel–Mulhouse–Freiburg</t>
  </si>
  <si>
    <t xml:space="preserve">LFSB</t>
  </si>
  <si>
    <t xml:space="preserve">Chalons Vatry airport</t>
  </si>
  <si>
    <t xml:space="preserve">LFOK</t>
  </si>
  <si>
    <t xml:space="preserve">Paris-Orly Airport</t>
  </si>
  <si>
    <t xml:space="preserve">LFPO</t>
  </si>
  <si>
    <t xml:space="preserve">Toulouse-Blagnac Airport</t>
  </si>
  <si>
    <t xml:space="preserve">LFBO</t>
  </si>
  <si>
    <t xml:space="preserve">Châteauroux Déols airport</t>
  </si>
  <si>
    <t xml:space="preserve">LFLX</t>
  </si>
  <si>
    <t xml:space="preserve">Marseille Provence Airport</t>
  </si>
  <si>
    <t xml:space="preserve">LFML</t>
  </si>
  <si>
    <t xml:space="preserve">Bordeaux–Mérignac Airport</t>
  </si>
  <si>
    <t xml:space="preserve">LFBD</t>
  </si>
  <si>
    <t xml:space="preserve">Brest Bretagne airport</t>
  </si>
  <si>
    <t xml:space="preserve">LFRB</t>
  </si>
  <si>
    <t xml:space="preserve">Grenoble Alpes Isère Airport</t>
  </si>
  <si>
    <t xml:space="preserve">LFLS</t>
  </si>
  <si>
    <t xml:space="preserve">Clermont-Ferrand Auvergne airport</t>
  </si>
  <si>
    <t xml:space="preserve">LFLC</t>
  </si>
  <si>
    <t xml:space="preserve">Tarbes-Lourdes-Pyrénées Airport</t>
  </si>
  <si>
    <t xml:space="preserve">LFBT</t>
  </si>
  <si>
    <t xml:space="preserve">Paris-Le Bourget International Airport</t>
  </si>
  <si>
    <t xml:space="preserve">LFPB</t>
  </si>
  <si>
    <t xml:space="preserve">Nice-Côte d'Azur Airport</t>
  </si>
  <si>
    <t xml:space="preserve">LFMN</t>
  </si>
  <si>
    <t xml:space="preserve">Nantes Atlantique Airport</t>
  </si>
  <si>
    <t xml:space="preserve">LFRS</t>
  </si>
  <si>
    <t xml:space="preserve">Lille Airport</t>
  </si>
  <si>
    <t xml:space="preserve">LFQQ</t>
  </si>
  <si>
    <t xml:space="preserve">Épinal Mirecourt Airport</t>
  </si>
  <si>
    <t xml:space="preserve">LFSG</t>
  </si>
  <si>
    <t xml:space="preserve">Montpellier-Méditerranée Airport</t>
  </si>
  <si>
    <t xml:space="preserve">LFMT</t>
  </si>
  <si>
    <t xml:space="preserve">Deauville Normandie airport</t>
  </si>
  <si>
    <t xml:space="preserve">LFRG</t>
  </si>
  <si>
    <t xml:space="preserve">Bastia-Poretta International airport</t>
  </si>
  <si>
    <t xml:space="preserve">LFKB</t>
  </si>
  <si>
    <t xml:space="preserve">Limoges Airport</t>
  </si>
  <si>
    <t xml:space="preserve">LFBL</t>
  </si>
  <si>
    <t xml:space="preserve">Pau Pyrénées Airport</t>
  </si>
  <si>
    <t xml:space="preserve">LFBP</t>
  </si>
  <si>
    <t xml:space="preserve">Metz-Nancy-Lorraine Airport</t>
  </si>
  <si>
    <t xml:space="preserve">LFJL</t>
  </si>
  <si>
    <t xml:space="preserve">Perpignan-Rivesaltes (Llabanère) Airport</t>
  </si>
  <si>
    <t xml:space="preserve">LFMP</t>
  </si>
  <si>
    <t xml:space="preserve">Figari Sud-Corse Airport</t>
  </si>
  <si>
    <t xml:space="preserve">LFKF</t>
  </si>
  <si>
    <t xml:space="preserve">Brienne-le-Château Airfield</t>
  </si>
  <si>
    <t xml:space="preserve">LFFN</t>
  </si>
  <si>
    <t xml:space="preserve">Cherbourg Manche airport</t>
  </si>
  <si>
    <t xml:space="preserve">LFRC</t>
  </si>
  <si>
    <t xml:space="preserve">Nîmes-Arles-Camargue Airport</t>
  </si>
  <si>
    <t xml:space="preserve">LFTW</t>
  </si>
  <si>
    <t xml:space="preserve">Beauvais-Tillé airport</t>
  </si>
  <si>
    <t xml:space="preserve">LFOB</t>
  </si>
  <si>
    <t xml:space="preserve">Ajaccio Napoléon Bonaparte airport</t>
  </si>
  <si>
    <t xml:space="preserve">LFKJ</t>
  </si>
  <si>
    <t xml:space="preserve">Tours Val de Loire Airport</t>
  </si>
  <si>
    <t xml:space="preserve">LFOT</t>
  </si>
  <si>
    <t xml:space="preserve">Lorient South Brittany (Bretagne Sud) Airport</t>
  </si>
  <si>
    <t xml:space="preserve">LFRH</t>
  </si>
  <si>
    <t xml:space="preserve">Chambley airfield</t>
  </si>
  <si>
    <t xml:space="preserve">LFJY</t>
  </si>
  <si>
    <t xml:space="preserve">Saint-Nazaire-Montoir Airport</t>
  </si>
  <si>
    <t xml:space="preserve">LFRZ</t>
  </si>
  <si>
    <t xml:space="preserve">Dijon Longvic airport</t>
  </si>
  <si>
    <t xml:space="preserve">LFSD</t>
  </si>
  <si>
    <t xml:space="preserve">Strasbourg Airport</t>
  </si>
  <si>
    <t xml:space="preserve">LFST</t>
  </si>
  <si>
    <t xml:space="preserve">Poitiers-Biard Airport</t>
  </si>
  <si>
    <t xml:space="preserve">LFBI</t>
  </si>
  <si>
    <t xml:space="preserve">Calvi Sainte Catherine Airport</t>
  </si>
  <si>
    <t xml:space="preserve">LFKC</t>
  </si>
  <si>
    <t xml:space="preserve">Châteaudun Airfield</t>
  </si>
  <si>
    <t xml:space="preserve">LFOC</t>
  </si>
  <si>
    <t xml:space="preserve">Saint-Étienne-Bouthéon Airport</t>
  </si>
  <si>
    <t xml:space="preserve">LFMH</t>
  </si>
  <si>
    <t xml:space="preserve">Le Havre-Octeville Airport</t>
  </si>
  <si>
    <t xml:space="preserve">LFOH</t>
  </si>
  <si>
    <t xml:space="preserve">Rochefort-Saint-Agnant (BA 721) Airport</t>
  </si>
  <si>
    <t xml:space="preserve">LFDN</t>
  </si>
  <si>
    <t xml:space="preserve">La Rochelle Île de Ré Airport</t>
  </si>
  <si>
    <t xml:space="preserve">LFBH</t>
  </si>
  <si>
    <t xml:space="preserve">Biarritz Pays Basque airport</t>
  </si>
  <si>
    <t xml:space="preserve">LFBZ</t>
  </si>
  <si>
    <t xml:space="preserve">Dole Tavaux Airport</t>
  </si>
  <si>
    <t xml:space="preserve">LFGJ</t>
  </si>
  <si>
    <t xml:space="preserve">Bergerac Dordogne-Périgord airport</t>
  </si>
  <si>
    <t xml:space="preserve">LFBE</t>
  </si>
  <si>
    <t xml:space="preserve">Albert Bray airport</t>
  </si>
  <si>
    <t xml:space="preserve">LFAQ</t>
  </si>
  <si>
    <t xml:space="preserve">Vichy-Charmeil Airport</t>
  </si>
  <si>
    <t xml:space="preserve">LFLV</t>
  </si>
  <si>
    <t xml:space="preserve">Dinard Pleurtuit Saint-Malo airport</t>
  </si>
  <si>
    <t xml:space="preserve">LFRD</t>
  </si>
  <si>
    <t xml:space="preserve">Saint-Brieuc-Armor Airport</t>
  </si>
  <si>
    <t xml:space="preserve">LFRT</t>
  </si>
  <si>
    <t xml:space="preserve">Agen La Garenne airport</t>
  </si>
  <si>
    <t xml:space="preserve">LFBA</t>
  </si>
  <si>
    <t xml:space="preserve">Quimper-Cornouaille Airport</t>
  </si>
  <si>
    <t xml:space="preserve">LFRQ</t>
  </si>
  <si>
    <t xml:space="preserve">Toulon-Hyères Airport</t>
  </si>
  <si>
    <t xml:space="preserve">LFTH</t>
  </si>
  <si>
    <t xml:space="preserve">Valence-Chabeuil Airport</t>
  </si>
  <si>
    <t xml:space="preserve">LFLU</t>
  </si>
  <si>
    <t xml:space="preserve">Rennes-Saint-Jacques Airport</t>
  </si>
  <si>
    <t xml:space="preserve">LFRN</t>
  </si>
  <si>
    <t xml:space="preserve">Brive Souillac airport</t>
  </si>
  <si>
    <t xml:space="preserve">LFSL</t>
  </si>
  <si>
    <t xml:space="preserve">Carcassonne Salvaza Airport</t>
  </si>
  <si>
    <t xml:space="preserve">LFMK</t>
  </si>
  <si>
    <t xml:space="preserve">Rodez–Aveyron Airport</t>
  </si>
  <si>
    <t xml:space="preserve">LFCR</t>
  </si>
  <si>
    <t xml:space="preserve">Saint-Yan Airport</t>
  </si>
  <si>
    <t xml:space="preserve">LFLN</t>
  </si>
  <si>
    <t xml:space="preserve">Chambéry Aix les Bains airport</t>
  </si>
  <si>
    <t xml:space="preserve">LFLB</t>
  </si>
  <si>
    <t xml:space="preserve">Plan-de-Dieu-Orange Airfield</t>
  </si>
  <si>
    <t xml:space="preserve">LF51</t>
  </si>
  <si>
    <t xml:space="preserve">Melun-Villaroche Airfield</t>
  </si>
  <si>
    <t xml:space="preserve">LFPM</t>
  </si>
  <si>
    <t xml:space="preserve">Cuers-Pierrefeu Airfield</t>
  </si>
  <si>
    <t xml:space="preserve">LFTF</t>
  </si>
  <si>
    <t xml:space="preserve">Montluçon-Guéret Airport</t>
  </si>
  <si>
    <t xml:space="preserve">LFBK</t>
  </si>
  <si>
    <t xml:space="preserve">Auch Gers Airfield</t>
  </si>
  <si>
    <t xml:space="preserve">LFDH</t>
  </si>
  <si>
    <t xml:space="preserve">Caen Carpiquet airport</t>
  </si>
  <si>
    <t xml:space="preserve">LFRK</t>
  </si>
  <si>
    <t xml:space="preserve">Avignon Caumont airport</t>
  </si>
  <si>
    <t xml:space="preserve">LFMV</t>
  </si>
  <si>
    <t xml:space="preserve">Le Touquet-Côte d'Opale Airport</t>
  </si>
  <si>
    <t xml:space="preserve">LFAT</t>
  </si>
  <si>
    <t xml:space="preserve">Merville-Calonne Airport</t>
  </si>
  <si>
    <t xml:space="preserve">LFQT</t>
  </si>
  <si>
    <t xml:space="preserve">Castres Mazamet Airport</t>
  </si>
  <si>
    <t xml:space="preserve">LFCK</t>
  </si>
  <si>
    <t xml:space="preserve">Lyon Bron Airport</t>
  </si>
  <si>
    <t xml:space="preserve">LFLY</t>
  </si>
  <si>
    <t xml:space="preserve">Béziers Vias airport</t>
  </si>
  <si>
    <t xml:space="preserve">LFMU</t>
  </si>
  <si>
    <t xml:space="preserve">Angoulême Brie-Champniers airport</t>
  </si>
  <si>
    <t xml:space="preserve">LFBU</t>
  </si>
  <si>
    <t xml:space="preserve">Angers Marcé airport</t>
  </si>
  <si>
    <t xml:space="preserve">LFJR</t>
  </si>
  <si>
    <t xml:space="preserve">Niort - Marais Poitevin Airport</t>
  </si>
  <si>
    <t xml:space="preserve">LFBN</t>
  </si>
  <si>
    <t xml:space="preserve">Périgueux-Bassillac Airport</t>
  </si>
  <si>
    <t xml:space="preserve">LFBX</t>
  </si>
  <si>
    <t xml:space="preserve">Valenciennes-Denain Airfield</t>
  </si>
  <si>
    <t xml:space="preserve">LFAV</t>
  </si>
  <si>
    <t xml:space="preserve">Millau-Larzac Airfield</t>
  </si>
  <si>
    <t xml:space="preserve">LFCM</t>
  </si>
  <si>
    <t xml:space="preserve">Aurillac airport</t>
  </si>
  <si>
    <t xml:space="preserve">LFLW</t>
  </si>
  <si>
    <t xml:space="preserve">Rouen Vallée de Seine Airport</t>
  </si>
  <si>
    <t xml:space="preserve">LFOP</t>
  </si>
  <si>
    <t xml:space="preserve">Lannion Airport</t>
  </si>
  <si>
    <t xml:space="preserve">LFRO</t>
  </si>
  <si>
    <t xml:space="preserve">Montbéliard-Courcelles Airfield</t>
  </si>
  <si>
    <t xml:space="preserve">LFSM</t>
  </si>
  <si>
    <t xml:space="preserve">Pontoise-Cormeilles Aerodrome</t>
  </si>
  <si>
    <t xml:space="preserve">LFPT</t>
  </si>
  <si>
    <t xml:space="preserve">Laval-Entrammes Airport</t>
  </si>
  <si>
    <t xml:space="preserve">LFOV</t>
  </si>
  <si>
    <t xml:space="preserve">Auxerre Branches airport</t>
  </si>
  <si>
    <t xml:space="preserve">LFLA</t>
  </si>
  <si>
    <t xml:space="preserve">Troyes-Barberey Airport</t>
  </si>
  <si>
    <t xml:space="preserve">LFQB</t>
  </si>
  <si>
    <t xml:space="preserve">Annecy Meythet airport</t>
  </si>
  <si>
    <t xml:space="preserve">LFLP</t>
  </si>
  <si>
    <t xml:space="preserve">Nevers-Fourchambault Airport</t>
  </si>
  <si>
    <t xml:space="preserve">LFQG</t>
  </si>
  <si>
    <t xml:space="preserve">Morlaix-Ploujean Airport</t>
  </si>
  <si>
    <t xml:space="preserve">LFRU</t>
  </si>
  <si>
    <t xml:space="preserve">Colmar Houssen airport</t>
  </si>
  <si>
    <t xml:space="preserve">LFGA</t>
  </si>
  <si>
    <t xml:space="preserve">Orléans–Saint-Denis-de-l'Hôtel Airport</t>
  </si>
  <si>
    <t xml:space="preserve">LFOZ</t>
  </si>
  <si>
    <t xml:space="preserve">Nancy-Essey Airport</t>
  </si>
  <si>
    <t xml:space="preserve">LFSN</t>
  </si>
  <si>
    <t xml:space="preserve">Coulommiers-Voisins Aerodrome</t>
  </si>
  <si>
    <t xml:space="preserve">LFPK</t>
  </si>
  <si>
    <t xml:space="preserve">Albi Le Sequestre airport</t>
  </si>
  <si>
    <t xml:space="preserve">LFCI</t>
  </si>
  <si>
    <t xml:space="preserve">Bourges airport</t>
  </si>
  <si>
    <t xml:space="preserve">LFLD</t>
  </si>
  <si>
    <t xml:space="preserve">La Roche-sur-Yon Les Ajoncs Airport</t>
  </si>
  <si>
    <t xml:space="preserve">LFRI</t>
  </si>
  <si>
    <t xml:space="preserve">Le Castellet Airport</t>
  </si>
  <si>
    <t xml:space="preserve">LFMQ</t>
  </si>
  <si>
    <t xml:space="preserve">Cannes Mandelieu Airport</t>
  </si>
  <si>
    <t xml:space="preserve">LFMD</t>
  </si>
  <si>
    <t xml:space="preserve">Calais Marck Airport</t>
  </si>
  <si>
    <t xml:space="preserve">LFAC</t>
  </si>
  <si>
    <t xml:space="preserve">Vannes-Meucon Airport</t>
  </si>
  <si>
    <t xml:space="preserve">LFRV</t>
  </si>
  <si>
    <t xml:space="preserve">Lurcy-Lévis Airfield</t>
  </si>
  <si>
    <t xml:space="preserve">LFJU</t>
  </si>
  <si>
    <t xml:space="preserve">Aix Les Milles airport</t>
  </si>
  <si>
    <t xml:space="preserve">LFMA</t>
  </si>
  <si>
    <t xml:space="preserve">Cahors Lalbenque airport</t>
  </si>
  <si>
    <t xml:space="preserve">LFCC</t>
  </si>
  <si>
    <t xml:space="preserve">Guiscriff Scaer Airfield</t>
  </si>
  <si>
    <t xml:space="preserve">LFES</t>
  </si>
  <si>
    <t xml:space="preserve">Chaumont-Semoutiers Airfield</t>
  </si>
  <si>
    <t xml:space="preserve">LFJA</t>
  </si>
  <si>
    <t xml:space="preserve">Charleville-Mézières Ardennes-Etienne Riché Airfield</t>
  </si>
  <si>
    <t xml:space="preserve">LFQV</t>
  </si>
  <si>
    <t xml:space="preserve">Roanne-Renaison Airport</t>
  </si>
  <si>
    <t xml:space="preserve">LFLO</t>
  </si>
  <si>
    <t xml:space="preserve">Aérodrome de Saumur - Saint-Florent</t>
  </si>
  <si>
    <t xml:space="preserve">LFOD</t>
  </si>
  <si>
    <t xml:space="preserve">Vesoul-Frotey Airfield</t>
  </si>
  <si>
    <t xml:space="preserve">LFQW</t>
  </si>
  <si>
    <t xml:space="preserve">Chalon Champforgeuil Airfield</t>
  </si>
  <si>
    <t xml:space="preserve">LFLH</t>
  </si>
  <si>
    <t xml:space="preserve">Aubenas-South Ardèche Airport</t>
  </si>
  <si>
    <t xml:space="preserve">LFHO</t>
  </si>
  <si>
    <t xml:space="preserve">Le Mans-Arnage Airport</t>
  </si>
  <si>
    <t xml:space="preserve">LFRM</t>
  </si>
  <si>
    <t xml:space="preserve">Propriano Airport</t>
  </si>
  <si>
    <t xml:space="preserve">LFKO</t>
  </si>
  <si>
    <t xml:space="preserve">Le Luc-Le Cannet Airfield</t>
  </si>
  <si>
    <t xml:space="preserve">LFMC</t>
  </si>
  <si>
    <t xml:space="preserve">Besançon La Vèze Airfield</t>
  </si>
  <si>
    <t xml:space="preserve">LFQM</t>
  </si>
  <si>
    <t xml:space="preserve">Aérodrome d'Alès Cévennes</t>
  </si>
  <si>
    <t xml:space="preserve">LFMS</t>
  </si>
  <si>
    <t xml:space="preserve">Le Puy-Loudes Airfield</t>
  </si>
  <si>
    <t xml:space="preserve">LFHP</t>
  </si>
  <si>
    <t xml:space="preserve">Péronne Saint-Quentin Airfield</t>
  </si>
  <si>
    <t xml:space="preserve">LFAG</t>
  </si>
  <si>
    <t xml:space="preserve">Cholet Le Pontreau airfield</t>
  </si>
  <si>
    <t xml:space="preserve">LFOU</t>
  </si>
  <si>
    <t xml:space="preserve">Ussel-Thalamy Airfield</t>
  </si>
  <si>
    <t xml:space="preserve">LFCU</t>
  </si>
  <si>
    <t xml:space="preserve">Aérodrome d'Arcachon-La Teste-de-Buch</t>
  </si>
  <si>
    <t xml:space="preserve">LFCH</t>
  </si>
  <si>
    <t xml:space="preserve">Saint-Flour-Coltines Airfield</t>
  </si>
  <si>
    <t xml:space="preserve">LFHQ</t>
  </si>
  <si>
    <t xml:space="preserve">Amiens Glisy Airfield</t>
  </si>
  <si>
    <t xml:space="preserve">LFAY</t>
  </si>
  <si>
    <t xml:space="preserve">Aérodrome de Pamiers - Les Pujols</t>
  </si>
  <si>
    <t xml:space="preserve">LFDJ</t>
  </si>
  <si>
    <t xml:space="preserve">Moulins-Montbeugny Airfield</t>
  </si>
  <si>
    <t xml:space="preserve">LFHY</t>
  </si>
  <si>
    <t xml:space="preserve">Saint-Affrique-Belmont Airfield</t>
  </si>
  <si>
    <t xml:space="preserve">LFIF</t>
  </si>
  <si>
    <t xml:space="preserve">Mauléon Airfield</t>
  </si>
  <si>
    <t xml:space="preserve">LFJB</t>
  </si>
  <si>
    <t xml:space="preserve">Annemasse Airfield</t>
  </si>
  <si>
    <t xml:space="preserve">LFLI</t>
  </si>
  <si>
    <t xml:space="preserve">Mende-Brenoux Airfield</t>
  </si>
  <si>
    <t xml:space="preserve">LFNB</t>
  </si>
  <si>
    <t xml:space="preserve">Maubeuge-Élesmes Airfield</t>
  </si>
  <si>
    <t xml:space="preserve">LFQJ</t>
  </si>
  <si>
    <t xml:space="preserve">Royan-Médis Airport</t>
  </si>
  <si>
    <t xml:space="preserve">LFCY</t>
  </si>
  <si>
    <t xml:space="preserve">Abbeville-Buigny Baie de Somme Airfield</t>
  </si>
  <si>
    <t xml:space="preserve">LFOI</t>
  </si>
  <si>
    <t xml:space="preserve">Blois Le Breuil Airfield</t>
  </si>
  <si>
    <t xml:space="preserve">LFOQ</t>
  </si>
  <si>
    <t xml:space="preserve">Mâcon-Charnay Airfield</t>
  </si>
  <si>
    <t xml:space="preserve">LFLM</t>
  </si>
  <si>
    <t xml:space="preserve">Étampes-Mondésir Airfield</t>
  </si>
  <si>
    <t xml:space="preserve">LFOX</t>
  </si>
  <si>
    <t xml:space="preserve">Île d'Yeu Airport</t>
  </si>
  <si>
    <t xml:space="preserve">LFEY</t>
  </si>
  <si>
    <t xml:space="preserve">Marmande – Virazeil Airfield</t>
  </si>
  <si>
    <t xml:space="preserve">LFDM</t>
  </si>
  <si>
    <t xml:space="preserve">Ancenis Airfield</t>
  </si>
  <si>
    <t xml:space="preserve">LFFI</t>
  </si>
  <si>
    <t xml:space="preserve">Lapalisse - Périgny Airfield</t>
  </si>
  <si>
    <t xml:space="preserve">LFHX</t>
  </si>
  <si>
    <t xml:space="preserve">Montélimar-Ancône Airfield</t>
  </si>
  <si>
    <t xml:space="preserve">LFLQ</t>
  </si>
  <si>
    <t xml:space="preserve">Edgar Soumille Airfield</t>
  </si>
  <si>
    <t xml:space="preserve">LFNH</t>
  </si>
  <si>
    <t xml:space="preserve">Reims-Prunay Airfield</t>
  </si>
  <si>
    <t xml:space="preserve">LFQA</t>
  </si>
  <si>
    <t xml:space="preserve">Bourg-Ceyzériat Airfield</t>
  </si>
  <si>
    <t xml:space="preserve">LFHS</t>
  </si>
  <si>
    <t xml:space="preserve">Pontivy Airfield</t>
  </si>
  <si>
    <t xml:space="preserve">LFED</t>
  </si>
  <si>
    <t xml:space="preserve">Verdun-Le Rozelier Airfield</t>
  </si>
  <si>
    <t xml:space="preserve">LFGW</t>
  </si>
  <si>
    <t xml:space="preserve">Aérodrome de Muret - Lherm</t>
  </si>
  <si>
    <t xml:space="preserve">LFBR</t>
  </si>
  <si>
    <t xml:space="preserve">Aérodrome de Saint-Girons - Antichan</t>
  </si>
  <si>
    <t xml:space="preserve">LFCG</t>
  </si>
  <si>
    <t xml:space="preserve">Libourne-Artigues-de-Lussac Airfield</t>
  </si>
  <si>
    <t xml:space="preserve">LFDI</t>
  </si>
  <si>
    <t xml:space="preserve">Toussus-le-Noble Airport</t>
  </si>
  <si>
    <t xml:space="preserve">LFPN</t>
  </si>
  <si>
    <t xml:space="preserve">La Môle Airport</t>
  </si>
  <si>
    <t xml:space="preserve">LFTZ</t>
  </si>
  <si>
    <t xml:space="preserve">Bagnoles-Couterne Airfield</t>
  </si>
  <si>
    <t xml:space="preserve">LFAO</t>
  </si>
  <si>
    <t xml:space="preserve">Joigny Airfield</t>
  </si>
  <si>
    <t xml:space="preserve">LFGK</t>
  </si>
  <si>
    <t xml:space="preserve">Cassagnes-Bégonhès Airfield</t>
  </si>
  <si>
    <t xml:space="preserve">LFIG</t>
  </si>
  <si>
    <t xml:space="preserve">Villeneuve-sur-Lot Airfield</t>
  </si>
  <si>
    <t xml:space="preserve">LFCW</t>
  </si>
  <si>
    <t xml:space="preserve">Aérodrome de Mimizan</t>
  </si>
  <si>
    <t xml:space="preserve">LFCZ</t>
  </si>
  <si>
    <t xml:space="preserve">Villefranche-Tarare Airfield</t>
  </si>
  <si>
    <t xml:space="preserve">LFHV</t>
  </si>
  <si>
    <t xml:space="preserve">Lunéville-Croismare Airfield</t>
  </si>
  <si>
    <t xml:space="preserve">LFQC</t>
  </si>
  <si>
    <t xml:space="preserve">Autun-Bellevue Airfield</t>
  </si>
  <si>
    <t xml:space="preserve">LFQF</t>
  </si>
  <si>
    <t xml:space="preserve">Aubigny-sur-Nère Airfield</t>
  </si>
  <si>
    <t xml:space="preserve">LFEH</t>
  </si>
  <si>
    <t xml:space="preserve">Nogaro Airfield</t>
  </si>
  <si>
    <t xml:space="preserve">LFCN</t>
  </si>
  <si>
    <t xml:space="preserve">Aire-sur-l'Adour Airfield</t>
  </si>
  <si>
    <t xml:space="preserve">LFDA</t>
  </si>
  <si>
    <t xml:space="preserve">Mulhouse-Habsheim Airfield</t>
  </si>
  <si>
    <t xml:space="preserve">LFGB</t>
  </si>
  <si>
    <t xml:space="preserve">Chambéry Challes-les-Eaux Airfield</t>
  </si>
  <si>
    <t xml:space="preserve">LFLE</t>
  </si>
  <si>
    <t xml:space="preserve">Montluçon-Domérat Airfield</t>
  </si>
  <si>
    <t xml:space="preserve">LFLT</t>
  </si>
  <si>
    <t xml:space="preserve">Lézignan-Corbières Airfield</t>
  </si>
  <si>
    <t xml:space="preserve">LFMZ</t>
  </si>
  <si>
    <t xml:space="preserve">Pontarlier Airfield</t>
  </si>
  <si>
    <t xml:space="preserve">LFSP</t>
  </si>
  <si>
    <t xml:space="preserve">Haguenau Airfield</t>
  </si>
  <si>
    <t xml:space="preserve">LFSH</t>
  </si>
  <si>
    <t xml:space="preserve">Aérodrome Morin - Védrines</t>
  </si>
  <si>
    <t xml:space="preserve">LFDB</t>
  </si>
  <si>
    <t xml:space="preserve">Persan-Beaumont Airfield</t>
  </si>
  <si>
    <t xml:space="preserve">LFPA</t>
  </si>
  <si>
    <t xml:space="preserve">Aérodrome de Graulhet-Montdragon</t>
  </si>
  <si>
    <t xml:space="preserve">LFCQ</t>
  </si>
  <si>
    <t xml:space="preserve">Aérodrome privé de Soucelles</t>
  </si>
  <si>
    <t xml:space="preserve">LF50</t>
  </si>
  <si>
    <t xml:space="preserve">Granville Airport</t>
  </si>
  <si>
    <t xml:space="preserve">LFRF</t>
  </si>
  <si>
    <t xml:space="preserve">Nangis-Les Loges Aerodrome</t>
  </si>
  <si>
    <t xml:space="preserve">LFAI</t>
  </si>
  <si>
    <t xml:space="preserve">Toulouse-Lasbordes Airfield</t>
  </si>
  <si>
    <t xml:space="preserve">LFCL</t>
  </si>
  <si>
    <t xml:space="preserve">Sézanne-Saint-Remy Airfield</t>
  </si>
  <si>
    <t xml:space="preserve">LFFZ</t>
  </si>
  <si>
    <t xml:space="preserve">La Baule-Escoublac Airport</t>
  </si>
  <si>
    <t xml:space="preserve">LFRE</t>
  </si>
  <si>
    <t xml:space="preserve">Gap-Tallard Airfield</t>
  </si>
  <si>
    <t xml:space="preserve">LFNA</t>
  </si>
  <si>
    <t xml:space="preserve">Aérodrome de Corte</t>
  </si>
  <si>
    <t xml:space="preserve">LFKT</t>
  </si>
  <si>
    <t xml:space="preserve">Aérodrome de Feurs - Chambéon</t>
  </si>
  <si>
    <t xml:space="preserve">LFLZ</t>
  </si>
  <si>
    <t xml:space="preserve">Beaune-Challanges Airfield</t>
  </si>
  <si>
    <t xml:space="preserve">LFGF</t>
  </si>
  <si>
    <t xml:space="preserve">Eu Mers-Le Tréport Airfield</t>
  </si>
  <si>
    <t xml:space="preserve">LFAE</t>
  </si>
  <si>
    <t xml:space="preserve">Aérodrome de Figeac - Livernon</t>
  </si>
  <si>
    <t xml:space="preserve">LFCF</t>
  </si>
  <si>
    <t xml:space="preserve">Saint-Rambert-d'Albon Airfield</t>
  </si>
  <si>
    <t xml:space="preserve">LFLR</t>
  </si>
  <si>
    <t xml:space="preserve">Aérodrome de Montpellier - Candillargues</t>
  </si>
  <si>
    <t xml:space="preserve">LFNG</t>
  </si>
  <si>
    <t xml:space="preserve">Cambrai Niergnies Airfield</t>
  </si>
  <si>
    <t xml:space="preserve">LFYG</t>
  </si>
  <si>
    <t xml:space="preserve">Saint-Dié-Remomeix Airfield</t>
  </si>
  <si>
    <t xml:space="preserve">LFGY</t>
  </si>
  <si>
    <t xml:space="preserve">Mont-Dauphin Saint-Crépin Airfield</t>
  </si>
  <si>
    <t xml:space="preserve">LFNC</t>
  </si>
  <si>
    <t xml:space="preserve">Chartres-Métropole Airfield</t>
  </si>
  <si>
    <t xml:space="preserve">LFOR</t>
  </si>
  <si>
    <t xml:space="preserve">Ouessant Airport</t>
  </si>
  <si>
    <t xml:space="preserve">LFEC</t>
  </si>
  <si>
    <t xml:space="preserve">Dinan-Trélivan Airfield</t>
  </si>
  <si>
    <t xml:space="preserve">LFEB</t>
  </si>
  <si>
    <t xml:space="preserve">Strasbourg Neuhof Airfield</t>
  </si>
  <si>
    <t xml:space="preserve">LFGC</t>
  </si>
  <si>
    <t xml:space="preserve">Aérodrome de Castelnaudary-Villeneuve</t>
  </si>
  <si>
    <t xml:space="preserve">LFMW</t>
  </si>
  <si>
    <t xml:space="preserve">Aérodrome de Bordeaux-Léognan-Saucats</t>
  </si>
  <si>
    <t xml:space="preserve">LFCS</t>
  </si>
  <si>
    <t xml:space="preserve">Gray Saint-Adrien Airfield</t>
  </si>
  <si>
    <t xml:space="preserve">LFEV</t>
  </si>
  <si>
    <t xml:space="preserve">Albertville General Pierre Delachenal Airfield</t>
  </si>
  <si>
    <t xml:space="preserve">LFKA</t>
  </si>
  <si>
    <t xml:space="preserve">Quiberon Airfield</t>
  </si>
  <si>
    <t xml:space="preserve">LFEQ</t>
  </si>
  <si>
    <t xml:space="preserve">Soulac Sur Mer Airfield</t>
  </si>
  <si>
    <t xml:space="preserve">LFDK</t>
  </si>
  <si>
    <t xml:space="preserve">Dijon Darois Airfield</t>
  </si>
  <si>
    <t xml:space="preserve">LFGI</t>
  </si>
  <si>
    <t xml:space="preserve">Ambert - Le Poyet Airfield</t>
  </si>
  <si>
    <t xml:space="preserve">LFHT</t>
  </si>
  <si>
    <t xml:space="preserve">Semur-en-Auxois Airfield</t>
  </si>
  <si>
    <t xml:space="preserve">LFGQ</t>
  </si>
  <si>
    <t xml:space="preserve">Saulieu-Liernais Airfield</t>
  </si>
  <si>
    <t xml:space="preserve">LFEW</t>
  </si>
  <si>
    <t xml:space="preserve">Aérodrome de Flers Saint-Paul</t>
  </si>
  <si>
    <t xml:space="preserve">LFOG</t>
  </si>
  <si>
    <t xml:space="preserve">Aérodrome de Lacave le Frau</t>
  </si>
  <si>
    <t xml:space="preserve">FR-0394</t>
  </si>
  <si>
    <t xml:space="preserve">Amboise Dierre Airfield</t>
  </si>
  <si>
    <t xml:space="preserve">LFEF</t>
  </si>
  <si>
    <t xml:space="preserve">Tours Sorigny Airfield</t>
  </si>
  <si>
    <t xml:space="preserve">LFEN</t>
  </si>
  <si>
    <t xml:space="preserve">Lognes Emerainville Airfield</t>
  </si>
  <si>
    <t xml:space="preserve">LFPL</t>
  </si>
  <si>
    <t xml:space="preserve">Fontenay-Trésigny Aerodrome</t>
  </si>
  <si>
    <t xml:space="preserve">LFPQ</t>
  </si>
  <si>
    <t xml:space="preserve">Le Plessis-Belleville Airfield</t>
  </si>
  <si>
    <t xml:space="preserve">LFPP</t>
  </si>
  <si>
    <t xml:space="preserve">Guéret Saint-Laurent Airfield</t>
  </si>
  <si>
    <t xml:space="preserve">LFCE</t>
  </si>
  <si>
    <t xml:space="preserve">Bellegarde-Vouvray Airfield</t>
  </si>
  <si>
    <t xml:space="preserve">LFHN</t>
  </si>
  <si>
    <t xml:space="preserve">Aérodrome de Belle Île</t>
  </si>
  <si>
    <t xml:space="preserve">LFEA</t>
  </si>
  <si>
    <t xml:space="preserve">Argenton-sur-Creuse Airfield</t>
  </si>
  <si>
    <t xml:space="preserve">LFEG</t>
  </si>
  <si>
    <t xml:space="preserve">Saint-Inglevert Aerodrome</t>
  </si>
  <si>
    <t xml:space="preserve">LFIS</t>
  </si>
  <si>
    <t xml:space="preserve">Condat sur Vézère</t>
  </si>
  <si>
    <t xml:space="preserve">FR-1277</t>
  </si>
  <si>
    <t xml:space="preserve">Saint-Omer Wizernes Airfield</t>
  </si>
  <si>
    <t xml:space="preserve">LFQN</t>
  </si>
  <si>
    <t xml:space="preserve">Megève Altiport</t>
  </si>
  <si>
    <t xml:space="preserve">LFHM</t>
  </si>
  <si>
    <t xml:space="preserve">Courchevel Altiport</t>
  </si>
  <si>
    <t xml:space="preserve">LFLJ</t>
  </si>
  <si>
    <t xml:space="preserve">Färöer (Dänemark)  (1 Flugplätze)</t>
  </si>
  <si>
    <t xml:space="preserve">Vágar Airport</t>
  </si>
  <si>
    <t xml:space="preserve">EKVG</t>
  </si>
  <si>
    <t xml:space="preserve">Georgien  (6 Flugplätze)</t>
  </si>
  <si>
    <t xml:space="preserve">Vladislav Ardzinba Sukhum International Airport</t>
  </si>
  <si>
    <t xml:space="preserve">UGSS</t>
  </si>
  <si>
    <t xml:space="preserve">Tbilisi International Airport</t>
  </si>
  <si>
    <t xml:space="preserve">UGTB</t>
  </si>
  <si>
    <t xml:space="preserve">David the Builder Kutaisi International Airport</t>
  </si>
  <si>
    <t xml:space="preserve">UGKO</t>
  </si>
  <si>
    <t xml:space="preserve">Alexander Kartveli Batumi International Airport</t>
  </si>
  <si>
    <t xml:space="preserve">UGSB</t>
  </si>
  <si>
    <t xml:space="preserve">Telavi Kurdgelauri Airport</t>
  </si>
  <si>
    <t xml:space="preserve">UG25</t>
  </si>
  <si>
    <t xml:space="preserve">Ambrolauri Airport</t>
  </si>
  <si>
    <t xml:space="preserve">UGAM</t>
  </si>
  <si>
    <t xml:space="preserve">Gibraltar (UK)  (1 Flugplätze)</t>
  </si>
  <si>
    <t xml:space="preserve">Gibraltar Airport</t>
  </si>
  <si>
    <t xml:space="preserve">LXGB</t>
  </si>
  <si>
    <t xml:space="preserve">Griechenland  (45 Flugplätze)</t>
  </si>
  <si>
    <t xml:space="preserve">Athens Eleftherios Venizelos International Airport</t>
  </si>
  <si>
    <t xml:space="preserve">LGAV</t>
  </si>
  <si>
    <t xml:space="preserve">Thessaloniki Macedonia International Airport</t>
  </si>
  <si>
    <t xml:space="preserve">LGTS</t>
  </si>
  <si>
    <t xml:space="preserve">Patras Araxos Agamemnon Airport</t>
  </si>
  <si>
    <t xml:space="preserve">LGRX</t>
  </si>
  <si>
    <t xml:space="preserve">Chania International Airport</t>
  </si>
  <si>
    <t xml:space="preserve">LGSA</t>
  </si>
  <si>
    <t xml:space="preserve">Rhodes International Airport "Diagoras"</t>
  </si>
  <si>
    <t xml:space="preserve">LGRP</t>
  </si>
  <si>
    <t xml:space="preserve">Limnos Airport</t>
  </si>
  <si>
    <t xml:space="preserve">LGLM</t>
  </si>
  <si>
    <t xml:space="preserve">Skiros Airport</t>
  </si>
  <si>
    <t xml:space="preserve">LGSY</t>
  </si>
  <si>
    <t xml:space="preserve">Kalamata Airport</t>
  </si>
  <si>
    <t xml:space="preserve">LGKL</t>
  </si>
  <si>
    <t xml:space="preserve">Kavala Alexander the Great International Airport</t>
  </si>
  <si>
    <t xml:space="preserve">LGKV</t>
  </si>
  <si>
    <t xml:space="preserve">Aktion National Airport</t>
  </si>
  <si>
    <t xml:space="preserve">LGPZ</t>
  </si>
  <si>
    <t xml:space="preserve">Nea Anchialos National Airport</t>
  </si>
  <si>
    <t xml:space="preserve">LGBL</t>
  </si>
  <si>
    <t xml:space="preserve">Heraklion International Nikos Kazantzakis Airport</t>
  </si>
  <si>
    <t xml:space="preserve">LGIR</t>
  </si>
  <si>
    <t xml:space="preserve">Kastoria National Airport Aristotle</t>
  </si>
  <si>
    <t xml:space="preserve">LGKA</t>
  </si>
  <si>
    <t xml:space="preserve">Alexandroupoli Democritus Airport</t>
  </si>
  <si>
    <t xml:space="preserve">LGAL</t>
  </si>
  <si>
    <t xml:space="preserve">Kefallinia Airport</t>
  </si>
  <si>
    <t xml:space="preserve">LGKF</t>
  </si>
  <si>
    <t xml:space="preserve">Mytilene International Airport</t>
  </si>
  <si>
    <t xml:space="preserve">LGMT</t>
  </si>
  <si>
    <t xml:space="preserve">Ioannina King Pyrrhus National Airport</t>
  </si>
  <si>
    <t xml:space="preserve">LGIO</t>
  </si>
  <si>
    <t xml:space="preserve">Karpathos Airport</t>
  </si>
  <si>
    <t xml:space="preserve">LGKP</t>
  </si>
  <si>
    <t xml:space="preserve">Kos International Airport "Ippokratis"</t>
  </si>
  <si>
    <t xml:space="preserve">LGKO</t>
  </si>
  <si>
    <t xml:space="preserve">Corfu Ioannis Kapodistrias International Airport</t>
  </si>
  <si>
    <t xml:space="preserve">LGKR</t>
  </si>
  <si>
    <t xml:space="preserve">Zakynthos International Airport Dionysios Solomos</t>
  </si>
  <si>
    <t xml:space="preserve">LGZA</t>
  </si>
  <si>
    <t xml:space="preserve">Santorini International Airport</t>
  </si>
  <si>
    <t xml:space="preserve">LGSR</t>
  </si>
  <si>
    <t xml:space="preserve">Sitia Airport</t>
  </si>
  <si>
    <t xml:space="preserve">LGST</t>
  </si>
  <si>
    <t xml:space="preserve">Samos Airport</t>
  </si>
  <si>
    <t xml:space="preserve">LGSM</t>
  </si>
  <si>
    <t xml:space="preserve">Mykonos Island National Airport</t>
  </si>
  <si>
    <t xml:space="preserve">LGMK</t>
  </si>
  <si>
    <t xml:space="preserve">Kozani National Airport Filippos</t>
  </si>
  <si>
    <t xml:space="preserve">LGKZ</t>
  </si>
  <si>
    <t xml:space="preserve">Alexandria (Gidas) Airfield</t>
  </si>
  <si>
    <t xml:space="preserve">LGAX</t>
  </si>
  <si>
    <t xml:space="preserve">Skiathos Island National Airport</t>
  </si>
  <si>
    <t xml:space="preserve">LGSK</t>
  </si>
  <si>
    <t xml:space="preserve">Tatoi Airport</t>
  </si>
  <si>
    <t xml:space="preserve">LGTT</t>
  </si>
  <si>
    <t xml:space="preserve">Chios Island National Airport</t>
  </si>
  <si>
    <t xml:space="preserve">LGHI</t>
  </si>
  <si>
    <t xml:space="preserve">Kithira Airport</t>
  </si>
  <si>
    <t xml:space="preserve">LGKC</t>
  </si>
  <si>
    <t xml:space="preserve">Paros National Airport</t>
  </si>
  <si>
    <t xml:space="preserve">LGPA</t>
  </si>
  <si>
    <t xml:space="preserve">Ikaria Airport</t>
  </si>
  <si>
    <t xml:space="preserve">LGIK</t>
  </si>
  <si>
    <t xml:space="preserve">Kavala Amygdaleon Lydia Airfield</t>
  </si>
  <si>
    <t xml:space="preserve">LGKM</t>
  </si>
  <si>
    <t xml:space="preserve">Syros Airport</t>
  </si>
  <si>
    <t xml:space="preserve">LGSO</t>
  </si>
  <si>
    <t xml:space="preserve">Milos Airport</t>
  </si>
  <si>
    <t xml:space="preserve">LGML</t>
  </si>
  <si>
    <t xml:space="preserve">Triodos Airfield</t>
  </si>
  <si>
    <t xml:space="preserve">LG55</t>
  </si>
  <si>
    <t xml:space="preserve">Olimpoi Aerodrome</t>
  </si>
  <si>
    <t xml:space="preserve">LG56</t>
  </si>
  <si>
    <t xml:space="preserve">Kalymnos Airport</t>
  </si>
  <si>
    <t xml:space="preserve">LGKY</t>
  </si>
  <si>
    <t xml:space="preserve">Leros Airport</t>
  </si>
  <si>
    <t xml:space="preserve">LGLE</t>
  </si>
  <si>
    <t xml:space="preserve">Sparti Airfield</t>
  </si>
  <si>
    <t xml:space="preserve">LGSP</t>
  </si>
  <si>
    <t xml:space="preserve">Astypalaia Airport</t>
  </si>
  <si>
    <t xml:space="preserve">LGPL</t>
  </si>
  <si>
    <t xml:space="preserve">Kasos Airport</t>
  </si>
  <si>
    <t xml:space="preserve">LGKS</t>
  </si>
  <si>
    <t xml:space="preserve">Kastelorizo Airport</t>
  </si>
  <si>
    <t xml:space="preserve">LGKJ</t>
  </si>
  <si>
    <t xml:space="preserve">Myrini - Karditsa Airfield</t>
  </si>
  <si>
    <t xml:space="preserve">GR-0014</t>
  </si>
  <si>
    <t xml:space="preserve">Guernsey  (2 Flugplätze)</t>
  </si>
  <si>
    <t xml:space="preserve">Guernsey Airport</t>
  </si>
  <si>
    <t xml:space="preserve">EGJB</t>
  </si>
  <si>
    <t xml:space="preserve">Alderney Airport</t>
  </si>
  <si>
    <t xml:space="preserve">EGJA</t>
  </si>
  <si>
    <t xml:space="preserve">Irland  (12 Flugplätze)</t>
  </si>
  <si>
    <t xml:space="preserve">Shannon Airport</t>
  </si>
  <si>
    <t xml:space="preserve">EINN</t>
  </si>
  <si>
    <t xml:space="preserve">Dublin Airport</t>
  </si>
  <si>
    <t xml:space="preserve">EIDW</t>
  </si>
  <si>
    <t xml:space="preserve">Ireland West Airport Knock</t>
  </si>
  <si>
    <t xml:space="preserve">EIKN</t>
  </si>
  <si>
    <t xml:space="preserve">Cork International Airport</t>
  </si>
  <si>
    <t xml:space="preserve">EICK</t>
  </si>
  <si>
    <t xml:space="preserve">Kerry Airport</t>
  </si>
  <si>
    <t xml:space="preserve">EIKY</t>
  </si>
  <si>
    <t xml:space="preserve">Donegal Airport</t>
  </si>
  <si>
    <t xml:space="preserve">EIDL</t>
  </si>
  <si>
    <t xml:space="preserve">Waterford Airport</t>
  </si>
  <si>
    <t xml:space="preserve">EIWF</t>
  </si>
  <si>
    <t xml:space="preserve">Sligo Airport</t>
  </si>
  <si>
    <t xml:space="preserve">EISG</t>
  </si>
  <si>
    <t xml:space="preserve">Weston Airport</t>
  </si>
  <si>
    <t xml:space="preserve">EIWT</t>
  </si>
  <si>
    <t xml:space="preserve">Clonbullogue Aerodrome</t>
  </si>
  <si>
    <t xml:space="preserve">EICL</t>
  </si>
  <si>
    <t xml:space="preserve">Abbeyshrule Aerodrome</t>
  </si>
  <si>
    <t xml:space="preserve">EIAB</t>
  </si>
  <si>
    <t xml:space="preserve">Inishmaan Aerodrome</t>
  </si>
  <si>
    <t xml:space="preserve">EIMN</t>
  </si>
  <si>
    <t xml:space="preserve">Island  (18 Flugplätze)</t>
  </si>
  <si>
    <t xml:space="preserve">Keflavik International Airport</t>
  </si>
  <si>
    <t xml:space="preserve">BIKF</t>
  </si>
  <si>
    <t xml:space="preserve">Akureyri International Airport</t>
  </si>
  <si>
    <t xml:space="preserve">BIAR</t>
  </si>
  <si>
    <t xml:space="preserve">Egilsstaðir Airport</t>
  </si>
  <si>
    <t xml:space="preserve">BIEG</t>
  </si>
  <si>
    <t xml:space="preserve">Sauðárkrókur Airport</t>
  </si>
  <si>
    <t xml:space="preserve">BIKR</t>
  </si>
  <si>
    <t xml:space="preserve">Húsavík Airport</t>
  </si>
  <si>
    <t xml:space="preserve">BIHU</t>
  </si>
  <si>
    <t xml:space="preserve">Reykjavík Domestic Airport</t>
  </si>
  <si>
    <t xml:space="preserve">BIRK</t>
  </si>
  <si>
    <t xml:space="preserve">Hornafjörður Airport</t>
  </si>
  <si>
    <t xml:space="preserve">BIHN</t>
  </si>
  <si>
    <t xml:space="preserve">Ísafjörður Airport</t>
  </si>
  <si>
    <t xml:space="preserve">BIIS</t>
  </si>
  <si>
    <t xml:space="preserve">Rif Airport</t>
  </si>
  <si>
    <t xml:space="preserve">BIRF</t>
  </si>
  <si>
    <t xml:space="preserve">Þórshöfn Airport</t>
  </si>
  <si>
    <t xml:space="preserve">BITN</t>
  </si>
  <si>
    <t xml:space="preserve">Vestmannaeyjar Airport</t>
  </si>
  <si>
    <t xml:space="preserve">BIVM</t>
  </si>
  <si>
    <t xml:space="preserve">Siglufjörður Airport</t>
  </si>
  <si>
    <t xml:space="preserve">BISI</t>
  </si>
  <si>
    <t xml:space="preserve">Mývatn Airport</t>
  </si>
  <si>
    <t xml:space="preserve">BIRL</t>
  </si>
  <si>
    <t xml:space="preserve">Grímsey Airport</t>
  </si>
  <si>
    <t xml:space="preserve">BIGR</t>
  </si>
  <si>
    <t xml:space="preserve">Gjögur Airport</t>
  </si>
  <si>
    <t xml:space="preserve">BIGJ</t>
  </si>
  <si>
    <t xml:space="preserve">Bildudalur Airport</t>
  </si>
  <si>
    <t xml:space="preserve">BIBD</t>
  </si>
  <si>
    <t xml:space="preserve">Vopnafjörður Airport</t>
  </si>
  <si>
    <t xml:space="preserve">BIVO</t>
  </si>
  <si>
    <t xml:space="preserve">Sandskeið Airport</t>
  </si>
  <si>
    <t xml:space="preserve">BISS</t>
  </si>
  <si>
    <t xml:space="preserve">Isle of Man  (1 Flugplätze)</t>
  </si>
  <si>
    <t xml:space="preserve">Isle of Man Airport</t>
  </si>
  <si>
    <t xml:space="preserve">EGNS</t>
  </si>
  <si>
    <t xml:space="preserve">Italien  (84 Flugplätze)</t>
  </si>
  <si>
    <t xml:space="preserve">Milan Malpensa International Airport</t>
  </si>
  <si>
    <t xml:space="preserve">LIMC</t>
  </si>
  <si>
    <t xml:space="preserve">Rome–Fiumicino Leonardo da Vinci International Airport</t>
  </si>
  <si>
    <t xml:space="preserve">LIRF</t>
  </si>
  <si>
    <t xml:space="preserve">Falcone–Borsellino Airport</t>
  </si>
  <si>
    <t xml:space="preserve">LICJ</t>
  </si>
  <si>
    <t xml:space="preserve">Turin Airport</t>
  </si>
  <si>
    <t xml:space="preserve">LIMF</t>
  </si>
  <si>
    <t xml:space="preserve">Venice Marco Polo Airport</t>
  </si>
  <si>
    <t xml:space="preserve">LIPZ</t>
  </si>
  <si>
    <t xml:space="preserve">Taranto-Grottaglie Marcello Arlotta Airport</t>
  </si>
  <si>
    <t xml:space="preserve">LIBG</t>
  </si>
  <si>
    <t xml:space="preserve">Verona Villafranca Valerio Catullo Airport</t>
  </si>
  <si>
    <t xml:space="preserve">LIPX</t>
  </si>
  <si>
    <t xml:space="preserve">Brindisi Airport</t>
  </si>
  <si>
    <t xml:space="preserve">LIBR</t>
  </si>
  <si>
    <t xml:space="preserve">Lamezia Terme Sant'Eufemia International Airport</t>
  </si>
  <si>
    <t xml:space="preserve">LICA</t>
  </si>
  <si>
    <t xml:space="preserve">Bari Karol Wojtyła International Airport</t>
  </si>
  <si>
    <t xml:space="preserve">LIBD</t>
  </si>
  <si>
    <t xml:space="preserve">Alghero-Fertilia Airport</t>
  </si>
  <si>
    <t xml:space="preserve">LIEA</t>
  </si>
  <si>
    <t xml:space="preserve">Trieste Airport</t>
  </si>
  <si>
    <t xml:space="preserve">LIPQ</t>
  </si>
  <si>
    <t xml:space="preserve">Federico Fellini International Airport</t>
  </si>
  <si>
    <t xml:space="preserve">LIPR</t>
  </si>
  <si>
    <t xml:space="preserve">Pisa International Airport</t>
  </si>
  <si>
    <t xml:space="preserve">LIRP</t>
  </si>
  <si>
    <t xml:space="preserve">Brescia Gabriele d'Annunzio Airport</t>
  </si>
  <si>
    <t xml:space="preserve">LIPO</t>
  </si>
  <si>
    <t xml:space="preserve">Marche Airport</t>
  </si>
  <si>
    <t xml:space="preserve">LIPY</t>
  </si>
  <si>
    <t xml:space="preserve">Genoa Cristoforo Colombo Airport</t>
  </si>
  <si>
    <t xml:space="preserve">LIMJ</t>
  </si>
  <si>
    <t xml:space="preserve">Il Caravaggio International Airport</t>
  </si>
  <si>
    <t xml:space="preserve">LIME</t>
  </si>
  <si>
    <t xml:space="preserve">Cagliari Elmas Airport</t>
  </si>
  <si>
    <t xml:space="preserve">LIEE</t>
  </si>
  <si>
    <t xml:space="preserve">Bologna Guglielmo Marconi Airport</t>
  </si>
  <si>
    <t xml:space="preserve">LIPE</t>
  </si>
  <si>
    <t xml:space="preserve">Olbia Costa Smeralda Airport</t>
  </si>
  <si>
    <t xml:space="preserve">LIEO</t>
  </si>
  <si>
    <t xml:space="preserve">Vincenzo Florio Airport Trapani-Birgi</t>
  </si>
  <si>
    <t xml:space="preserve">LICT</t>
  </si>
  <si>
    <t xml:space="preserve">Naples International Airport</t>
  </si>
  <si>
    <t xml:space="preserve">LIRN</t>
  </si>
  <si>
    <t xml:space="preserve">Comiso Airport</t>
  </si>
  <si>
    <t xml:space="preserve">LICB</t>
  </si>
  <si>
    <t xml:space="preserve">Milano Linate Airport</t>
  </si>
  <si>
    <t xml:space="preserve">LIML</t>
  </si>
  <si>
    <t xml:space="preserve">Catania-Fontanarossa Airport</t>
  </si>
  <si>
    <t xml:space="preserve">LICC</t>
  </si>
  <si>
    <t xml:space="preserve">Treviso Airport</t>
  </si>
  <si>
    <t xml:space="preserve">LIPH</t>
  </si>
  <si>
    <t xml:space="preserve">Abruzzo Airport</t>
  </si>
  <si>
    <t xml:space="preserve">LIBP</t>
  </si>
  <si>
    <t xml:space="preserve">Forlì-Luigi Ridolfi International Airport</t>
  </si>
  <si>
    <t xml:space="preserve">LIPK</t>
  </si>
  <si>
    <t xml:space="preserve">Ciampino–G. B. Pastine International Airport</t>
  </si>
  <si>
    <t xml:space="preserve">LIRA</t>
  </si>
  <si>
    <t xml:space="preserve">Perugia San Francesco d'Assisi – Umbria International Airport</t>
  </si>
  <si>
    <t xml:space="preserve">LIRZ</t>
  </si>
  <si>
    <t xml:space="preserve">Parma Airport</t>
  </si>
  <si>
    <t xml:space="preserve">LIMP</t>
  </si>
  <si>
    <t xml:space="preserve">Cuneo International Airport</t>
  </si>
  <si>
    <t xml:space="preserve">LIMZ</t>
  </si>
  <si>
    <t xml:space="preserve">Crotone Sant'Anna Pythagoras Airport</t>
  </si>
  <si>
    <t xml:space="preserve">LIBC</t>
  </si>
  <si>
    <t xml:space="preserve">Reggio Calabria Airport</t>
  </si>
  <si>
    <t xml:space="preserve">LICR</t>
  </si>
  <si>
    <t xml:space="preserve">Salerno Costa d'Amalfi Airport</t>
  </si>
  <si>
    <t xml:space="preserve">LIRI</t>
  </si>
  <si>
    <t xml:space="preserve">Lampedusa Airport</t>
  </si>
  <si>
    <t xml:space="preserve">LICD</t>
  </si>
  <si>
    <t xml:space="preserve">Bolzano Airport</t>
  </si>
  <si>
    <t xml:space="preserve">LIPB</t>
  </si>
  <si>
    <t xml:space="preserve">Foggia Gino Lisa Airport</t>
  </si>
  <si>
    <t xml:space="preserve">LIBF</t>
  </si>
  <si>
    <t xml:space="preserve">Pantelleria Airport</t>
  </si>
  <si>
    <t xml:space="preserve">LICG</t>
  </si>
  <si>
    <t xml:space="preserve">Florence Airport, Peretola</t>
  </si>
  <si>
    <t xml:space="preserve">LIRQ</t>
  </si>
  <si>
    <t xml:space="preserve">Scalea Airport</t>
  </si>
  <si>
    <t xml:space="preserve">IT-0030</t>
  </si>
  <si>
    <t xml:space="preserve">Riviera Villanova d'Albenga International Airport</t>
  </si>
  <si>
    <t xml:space="preserve">LIMG</t>
  </si>
  <si>
    <t xml:space="preserve">Varese-Venegono Airport</t>
  </si>
  <si>
    <t xml:space="preserve">LILN</t>
  </si>
  <si>
    <t xml:space="preserve">L'Aquila–Preturo Airport</t>
  </si>
  <si>
    <t xml:space="preserve">LIAP</t>
  </si>
  <si>
    <t xml:space="preserve">Enrico Mattei Airfield</t>
  </si>
  <si>
    <t xml:space="preserve">IT-0177</t>
  </si>
  <si>
    <t xml:space="preserve">Foligno Airfield</t>
  </si>
  <si>
    <t xml:space="preserve">LIAF</t>
  </si>
  <si>
    <t xml:space="preserve">Siena-Ampugnano Airport</t>
  </si>
  <si>
    <t xml:space="preserve">LIQS</t>
  </si>
  <si>
    <t xml:space="preserve">Biella-Cerrione Airfield</t>
  </si>
  <si>
    <t xml:space="preserve">LILE</t>
  </si>
  <si>
    <t xml:space="preserve">Viterbo Airport</t>
  </si>
  <si>
    <t xml:space="preserve">LIRV</t>
  </si>
  <si>
    <t xml:space="preserve">Aosta Corrado Gex Airport</t>
  </si>
  <si>
    <t xml:space="preserve">LIMW</t>
  </si>
  <si>
    <t xml:space="preserve">Palermo-Boccadifalco Airport</t>
  </si>
  <si>
    <t xml:space="preserve">LICP</t>
  </si>
  <si>
    <t xml:space="preserve">Reggio Emilia Airport</t>
  </si>
  <si>
    <t xml:space="preserve">LIDE</t>
  </si>
  <si>
    <t xml:space="preserve">Ravenna Airport</t>
  </si>
  <si>
    <t xml:space="preserve">LIDR</t>
  </si>
  <si>
    <t xml:space="preserve">Oristano-Fenosu Airport</t>
  </si>
  <si>
    <t xml:space="preserve">LIER</t>
  </si>
  <si>
    <t xml:space="preserve">Pavullo Airfield</t>
  </si>
  <si>
    <t xml:space="preserve">LIDP</t>
  </si>
  <si>
    <t xml:space="preserve">Tortolì Airport</t>
  </si>
  <si>
    <t xml:space="preserve">LIET</t>
  </si>
  <si>
    <t xml:space="preserve">Trento-Mattarello Airport</t>
  </si>
  <si>
    <t xml:space="preserve">LIDT</t>
  </si>
  <si>
    <t xml:space="preserve">Padova Gino Allegri Airfield</t>
  </si>
  <si>
    <t xml:space="preserve">LIPU</t>
  </si>
  <si>
    <t xml:space="preserve">Asiago Romeo Sartori Airfield</t>
  </si>
  <si>
    <t xml:space="preserve">LIDA</t>
  </si>
  <si>
    <t xml:space="preserve">Rome Urbe Airport</t>
  </si>
  <si>
    <t xml:space="preserve">LIRU</t>
  </si>
  <si>
    <t xml:space="preserve">Milano-Bresso Airfield</t>
  </si>
  <si>
    <t xml:space="preserve">LIMB</t>
  </si>
  <si>
    <t xml:space="preserve">Torino-Aeritalia Airport</t>
  </si>
  <si>
    <t xml:space="preserve">LIMA</t>
  </si>
  <si>
    <t xml:space="preserve">Caiolo Sondrio Airfield</t>
  </si>
  <si>
    <t xml:space="preserve">LILO</t>
  </si>
  <si>
    <t xml:space="preserve">Verona-Boscomantico Airfield</t>
  </si>
  <si>
    <t xml:space="preserve">LIPN</t>
  </si>
  <si>
    <t xml:space="preserve">Voghera-Rivanazzano Airfield</t>
  </si>
  <si>
    <t xml:space="preserve">LILH</t>
  </si>
  <si>
    <t xml:space="preserve">Marina di Campo Airport</t>
  </si>
  <si>
    <t xml:space="preserve">LIRJ</t>
  </si>
  <si>
    <t xml:space="preserve">Lucca-Tassignano Airport</t>
  </si>
  <si>
    <t xml:space="preserve">LIQL</t>
  </si>
  <si>
    <t xml:space="preserve">Sarzana-Luni Bartolomeo Arrigoni Airport</t>
  </si>
  <si>
    <t xml:space="preserve">LIQW</t>
  </si>
  <si>
    <t xml:space="preserve">Santa Rita Airfield</t>
  </si>
  <si>
    <t xml:space="preserve">IT-0232</t>
  </si>
  <si>
    <t xml:space="preserve">Carpi-Budrione Airfield</t>
  </si>
  <si>
    <t xml:space="preserve">LIDU</t>
  </si>
  <si>
    <t xml:space="preserve">Guglielmo Zamboni Airfield</t>
  </si>
  <si>
    <t xml:space="preserve">IT-0087</t>
  </si>
  <si>
    <t xml:space="preserve">Valbrembo Airfield</t>
  </si>
  <si>
    <t xml:space="preserve">LILV</t>
  </si>
  <si>
    <t xml:space="preserve">Lugo Francesco Baracca Airfield</t>
  </si>
  <si>
    <t xml:space="preserve">LIDG</t>
  </si>
  <si>
    <t xml:space="preserve">Modena-Marzaglia Airfield</t>
  </si>
  <si>
    <t xml:space="preserve">LIPM</t>
  </si>
  <si>
    <t xml:space="preserve">Fly Synthesis Airfield</t>
  </si>
  <si>
    <t xml:space="preserve">IT-0406</t>
  </si>
  <si>
    <t xml:space="preserve">Arezzo Molin Blanco Airfield</t>
  </si>
  <si>
    <t xml:space="preserve">LIQB</t>
  </si>
  <si>
    <t xml:space="preserve">Cremona-Migliaro Airfield</t>
  </si>
  <si>
    <t xml:space="preserve">LILR</t>
  </si>
  <si>
    <t xml:space="preserve">Eremo della Giubiliana Airfield</t>
  </si>
  <si>
    <t xml:space="preserve">IT-0004</t>
  </si>
  <si>
    <t xml:space="preserve">Lecce-San Cataldo Lepore Airfield</t>
  </si>
  <si>
    <t xml:space="preserve">LINL</t>
  </si>
  <si>
    <t xml:space="preserve">Chavez-Marini Airfield</t>
  </si>
  <si>
    <t xml:space="preserve">IT-0049</t>
  </si>
  <si>
    <t xml:space="preserve">Rivoli Avro Airfield</t>
  </si>
  <si>
    <t xml:space="preserve">IT-0189</t>
  </si>
  <si>
    <t xml:space="preserve">Alzate Brianza Airfield</t>
  </si>
  <si>
    <t xml:space="preserve">LILB</t>
  </si>
  <si>
    <t xml:space="preserve">Cesare Rossi Airfield</t>
  </si>
  <si>
    <t xml:space="preserve">IT-0280</t>
  </si>
  <si>
    <t xml:space="preserve">Jersey  (1 Flugplätze)</t>
  </si>
  <si>
    <t xml:space="preserve">Jersey Airport</t>
  </si>
  <si>
    <t xml:space="preserve">EGJJ</t>
  </si>
  <si>
    <t xml:space="preserve">Kosovo  (1 Flugplätze)</t>
  </si>
  <si>
    <t xml:space="preserve">Priština Adem Jashari International Airport</t>
  </si>
  <si>
    <t xml:space="preserve">BKPR</t>
  </si>
  <si>
    <t xml:space="preserve">Kroatien  (13 Flugplätze)</t>
  </si>
  <si>
    <t xml:space="preserve">Zagreb Franjo Tuđman International Airport</t>
  </si>
  <si>
    <t xml:space="preserve">LDZA</t>
  </si>
  <si>
    <t xml:space="preserve">Dubrovnik Ruđer Bošković Airport</t>
  </si>
  <si>
    <t xml:space="preserve">LDDU</t>
  </si>
  <si>
    <t xml:space="preserve">Pula Airport</t>
  </si>
  <si>
    <t xml:space="preserve">LDPL</t>
  </si>
  <si>
    <t xml:space="preserve">Udbina Airfield</t>
  </si>
  <si>
    <t xml:space="preserve">HR-0034</t>
  </si>
  <si>
    <t xml:space="preserve">Split Saint Jerome Airport</t>
  </si>
  <si>
    <t xml:space="preserve">LDSP</t>
  </si>
  <si>
    <t xml:space="preserve">Osijek Airport</t>
  </si>
  <si>
    <t xml:space="preserve">LDOS</t>
  </si>
  <si>
    <t xml:space="preserve">Zadar Airport</t>
  </si>
  <si>
    <t xml:space="preserve">LDZD</t>
  </si>
  <si>
    <t xml:space="preserve">Rijeka Airport</t>
  </si>
  <si>
    <t xml:space="preserve">LDRI</t>
  </si>
  <si>
    <t xml:space="preserve">Grobničko Polje Airfield</t>
  </si>
  <si>
    <t xml:space="preserve">LDRG</t>
  </si>
  <si>
    <t xml:space="preserve">Brač Airport</t>
  </si>
  <si>
    <t xml:space="preserve">LDSB</t>
  </si>
  <si>
    <t xml:space="preserve">Varaždin Airfield</t>
  </si>
  <si>
    <t xml:space="preserve">LDVA</t>
  </si>
  <si>
    <t xml:space="preserve">Osijek-Čepin Airfield</t>
  </si>
  <si>
    <t xml:space="preserve">LDOC</t>
  </si>
  <si>
    <t xml:space="preserve">Lošinj Airport</t>
  </si>
  <si>
    <t xml:space="preserve">LDLO</t>
  </si>
  <si>
    <t xml:space="preserve">Lettland  (5 Flugplätze)</t>
  </si>
  <si>
    <t xml:space="preserve">Riga International Airport</t>
  </si>
  <si>
    <t xml:space="preserve">EVRA</t>
  </si>
  <si>
    <t xml:space="preserve">Jūrmala Airport</t>
  </si>
  <si>
    <t xml:space="preserve">EVTA</t>
  </si>
  <si>
    <t xml:space="preserve">Liepāja International Airport</t>
  </si>
  <si>
    <t xml:space="preserve">EVLA</t>
  </si>
  <si>
    <t xml:space="preserve">Ventspils International Airport</t>
  </si>
  <si>
    <t xml:space="preserve">EVVA</t>
  </si>
  <si>
    <t xml:space="preserve">Spilve Aerodrome</t>
  </si>
  <si>
    <t xml:space="preserve">EVRS</t>
  </si>
  <si>
    <t xml:space="preserve">Litauen  (10 Flugplätze)</t>
  </si>
  <si>
    <t xml:space="preserve">Šiauliai International Airport</t>
  </si>
  <si>
    <t xml:space="preserve">EYSA</t>
  </si>
  <si>
    <t xml:space="preserve">Kaunas International Airport</t>
  </si>
  <si>
    <t xml:space="preserve">EYKA</t>
  </si>
  <si>
    <t xml:space="preserve">Vilnius International Airport</t>
  </si>
  <si>
    <t xml:space="preserve">EYVI</t>
  </si>
  <si>
    <t xml:space="preserve">Palanga International Airport</t>
  </si>
  <si>
    <t xml:space="preserve">EYPA</t>
  </si>
  <si>
    <t xml:space="preserve">Barysiai Airfield</t>
  </si>
  <si>
    <t xml:space="preserve">EYSB</t>
  </si>
  <si>
    <t xml:space="preserve">S. Darius and S. Girėnas Airfield</t>
  </si>
  <si>
    <t xml:space="preserve">EYKS</t>
  </si>
  <si>
    <t xml:space="preserve">Nida Airfield</t>
  </si>
  <si>
    <t xml:space="preserve">EYND</t>
  </si>
  <si>
    <t xml:space="preserve">Pociūnai Airfield</t>
  </si>
  <si>
    <t xml:space="preserve">EYPR</t>
  </si>
  <si>
    <t xml:space="preserve">Panevėžys Istra Airfield</t>
  </si>
  <si>
    <t xml:space="preserve">EYPI</t>
  </si>
  <si>
    <t xml:space="preserve">Kyviškes Airfield</t>
  </si>
  <si>
    <t xml:space="preserve">EYVK</t>
  </si>
  <si>
    <t xml:space="preserve">Luxemburg  (1 Flugplätze)</t>
  </si>
  <si>
    <t xml:space="preserve">Luxembourg-Findel International Airport</t>
  </si>
  <si>
    <t xml:space="preserve">ELLX</t>
  </si>
  <si>
    <t xml:space="preserve">Malta  (1 Flugplätze)</t>
  </si>
  <si>
    <t xml:space="preserve">Malta International Airport</t>
  </si>
  <si>
    <t xml:space="preserve">LMML</t>
  </si>
  <si>
    <t xml:space="preserve">Moldau  (2 Flugplätze)</t>
  </si>
  <si>
    <t xml:space="preserve">Chişinău International Airport</t>
  </si>
  <si>
    <t xml:space="preserve">LUKK</t>
  </si>
  <si>
    <t xml:space="preserve">Bălți-Leadoveni International Airport</t>
  </si>
  <si>
    <t xml:space="preserve">LUBL</t>
  </si>
  <si>
    <t xml:space="preserve">Montenegro  (3 Flugplätze)</t>
  </si>
  <si>
    <t xml:space="preserve">Tivat Airport</t>
  </si>
  <si>
    <t xml:space="preserve">LYTV</t>
  </si>
  <si>
    <t xml:space="preserve">Podgorica Airport / Podgorica Golubovci Airbase</t>
  </si>
  <si>
    <t xml:space="preserve">LYPG</t>
  </si>
  <si>
    <t xml:space="preserve">Verkehrsflughafen – Militärisch/zivil mitbenutzt</t>
  </si>
  <si>
    <t xml:space="preserve">Ćemovsko Polje / Špiro Mugoša Airfield</t>
  </si>
  <si>
    <t xml:space="preserve">LYPO</t>
  </si>
  <si>
    <t xml:space="preserve">Niederlande  (12 Flugplätze)</t>
  </si>
  <si>
    <t xml:space="preserve">Amsterdam Airport Schiphol</t>
  </si>
  <si>
    <t xml:space="preserve">EHAM</t>
  </si>
  <si>
    <t xml:space="preserve">Eindhoven Airport</t>
  </si>
  <si>
    <t xml:space="preserve">EHEH</t>
  </si>
  <si>
    <t xml:space="preserve">Twente Airport</t>
  </si>
  <si>
    <t xml:space="preserve">EHTW</t>
  </si>
  <si>
    <t xml:space="preserve">Maastricht Aachen Airport</t>
  </si>
  <si>
    <t xml:space="preserve">EHBK</t>
  </si>
  <si>
    <t xml:space="preserve">Lelystad Airport</t>
  </si>
  <si>
    <t xml:space="preserve">EHLE</t>
  </si>
  <si>
    <t xml:space="preserve">Groningen Airport Eelde</t>
  </si>
  <si>
    <t xml:space="preserve">EHGG</t>
  </si>
  <si>
    <t xml:space="preserve">Rotterdam The Hague Airport</t>
  </si>
  <si>
    <t xml:space="preserve">EHRD</t>
  </si>
  <si>
    <t xml:space="preserve">Kempen Airport Budel</t>
  </si>
  <si>
    <t xml:space="preserve">EHBD</t>
  </si>
  <si>
    <t xml:space="preserve">Teuge Airport</t>
  </si>
  <si>
    <t xml:space="preserve">EHTE</t>
  </si>
  <si>
    <t xml:space="preserve">Breda International Airport</t>
  </si>
  <si>
    <t xml:space="preserve">EHSE</t>
  </si>
  <si>
    <t xml:space="preserve">Oostwold Airfield</t>
  </si>
  <si>
    <t xml:space="preserve">EHOW</t>
  </si>
  <si>
    <t xml:space="preserve">Drachten Airfield</t>
  </si>
  <si>
    <t xml:space="preserve">EHDR</t>
  </si>
  <si>
    <t xml:space="preserve">Nordmazedonien  (2 Flugplätze)</t>
  </si>
  <si>
    <t xml:space="preserve">Skopje International Airport</t>
  </si>
  <si>
    <t xml:space="preserve">LWSK</t>
  </si>
  <si>
    <t xml:space="preserve">Ohrid St. Paul the Apostle Airport</t>
  </si>
  <si>
    <t xml:space="preserve">LWOH</t>
  </si>
  <si>
    <t xml:space="preserve">Norwegen  (71 Flugplätze)</t>
  </si>
  <si>
    <t xml:space="preserve">Oslo-Gardermoen International Airport</t>
  </si>
  <si>
    <t xml:space="preserve">ENGM</t>
  </si>
  <si>
    <t xml:space="preserve">Ørland Airport</t>
  </si>
  <si>
    <t xml:space="preserve">ENOL</t>
  </si>
  <si>
    <t xml:space="preserve">Bergen Airport, Flesland</t>
  </si>
  <si>
    <t xml:space="preserve">ENBR</t>
  </si>
  <si>
    <t xml:space="preserve">Lista Airport</t>
  </si>
  <si>
    <t xml:space="preserve">ENLI</t>
  </si>
  <si>
    <t xml:space="preserve">Stavanger Airport, Sola</t>
  </si>
  <si>
    <t xml:space="preserve">ENZV</t>
  </si>
  <si>
    <t xml:space="preserve">Harstad/Narvik Airport</t>
  </si>
  <si>
    <t xml:space="preserve">ENEV</t>
  </si>
  <si>
    <t xml:space="preserve">Sandefjord Airport, Torp</t>
  </si>
  <si>
    <t xml:space="preserve">ENTO</t>
  </si>
  <si>
    <t xml:space="preserve">Bodø Airport</t>
  </si>
  <si>
    <t xml:space="preserve">ENBO</t>
  </si>
  <si>
    <t xml:space="preserve">Lakselv Airport, Banak</t>
  </si>
  <si>
    <t xml:space="preserve">ENNA</t>
  </si>
  <si>
    <t xml:space="preserve">Trondheim Airport, Værnes</t>
  </si>
  <si>
    <t xml:space="preserve">ENVA</t>
  </si>
  <si>
    <t xml:space="preserve">Andøya Airport, Andenes</t>
  </si>
  <si>
    <t xml:space="preserve">ENAN</t>
  </si>
  <si>
    <t xml:space="preserve">Tromsø Airport</t>
  </si>
  <si>
    <t xml:space="preserve">ENTC</t>
  </si>
  <si>
    <t xml:space="preserve">Bardufoss Airport</t>
  </si>
  <si>
    <t xml:space="preserve">ENDU</t>
  </si>
  <si>
    <t xml:space="preserve">Moss Airport, Rygge</t>
  </si>
  <si>
    <t xml:space="preserve">ENRY</t>
  </si>
  <si>
    <t xml:space="preserve">Kristiansund Airport, Kvernberget</t>
  </si>
  <si>
    <t xml:space="preserve">ENKB</t>
  </si>
  <si>
    <t xml:space="preserve">Svalbard Airport, Longyear</t>
  </si>
  <si>
    <t xml:space="preserve">ENSB</t>
  </si>
  <si>
    <t xml:space="preserve">Ålesund Airport</t>
  </si>
  <si>
    <t xml:space="preserve">ENAL</t>
  </si>
  <si>
    <t xml:space="preserve">Alta Airport</t>
  </si>
  <si>
    <t xml:space="preserve">ENAT</t>
  </si>
  <si>
    <t xml:space="preserve">Haugesund Airport, Karmøy</t>
  </si>
  <si>
    <t xml:space="preserve">ENHD</t>
  </si>
  <si>
    <t xml:space="preserve">Kirkenes Airport, Høybuktmoen</t>
  </si>
  <si>
    <t xml:space="preserve">ENKR</t>
  </si>
  <si>
    <t xml:space="preserve">Molde Airport, Årø</t>
  </si>
  <si>
    <t xml:space="preserve">ENML</t>
  </si>
  <si>
    <t xml:space="preserve">Fagernes Airport, Leirin</t>
  </si>
  <si>
    <t xml:space="preserve">ENFG</t>
  </si>
  <si>
    <t xml:space="preserve">Kristiansand Airport</t>
  </si>
  <si>
    <t xml:space="preserve">ENCN</t>
  </si>
  <si>
    <t xml:space="preserve">Geilo Airport Dagali</t>
  </si>
  <si>
    <t xml:space="preserve">ENDI</t>
  </si>
  <si>
    <t xml:space="preserve">Hønefoss Airfield, Eggemoen</t>
  </si>
  <si>
    <t xml:space="preserve">ENEG</t>
  </si>
  <si>
    <t xml:space="preserve">Notodden Airport</t>
  </si>
  <si>
    <t xml:space="preserve">ENNO</t>
  </si>
  <si>
    <t xml:space="preserve">Røros Airport</t>
  </si>
  <si>
    <t xml:space="preserve">ENRO</t>
  </si>
  <si>
    <t xml:space="preserve">Lillestrøm Airfield, Kjeller</t>
  </si>
  <si>
    <t xml:space="preserve">ENKJ</t>
  </si>
  <si>
    <t xml:space="preserve">Sandnessjøen Airport, Stokka</t>
  </si>
  <si>
    <t xml:space="preserve">ENST</t>
  </si>
  <si>
    <t xml:space="preserve">Skien Airport</t>
  </si>
  <si>
    <t xml:space="preserve">ENSN</t>
  </si>
  <si>
    <t xml:space="preserve">Florø Airport</t>
  </si>
  <si>
    <t xml:space="preserve">ENFL</t>
  </si>
  <si>
    <t xml:space="preserve">Brønnøysund Airport, Brønnøy</t>
  </si>
  <si>
    <t xml:space="preserve">ENBN</t>
  </si>
  <si>
    <t xml:space="preserve">Stord Airport, Sørstokken</t>
  </si>
  <si>
    <t xml:space="preserve">ENSO</t>
  </si>
  <si>
    <t xml:space="preserve">Rena Airfield Landsørkje</t>
  </si>
  <si>
    <t xml:space="preserve">NO-0023</t>
  </si>
  <si>
    <t xml:space="preserve">Vardø Airport, Svartnes</t>
  </si>
  <si>
    <t xml:space="preserve">ENSS</t>
  </si>
  <si>
    <t xml:space="preserve">Arendal Airfield, Gullknapp</t>
  </si>
  <si>
    <t xml:space="preserve">ENGK</t>
  </si>
  <si>
    <t xml:space="preserve">Rakkestad Astorp Airfield</t>
  </si>
  <si>
    <t xml:space="preserve">ENRK</t>
  </si>
  <si>
    <t xml:space="preserve">Ørsta-Volda Airport, Hovden</t>
  </si>
  <si>
    <t xml:space="preserve">ENOV</t>
  </si>
  <si>
    <t xml:space="preserve">Røst Airport</t>
  </si>
  <si>
    <t xml:space="preserve">ENRS</t>
  </si>
  <si>
    <t xml:space="preserve">Berlevåg Airport</t>
  </si>
  <si>
    <t xml:space="preserve">ENBV</t>
  </si>
  <si>
    <t xml:space="preserve">Bømoen Airfield</t>
  </si>
  <si>
    <t xml:space="preserve">ENBM</t>
  </si>
  <si>
    <t xml:space="preserve">Båtsfjord Airport</t>
  </si>
  <si>
    <t xml:space="preserve">ENBS</t>
  </si>
  <si>
    <t xml:space="preserve">Vadsø Airport</t>
  </si>
  <si>
    <t xml:space="preserve">ENVD</t>
  </si>
  <si>
    <t xml:space="preserve">Sandane Airport, Anda</t>
  </si>
  <si>
    <t xml:space="preserve">ENSD</t>
  </si>
  <si>
    <t xml:space="preserve">Hasvik Airport</t>
  </si>
  <si>
    <t xml:space="preserve">ENHK</t>
  </si>
  <si>
    <t xml:space="preserve">Sogndal Airport, Haukåsen</t>
  </si>
  <si>
    <t xml:space="preserve">ENSG</t>
  </si>
  <si>
    <t xml:space="preserve">Svolvær Airport, Helle</t>
  </si>
  <si>
    <t xml:space="preserve">ENSH</t>
  </si>
  <si>
    <t xml:space="preserve">Førde Airport, Bringeland</t>
  </si>
  <si>
    <t xml:space="preserve">ENBL</t>
  </si>
  <si>
    <t xml:space="preserve">Fagerhaug Airfield</t>
  </si>
  <si>
    <t xml:space="preserve">ENOP</t>
  </si>
  <si>
    <t xml:space="preserve">Hammerfest Airport</t>
  </si>
  <si>
    <t xml:space="preserve">ENHF</t>
  </si>
  <si>
    <t xml:space="preserve">Ny-Ålesund Airport, Hamnerabben</t>
  </si>
  <si>
    <t xml:space="preserve">ENAS</t>
  </si>
  <si>
    <t xml:space="preserve">Stokmarknes Airport, Skagen</t>
  </si>
  <si>
    <t xml:space="preserve">ENSK</t>
  </si>
  <si>
    <t xml:space="preserve">Mosjøen Airport, Kjærstad</t>
  </si>
  <si>
    <t xml:space="preserve">ENMS</t>
  </si>
  <si>
    <t xml:space="preserve">Sørkjosen Airport</t>
  </si>
  <si>
    <t xml:space="preserve">ENSR</t>
  </si>
  <si>
    <t xml:space="preserve">Elverum Starmoen Airfield</t>
  </si>
  <si>
    <t xml:space="preserve">ENHN</t>
  </si>
  <si>
    <t xml:space="preserve">Honningsvåg Airport, Valan</t>
  </si>
  <si>
    <t xml:space="preserve">ENHV</t>
  </si>
  <si>
    <t xml:space="preserve">Mehamn Airport</t>
  </si>
  <si>
    <t xml:space="preserve">ENMH</t>
  </si>
  <si>
    <t xml:space="preserve">Rørvik Airport, Ryum</t>
  </si>
  <si>
    <t xml:space="preserve">ENRM</t>
  </si>
  <si>
    <t xml:space="preserve">Leknes Airport</t>
  </si>
  <si>
    <t xml:space="preserve">ENLK</t>
  </si>
  <si>
    <t xml:space="preserve">Mo i Rana Airport, Røssvoll</t>
  </si>
  <si>
    <t xml:space="preserve">ENRA</t>
  </si>
  <si>
    <t xml:space="preserve">Namsos Airport</t>
  </si>
  <si>
    <t xml:space="preserve">ENNM</t>
  </si>
  <si>
    <t xml:space="preserve">Bjorli Airfield</t>
  </si>
  <si>
    <t xml:space="preserve">NO-0019</t>
  </si>
  <si>
    <t xml:space="preserve">Flatval Airfield</t>
  </si>
  <si>
    <t xml:space="preserve">ENFA</t>
  </si>
  <si>
    <t xml:space="preserve">Fyresdal Airfield</t>
  </si>
  <si>
    <t xml:space="preserve">ENFY</t>
  </si>
  <si>
    <t xml:space="preserve">Hamar Lufthavn, Stavsberg</t>
  </si>
  <si>
    <t xml:space="preserve">ENHA</t>
  </si>
  <si>
    <t xml:space="preserve">Jarlsberg Airfield</t>
  </si>
  <si>
    <t xml:space="preserve">ENJB</t>
  </si>
  <si>
    <t xml:space="preserve">Ringebu Airfield Frya</t>
  </si>
  <si>
    <t xml:space="preserve">ENRI</t>
  </si>
  <si>
    <t xml:space="preserve">Valle Airfield Åraksøyne</t>
  </si>
  <si>
    <t xml:space="preserve">ENVE</t>
  </si>
  <si>
    <t xml:space="preserve">Hattfjelldal Airfield</t>
  </si>
  <si>
    <t xml:space="preserve">ENHT</t>
  </si>
  <si>
    <t xml:space="preserve">Æra Airfield</t>
  </si>
  <si>
    <t xml:space="preserve">ENAE</t>
  </si>
  <si>
    <t xml:space="preserve">Gol Airport</t>
  </si>
  <si>
    <t xml:space="preserve">ENKL</t>
  </si>
  <si>
    <t xml:space="preserve">Polen  (37 Flugplätze)</t>
  </si>
  <si>
    <t xml:space="preserve">Warsaw Chopin Airport</t>
  </si>
  <si>
    <t xml:space="preserve">EPWA</t>
  </si>
  <si>
    <t xml:space="preserve">Katowice Wojciech Korfanty International Airport</t>
  </si>
  <si>
    <t xml:space="preserve">EPKT</t>
  </si>
  <si>
    <t xml:space="preserve">Rzeszów-Jasionka Airport</t>
  </si>
  <si>
    <t xml:space="preserve">EPRZ</t>
  </si>
  <si>
    <t xml:space="preserve">Gdańsk Lech Wałęsa Airport</t>
  </si>
  <si>
    <t xml:space="preserve">EPGD</t>
  </si>
  <si>
    <t xml:space="preserve">Kraków John Paul II International Airport</t>
  </si>
  <si>
    <t xml:space="preserve">EPKK</t>
  </si>
  <si>
    <t xml:space="preserve">Lublin Airport</t>
  </si>
  <si>
    <t xml:space="preserve">EPLB</t>
  </si>
  <si>
    <t xml:space="preserve">Świdnik Airfield</t>
  </si>
  <si>
    <t xml:space="preserve">EPSW</t>
  </si>
  <si>
    <t xml:space="preserve">Poznań-Ławica Airport</t>
  </si>
  <si>
    <t xml:space="preserve">EPPO</t>
  </si>
  <si>
    <t xml:space="preserve">Copernicus Wrocław Airport</t>
  </si>
  <si>
    <t xml:space="preserve">EPWR</t>
  </si>
  <si>
    <t xml:space="preserve">Ignacy Jan Paderewski Bydgoszcz Airport</t>
  </si>
  <si>
    <t xml:space="preserve">EPBY</t>
  </si>
  <si>
    <t xml:space="preserve">Łódź Władysław Reymont Airport</t>
  </si>
  <si>
    <t xml:space="preserve">EPLL</t>
  </si>
  <si>
    <t xml:space="preserve">Warsaw Modlin Airport</t>
  </si>
  <si>
    <t xml:space="preserve">EPMO</t>
  </si>
  <si>
    <t xml:space="preserve">Warsaw Radom Airport</t>
  </si>
  <si>
    <t xml:space="preserve">EPRA</t>
  </si>
  <si>
    <t xml:space="preserve">Solidarity Szczecin–Goleniów Airport</t>
  </si>
  <si>
    <t xml:space="preserve">EPSC</t>
  </si>
  <si>
    <t xml:space="preserve">Olsztyn-Mazury Airport</t>
  </si>
  <si>
    <t xml:space="preserve">EPSY</t>
  </si>
  <si>
    <t xml:space="preserve">Zielona Góra-Babimost Airport</t>
  </si>
  <si>
    <t xml:space="preserve">EPZG</t>
  </si>
  <si>
    <t xml:space="preserve">Mielec Airfield</t>
  </si>
  <si>
    <t xml:space="preserve">EPML</t>
  </si>
  <si>
    <t xml:space="preserve">Piła Airfield</t>
  </si>
  <si>
    <t xml:space="preserve">EPPI</t>
  </si>
  <si>
    <t xml:space="preserve">Częstochowa-Rudniki Airport</t>
  </si>
  <si>
    <t xml:space="preserve">EPRU</t>
  </si>
  <si>
    <t xml:space="preserve">Poznań-Bednary Airfield</t>
  </si>
  <si>
    <t xml:space="preserve">PL-0001</t>
  </si>
  <si>
    <t xml:space="preserve">Suwałki Airfield</t>
  </si>
  <si>
    <t xml:space="preserve">EPSU</t>
  </si>
  <si>
    <t xml:space="preserve">Warsaw Babice Airport</t>
  </si>
  <si>
    <t xml:space="preserve">EPBC</t>
  </si>
  <si>
    <t xml:space="preserve">Toruń Airfield</t>
  </si>
  <si>
    <t xml:space="preserve">EPTO</t>
  </si>
  <si>
    <t xml:space="preserve">Opole-Kamień Śląski Airfield</t>
  </si>
  <si>
    <t xml:space="preserve">EPKN</t>
  </si>
  <si>
    <t xml:space="preserve">Arłamów Airfield</t>
  </si>
  <si>
    <t xml:space="preserve">EPAR</t>
  </si>
  <si>
    <t xml:space="preserve">Kielce-Masłów Airfield</t>
  </si>
  <si>
    <t xml:space="preserve">EPKA</t>
  </si>
  <si>
    <t xml:space="preserve">Katowice-Muchowiec Airfield</t>
  </si>
  <si>
    <t xml:space="preserve">EPKM</t>
  </si>
  <si>
    <t xml:space="preserve">Krosno Airfield</t>
  </si>
  <si>
    <t xml:space="preserve">EPKR</t>
  </si>
  <si>
    <t xml:space="preserve">Depułtycze Królewskie Airfield</t>
  </si>
  <si>
    <t xml:space="preserve">EPCD</t>
  </si>
  <si>
    <t xml:space="preserve">Lubin Airfield</t>
  </si>
  <si>
    <t xml:space="preserve">EPLU</t>
  </si>
  <si>
    <t xml:space="preserve">Bielsko-Biała Kaniów Airfield</t>
  </si>
  <si>
    <t xml:space="preserve">EPKW</t>
  </si>
  <si>
    <t xml:space="preserve">Piotrków Trybunalski-Bujny Airfield</t>
  </si>
  <si>
    <t xml:space="preserve">EPPT</t>
  </si>
  <si>
    <t xml:space="preserve">Gliwice-Trynek Airfield</t>
  </si>
  <si>
    <t xml:space="preserve">EPGL</t>
  </si>
  <si>
    <t xml:space="preserve">Rzeszów Sports Airfield</t>
  </si>
  <si>
    <t xml:space="preserve">EPRJ</t>
  </si>
  <si>
    <t xml:space="preserve">Kołobrzeg-Bagicz Airfield</t>
  </si>
  <si>
    <t xml:space="preserve">PL-0002</t>
  </si>
  <si>
    <t xml:space="preserve">Olsztyn-Dajtki Airfield</t>
  </si>
  <si>
    <t xml:space="preserve">EPOD</t>
  </si>
  <si>
    <t xml:space="preserve">Kraków Rakowice-Czyżyny Airport (Disused)</t>
  </si>
  <si>
    <t xml:space="preserve">PL-0272</t>
  </si>
  <si>
    <t xml:space="preserve">Portugal  (31 Flugplätze)</t>
  </si>
  <si>
    <t xml:space="preserve">Lisbon Humberto Delgado Airport</t>
  </si>
  <si>
    <t xml:space="preserve">LPPT</t>
  </si>
  <si>
    <t xml:space="preserve">Francisco de Sá Carneiro Airport</t>
  </si>
  <si>
    <t xml:space="preserve">LPPR</t>
  </si>
  <si>
    <t xml:space="preserve">Lajes Airport</t>
  </si>
  <si>
    <t xml:space="preserve">LPLA</t>
  </si>
  <si>
    <t xml:space="preserve">Santa Maria Airport</t>
  </si>
  <si>
    <t xml:space="preserve">LPAZ</t>
  </si>
  <si>
    <t xml:space="preserve">Porto Santo Airport</t>
  </si>
  <si>
    <t xml:space="preserve">LPPS</t>
  </si>
  <si>
    <t xml:space="preserve">Cristiano Ronaldo International Airport</t>
  </si>
  <si>
    <t xml:space="preserve">LPMA</t>
  </si>
  <si>
    <t xml:space="preserve">João Paulo II Airport</t>
  </si>
  <si>
    <t xml:space="preserve">LPPD</t>
  </si>
  <si>
    <t xml:space="preserve">Faro - Gago Coutinho International Airport</t>
  </si>
  <si>
    <t xml:space="preserve">LPFR</t>
  </si>
  <si>
    <t xml:space="preserve">Aeródromo Municipal de Ponte de Sor</t>
  </si>
  <si>
    <t xml:space="preserve">LPSO</t>
  </si>
  <si>
    <t xml:space="preserve">Pico Airport</t>
  </si>
  <si>
    <t xml:space="preserve">LPPI</t>
  </si>
  <si>
    <t xml:space="preserve">Vilar de Luz Airfield</t>
  </si>
  <si>
    <t xml:space="preserve">LPVL</t>
  </si>
  <si>
    <t xml:space="preserve">Bragança Airport</t>
  </si>
  <si>
    <t xml:space="preserve">LPBG</t>
  </si>
  <si>
    <t xml:space="preserve">Horta Airport</t>
  </si>
  <si>
    <t xml:space="preserve">LPHR</t>
  </si>
  <si>
    <t xml:space="preserve">Aerodromo de Castelo Branco</t>
  </si>
  <si>
    <t xml:space="preserve">LPCB</t>
  </si>
  <si>
    <t xml:space="preserve">São Jorge Airport</t>
  </si>
  <si>
    <t xml:space="preserve">LPSJ</t>
  </si>
  <si>
    <t xml:space="preserve">São Jacinto Airfield</t>
  </si>
  <si>
    <t xml:space="preserve">LPAV</t>
  </si>
  <si>
    <t xml:space="preserve">Cascais Airport</t>
  </si>
  <si>
    <t xml:space="preserve">LPCS</t>
  </si>
  <si>
    <t xml:space="preserve">Flores Airport</t>
  </si>
  <si>
    <t xml:space="preserve">LPFL</t>
  </si>
  <si>
    <t xml:space="preserve">Graciosa Airport</t>
  </si>
  <si>
    <t xml:space="preserve">LPGR</t>
  </si>
  <si>
    <t xml:space="preserve">Évora Airfield</t>
  </si>
  <si>
    <t xml:space="preserve">LPEV</t>
  </si>
  <si>
    <t xml:space="preserve">Aerodromo Goncalves Lobato (Viseu Airport)</t>
  </si>
  <si>
    <t xml:space="preserve">LPVZ</t>
  </si>
  <si>
    <t xml:space="preserve">Morargil Airfield</t>
  </si>
  <si>
    <t xml:space="preserve">LPMO</t>
  </si>
  <si>
    <t xml:space="preserve">Vila Real Airport</t>
  </si>
  <si>
    <t xml:space="preserve">LPVR</t>
  </si>
  <si>
    <t xml:space="preserve">Braga Municipal Aerodrome</t>
  </si>
  <si>
    <t xml:space="preserve">LPBR</t>
  </si>
  <si>
    <t xml:space="preserve">Aerodromo Municipal de Coimbra</t>
  </si>
  <si>
    <t xml:space="preserve">LPCO</t>
  </si>
  <si>
    <t xml:space="preserve">Portimão Airport</t>
  </si>
  <si>
    <t xml:space="preserve">LPPM</t>
  </si>
  <si>
    <t xml:space="preserve">Aerodromo de Chaves</t>
  </si>
  <si>
    <t xml:space="preserve">LPCH</t>
  </si>
  <si>
    <t xml:space="preserve">Corvo Airport</t>
  </si>
  <si>
    <t xml:space="preserve">LPCR</t>
  </si>
  <si>
    <t xml:space="preserve">Mogadouro Airfield</t>
  </si>
  <si>
    <t xml:space="preserve">LPMU</t>
  </si>
  <si>
    <t xml:space="preserve">Mirandela Airfield</t>
  </si>
  <si>
    <t xml:space="preserve">LPMI</t>
  </si>
  <si>
    <t xml:space="preserve">Ciborro Airstrip</t>
  </si>
  <si>
    <t xml:space="preserve">PT-0109</t>
  </si>
  <si>
    <t xml:space="preserve">Rumänien  (22 Flugplätze)</t>
  </si>
  <si>
    <t xml:space="preserve">Mihail Kogălniceanu International Airport</t>
  </si>
  <si>
    <t xml:space="preserve">LRCK</t>
  </si>
  <si>
    <t xml:space="preserve">Bucharest Henri Coandă International Airport</t>
  </si>
  <si>
    <t xml:space="preserve">LROP</t>
  </si>
  <si>
    <t xml:space="preserve">Timișoara Traian Vuia International Airport</t>
  </si>
  <si>
    <t xml:space="preserve">LRTR</t>
  </si>
  <si>
    <t xml:space="preserve">Bucharest Băneasa Aurel Vlaicu International Airport</t>
  </si>
  <si>
    <t xml:space="preserve">LRBS</t>
  </si>
  <si>
    <t xml:space="preserve">Brașov-Ghimbav International Airport</t>
  </si>
  <si>
    <t xml:space="preserve">LRBV</t>
  </si>
  <si>
    <t xml:space="preserve">Sibiu International Airport</t>
  </si>
  <si>
    <t xml:space="preserve">LRSB</t>
  </si>
  <si>
    <t xml:space="preserve">Oradea International Airport</t>
  </si>
  <si>
    <t xml:space="preserve">LROD</t>
  </si>
  <si>
    <t xml:space="preserve">Bacău George Enescu International  Airport</t>
  </si>
  <si>
    <t xml:space="preserve">LRBC</t>
  </si>
  <si>
    <t xml:space="preserve">Craiova International Airport</t>
  </si>
  <si>
    <t xml:space="preserve">LRCV</t>
  </si>
  <si>
    <t xml:space="preserve">Satu Mare International Airport</t>
  </si>
  <si>
    <t xml:space="preserve">LRSM</t>
  </si>
  <si>
    <t xml:space="preserve">Suceava Ștefan cel Mare International Airport</t>
  </si>
  <si>
    <t xml:space="preserve">LRSV</t>
  </si>
  <si>
    <t xml:space="preserve">Iaşi International Airport</t>
  </si>
  <si>
    <t xml:space="preserve">LRIA</t>
  </si>
  <si>
    <t xml:space="preserve">Maramureș International Airport</t>
  </si>
  <si>
    <t xml:space="preserve">LRBM</t>
  </si>
  <si>
    <t xml:space="preserve">Avram Iancu Cluj International Airport</t>
  </si>
  <si>
    <t xml:space="preserve">LRCL</t>
  </si>
  <si>
    <t xml:space="preserve">Arad International Airport</t>
  </si>
  <si>
    <t xml:space="preserve">LRAR</t>
  </si>
  <si>
    <t xml:space="preserve">Caransebeş Airport</t>
  </si>
  <si>
    <t xml:space="preserve">LRCS</t>
  </si>
  <si>
    <t xml:space="preserve">Târgu Mureş Transilvania International Airport</t>
  </si>
  <si>
    <t xml:space="preserve">LRTM</t>
  </si>
  <si>
    <t xml:space="preserve">Tulcea Danube Delta Airport</t>
  </si>
  <si>
    <t xml:space="preserve">LRTC</t>
  </si>
  <si>
    <t xml:space="preserve">Ianca Airfield</t>
  </si>
  <si>
    <t xml:space="preserve">LR79</t>
  </si>
  <si>
    <t xml:space="preserve">Clinceni Airfield</t>
  </si>
  <si>
    <t xml:space="preserve">LRCN</t>
  </si>
  <si>
    <t xml:space="preserve">Ploiești-Strejnicu Airfield</t>
  </si>
  <si>
    <t xml:space="preserve">LRPV</t>
  </si>
  <si>
    <t xml:space="preserve">Floreni Airfield</t>
  </si>
  <si>
    <t xml:space="preserve">LRFL</t>
  </si>
  <si>
    <t xml:space="preserve">Schweden  (84 Flugplätze)</t>
  </si>
  <si>
    <t xml:space="preserve">Luleå Airport</t>
  </si>
  <si>
    <t xml:space="preserve">ESPA</t>
  </si>
  <si>
    <t xml:space="preserve">Stockholm-Arlanda Airport</t>
  </si>
  <si>
    <t xml:space="preserve">ESSA</t>
  </si>
  <si>
    <t xml:space="preserve">Göteborg Landvetter Airport</t>
  </si>
  <si>
    <t xml:space="preserve">ESGG</t>
  </si>
  <si>
    <t xml:space="preserve">Örebro Airport</t>
  </si>
  <si>
    <t xml:space="preserve">ESOE</t>
  </si>
  <si>
    <t xml:space="preserve">Stockholm Skavsta Airport</t>
  </si>
  <si>
    <t xml:space="preserve">ESKN</t>
  </si>
  <si>
    <t xml:space="preserve">Malmö Sturup Airport</t>
  </si>
  <si>
    <t xml:space="preserve">ESMS</t>
  </si>
  <si>
    <t xml:space="preserve">Stockholm Västerås Airport</t>
  </si>
  <si>
    <t xml:space="preserve">ESOW</t>
  </si>
  <si>
    <t xml:space="preserve">Söderhamn Airport</t>
  </si>
  <si>
    <t xml:space="preserve">ESNY</t>
  </si>
  <si>
    <t xml:space="preserve">Skellefteå Airport</t>
  </si>
  <si>
    <t xml:space="preserve">ESNS</t>
  </si>
  <si>
    <t xml:space="preserve">Karlstad Airport</t>
  </si>
  <si>
    <t xml:space="preserve">ESOK</t>
  </si>
  <si>
    <t xml:space="preserve">Kiruna Airport</t>
  </si>
  <si>
    <t xml:space="preserve">ESNQ</t>
  </si>
  <si>
    <t xml:space="preserve">Scandinavian Mountains Airport</t>
  </si>
  <si>
    <t xml:space="preserve">ESKS</t>
  </si>
  <si>
    <t xml:space="preserve">Arvidsjaur Airport</t>
  </si>
  <si>
    <t xml:space="preserve">ESNX</t>
  </si>
  <si>
    <t xml:space="preserve">Åre Östersund Airport</t>
  </si>
  <si>
    <t xml:space="preserve">ESNZ</t>
  </si>
  <si>
    <t xml:space="preserve">Ronneby Airport</t>
  </si>
  <si>
    <t xml:space="preserve">ESDF</t>
  </si>
  <si>
    <t xml:space="preserve">Dala Airport</t>
  </si>
  <si>
    <t xml:space="preserve">ESSD</t>
  </si>
  <si>
    <t xml:space="preserve">Umeå Airport</t>
  </si>
  <si>
    <t xml:space="preserve">ESNU</t>
  </si>
  <si>
    <t xml:space="preserve">Pajala Airport</t>
  </si>
  <si>
    <t xml:space="preserve">ESUP</t>
  </si>
  <si>
    <t xml:space="preserve">Storuman Airport</t>
  </si>
  <si>
    <t xml:space="preserve">ESUD</t>
  </si>
  <si>
    <t xml:space="preserve">Ljungbyhed Airfield</t>
  </si>
  <si>
    <t xml:space="preserve">ESTL</t>
  </si>
  <si>
    <t xml:space="preserve">Halmstad Airport</t>
  </si>
  <si>
    <t xml:space="preserve">ESMT</t>
  </si>
  <si>
    <t xml:space="preserve">Kristianstad Airport</t>
  </si>
  <si>
    <t xml:space="preserve">ESMK</t>
  </si>
  <si>
    <t xml:space="preserve">Jönköping Airport</t>
  </si>
  <si>
    <t xml:space="preserve">ESGJ</t>
  </si>
  <si>
    <t xml:space="preserve">Norrköping Airport</t>
  </si>
  <si>
    <t xml:space="preserve">ESSP</t>
  </si>
  <si>
    <t xml:space="preserve">Linköping City Airport</t>
  </si>
  <si>
    <t xml:space="preserve">ESSL</t>
  </si>
  <si>
    <t xml:space="preserve">Växjö Kronoberg Airport</t>
  </si>
  <si>
    <t xml:space="preserve">ESMX</t>
  </si>
  <si>
    <t xml:space="preserve">Sundsvall-Härnösand Airport</t>
  </si>
  <si>
    <t xml:space="preserve">ESNN</t>
  </si>
  <si>
    <t xml:space="preserve">Kalmar Airport</t>
  </si>
  <si>
    <t xml:space="preserve">ESMQ</t>
  </si>
  <si>
    <t xml:space="preserve">Örnsköldsvik Airport</t>
  </si>
  <si>
    <t xml:space="preserve">ESNO</t>
  </si>
  <si>
    <t xml:space="preserve">Kramfors-Sollefteå Höga Kusten Airport</t>
  </si>
  <si>
    <t xml:space="preserve">ESNK</t>
  </si>
  <si>
    <t xml:space="preserve">Lycksele Airport</t>
  </si>
  <si>
    <t xml:space="preserve">ESNL</t>
  </si>
  <si>
    <t xml:space="preserve">Jokkmokk Airfield</t>
  </si>
  <si>
    <t xml:space="preserve">ESNJ</t>
  </si>
  <si>
    <t xml:space="preserve">Arboga Airfield</t>
  </si>
  <si>
    <t xml:space="preserve">ESQO</t>
  </si>
  <si>
    <t xml:space="preserve">Gävle Sandviken Airport</t>
  </si>
  <si>
    <t xml:space="preserve">ESSK</t>
  </si>
  <si>
    <t xml:space="preserve">Visby Airport</t>
  </si>
  <si>
    <t xml:space="preserve">ESSV</t>
  </si>
  <si>
    <t xml:space="preserve">Lidköping-Hovby Airport</t>
  </si>
  <si>
    <t xml:space="preserve">ESGL</t>
  </si>
  <si>
    <t xml:space="preserve">Hultsfred Airport</t>
  </si>
  <si>
    <t xml:space="preserve">ESSF</t>
  </si>
  <si>
    <t xml:space="preserve">Ängelholm-Helsingborg Airport</t>
  </si>
  <si>
    <t xml:space="preserve">ESTA</t>
  </si>
  <si>
    <t xml:space="preserve">Eskilstuna Airport</t>
  </si>
  <si>
    <t xml:space="preserve">ESSU</t>
  </si>
  <si>
    <t xml:space="preserve">Lunda Airfield</t>
  </si>
  <si>
    <t xml:space="preserve">ESKA</t>
  </si>
  <si>
    <t xml:space="preserve">Mora Airport</t>
  </si>
  <si>
    <t xml:space="preserve">ESKM</t>
  </si>
  <si>
    <t xml:space="preserve">Skövde Airport</t>
  </si>
  <si>
    <t xml:space="preserve">ESGR</t>
  </si>
  <si>
    <t xml:space="preserve">Gällivare Airport</t>
  </si>
  <si>
    <t xml:space="preserve">ESNG</t>
  </si>
  <si>
    <t xml:space="preserve">Trollhättan-Vänersborg Airport</t>
  </si>
  <si>
    <t xml:space="preserve">ESGT</t>
  </si>
  <si>
    <t xml:space="preserve">Sveg Airport</t>
  </si>
  <si>
    <t xml:space="preserve">ESND</t>
  </si>
  <si>
    <t xml:space="preserve">Stockholm-Bromma Airport</t>
  </si>
  <si>
    <t xml:space="preserve">ESSB</t>
  </si>
  <si>
    <t xml:space="preserve">Hemavan Airport</t>
  </si>
  <si>
    <t xml:space="preserve">ESUT</t>
  </si>
  <si>
    <t xml:space="preserve">Torsby Airport</t>
  </si>
  <si>
    <t xml:space="preserve">ESST</t>
  </si>
  <si>
    <t xml:space="preserve">Idre Airport</t>
  </si>
  <si>
    <t xml:space="preserve">ESUE</t>
  </si>
  <si>
    <t xml:space="preserve">Hagfors Airport</t>
  </si>
  <si>
    <t xml:space="preserve">ESOH</t>
  </si>
  <si>
    <t xml:space="preserve">Vilhelmina South Lapland Airport</t>
  </si>
  <si>
    <t xml:space="preserve">ESNV</t>
  </si>
  <si>
    <t xml:space="preserve">Oskarshamn Airport</t>
  </si>
  <si>
    <t xml:space="preserve">ESMO</t>
  </si>
  <si>
    <t xml:space="preserve">Karlskoga Airport</t>
  </si>
  <si>
    <t xml:space="preserve">ESKK</t>
  </si>
  <si>
    <t xml:space="preserve">Falköping Airfield</t>
  </si>
  <si>
    <t xml:space="preserve">ESGK</t>
  </si>
  <si>
    <t xml:space="preserve">Kalixfors Airfield</t>
  </si>
  <si>
    <t xml:space="preserve">ESUK</t>
  </si>
  <si>
    <t xml:space="preserve">Västervik Airport</t>
  </si>
  <si>
    <t xml:space="preserve">ESSW</t>
  </si>
  <si>
    <t xml:space="preserve">Landskrona Enoch Thulins Airfield</t>
  </si>
  <si>
    <t xml:space="preserve">ESML</t>
  </si>
  <si>
    <t xml:space="preserve">Feringe Airfield</t>
  </si>
  <si>
    <t xml:space="preserve">ESMG</t>
  </si>
  <si>
    <t xml:space="preserve">Arvika Airfield</t>
  </si>
  <si>
    <t xml:space="preserve">ESKV</t>
  </si>
  <si>
    <t xml:space="preserve">Säve Airport</t>
  </si>
  <si>
    <t xml:space="preserve">ESGP</t>
  </si>
  <si>
    <t xml:space="preserve">Anderstorp Airfield</t>
  </si>
  <si>
    <t xml:space="preserve">ESMP</t>
  </si>
  <si>
    <t xml:space="preserve">Hallviken Airfield</t>
  </si>
  <si>
    <t xml:space="preserve">ESNA</t>
  </si>
  <si>
    <t xml:space="preserve">Hedlanda Airfield</t>
  </si>
  <si>
    <t xml:space="preserve">ESNC</t>
  </si>
  <si>
    <t xml:space="preserve">Optand Airfield</t>
  </si>
  <si>
    <t xml:space="preserve">ESNM</t>
  </si>
  <si>
    <t xml:space="preserve">Piteå Airfield</t>
  </si>
  <si>
    <t xml:space="preserve">ESNP</t>
  </si>
  <si>
    <t xml:space="preserve">Orsa Airfield</t>
  </si>
  <si>
    <t xml:space="preserve">ESNR</t>
  </si>
  <si>
    <t xml:space="preserve">Vårgårda Airfield</t>
  </si>
  <si>
    <t xml:space="preserve">ESGO</t>
  </si>
  <si>
    <t xml:space="preserve">Tierp Airfield</t>
  </si>
  <si>
    <t xml:space="preserve">ESKT</t>
  </si>
  <si>
    <t xml:space="preserve">Johannisberg Airfield</t>
  </si>
  <si>
    <t xml:space="preserve">ESSX</t>
  </si>
  <si>
    <t xml:space="preserve">Laxå Airfield</t>
  </si>
  <si>
    <t xml:space="preserve">ESSH</t>
  </si>
  <si>
    <t xml:space="preserve">Siljansnäs Air Park</t>
  </si>
  <si>
    <t xml:space="preserve">ESVS</t>
  </si>
  <si>
    <t xml:space="preserve">Åre / Molanda</t>
  </si>
  <si>
    <t xml:space="preserve">SE-0005</t>
  </si>
  <si>
    <t xml:space="preserve">Ludvika Airfield</t>
  </si>
  <si>
    <t xml:space="preserve">ESSG</t>
  </si>
  <si>
    <t xml:space="preserve">Borås Airfield</t>
  </si>
  <si>
    <t xml:space="preserve">ESGE</t>
  </si>
  <si>
    <t xml:space="preserve">Dala Järna Airfield</t>
  </si>
  <si>
    <t xml:space="preserve">ESKD</t>
  </si>
  <si>
    <t xml:space="preserve">Smålandsstenar Smålanda Airfield</t>
  </si>
  <si>
    <t xml:space="preserve">ESMY</t>
  </si>
  <si>
    <t xml:space="preserve">Norrtälje Airfield</t>
  </si>
  <si>
    <t xml:space="preserve">ESSN</t>
  </si>
  <si>
    <t xml:space="preserve">Eslöv Airfield</t>
  </si>
  <si>
    <t xml:space="preserve">ESME</t>
  </si>
  <si>
    <t xml:space="preserve">Sollefteå/Långsele Airfield</t>
  </si>
  <si>
    <t xml:space="preserve">ESNB</t>
  </si>
  <si>
    <t xml:space="preserve">Mohed Airfield</t>
  </si>
  <si>
    <t xml:space="preserve">ESUM</t>
  </si>
  <si>
    <t xml:space="preserve">Norberg</t>
  </si>
  <si>
    <t xml:space="preserve">SE-0004</t>
  </si>
  <si>
    <t xml:space="preserve">Bunge Airfield</t>
  </si>
  <si>
    <t xml:space="preserve">ESVB</t>
  </si>
  <si>
    <t xml:space="preserve">Lemstanas Airfield</t>
  </si>
  <si>
    <t xml:space="preserve">ESOL</t>
  </si>
  <si>
    <t xml:space="preserve">Ölanda Airfield</t>
  </si>
  <si>
    <t xml:space="preserve">ESMZ</t>
  </si>
  <si>
    <t xml:space="preserve">Schweiz  (28 Flugplätze)</t>
  </si>
  <si>
    <t xml:space="preserve">Geneva International Airport</t>
  </si>
  <si>
    <t xml:space="preserve">LSGG</t>
  </si>
  <si>
    <t xml:space="preserve">Zürich Airport</t>
  </si>
  <si>
    <t xml:space="preserve">LSZH</t>
  </si>
  <si>
    <t xml:space="preserve">Sion Airport</t>
  </si>
  <si>
    <t xml:space="preserve">LSGS</t>
  </si>
  <si>
    <t xml:space="preserve">Buochs Airport</t>
  </si>
  <si>
    <t xml:space="preserve">LSZC</t>
  </si>
  <si>
    <t xml:space="preserve">Mollis Airfield</t>
  </si>
  <si>
    <t xml:space="preserve">LSZM</t>
  </si>
  <si>
    <t xml:space="preserve">Engadin Airport</t>
  </si>
  <si>
    <t xml:space="preserve">LSZS</t>
  </si>
  <si>
    <t xml:space="preserve">Sankt Stephan Airfield</t>
  </si>
  <si>
    <t xml:space="preserve">LSTS</t>
  </si>
  <si>
    <t xml:space="preserve">Bern Airport</t>
  </si>
  <si>
    <t xml:space="preserve">LSZB</t>
  </si>
  <si>
    <t xml:space="preserve">Saanen Airfield</t>
  </si>
  <si>
    <t xml:space="preserve">LSGK</t>
  </si>
  <si>
    <t xml:space="preserve">Sankt Gallen Altenrhein Airport</t>
  </si>
  <si>
    <t xml:space="preserve">LSZR</t>
  </si>
  <si>
    <t xml:space="preserve">Lugano Airport</t>
  </si>
  <si>
    <t xml:space="preserve">LSZA</t>
  </si>
  <si>
    <t xml:space="preserve">Ambri Airport</t>
  </si>
  <si>
    <t xml:space="preserve">LSPM</t>
  </si>
  <si>
    <t xml:space="preserve">Les Eplatures Airport</t>
  </si>
  <si>
    <t xml:space="preserve">LSGC</t>
  </si>
  <si>
    <t xml:space="preserve">Grenchen Airfield</t>
  </si>
  <si>
    <t xml:space="preserve">LSZG</t>
  </si>
  <si>
    <t xml:space="preserve">Kägiswil Airfield</t>
  </si>
  <si>
    <t xml:space="preserve">LSPG</t>
  </si>
  <si>
    <t xml:space="preserve">Lausanne la Blécherette Airport</t>
  </si>
  <si>
    <t xml:space="preserve">LSGL</t>
  </si>
  <si>
    <t xml:space="preserve">Yverdon-les-Bains Airfield</t>
  </si>
  <si>
    <t xml:space="preserve">LSGY</t>
  </si>
  <si>
    <t xml:space="preserve">Raron Airfield</t>
  </si>
  <si>
    <t xml:space="preserve">LSTA</t>
  </si>
  <si>
    <t xml:space="preserve">Ecuvillens Airfield</t>
  </si>
  <si>
    <t xml:space="preserve">LSGE</t>
  </si>
  <si>
    <t xml:space="preserve">Locarno Airport</t>
  </si>
  <si>
    <t xml:space="preserve">LSZL</t>
  </si>
  <si>
    <t xml:space="preserve">Bressaucourt Airfield</t>
  </si>
  <si>
    <t xml:space="preserve">LSZQ</t>
  </si>
  <si>
    <t xml:space="preserve">Birrfeld Airfield</t>
  </si>
  <si>
    <t xml:space="preserve">LSZF</t>
  </si>
  <si>
    <t xml:space="preserve">Neuchâtel Airfield</t>
  </si>
  <si>
    <t xml:space="preserve">LSGN</t>
  </si>
  <si>
    <t xml:space="preserve">Hausen am Albis Airfield</t>
  </si>
  <si>
    <t xml:space="preserve">LSZN</t>
  </si>
  <si>
    <t xml:space="preserve">Zweisimmen Airfield</t>
  </si>
  <si>
    <t xml:space="preserve">LSTZ</t>
  </si>
  <si>
    <t xml:space="preserve">Langenthal Airfield</t>
  </si>
  <si>
    <t xml:space="preserve">LSPL</t>
  </si>
  <si>
    <t xml:space="preserve">Triengen Airfield</t>
  </si>
  <si>
    <t xml:space="preserve">LSPN</t>
  </si>
  <si>
    <t xml:space="preserve">Schänis Airfield</t>
  </si>
  <si>
    <t xml:space="preserve">LSZX</t>
  </si>
  <si>
    <t xml:space="preserve">Serbien  (7 Flugplätze)</t>
  </si>
  <si>
    <t xml:space="preserve">Belgrade Nikola Tesla Airport</t>
  </si>
  <si>
    <t xml:space="preserve">LYBE</t>
  </si>
  <si>
    <t xml:space="preserve">Ponikve Airport</t>
  </si>
  <si>
    <t xml:space="preserve">LYUZ</t>
  </si>
  <si>
    <t xml:space="preserve">Niš Constantine the Great Airport</t>
  </si>
  <si>
    <t xml:space="preserve">LYNI</t>
  </si>
  <si>
    <t xml:space="preserve">Morava Airport</t>
  </si>
  <si>
    <t xml:space="preserve">LYKV</t>
  </si>
  <si>
    <t xml:space="preserve">Kovin Airstrip</t>
  </si>
  <si>
    <t xml:space="preserve">LY87</t>
  </si>
  <si>
    <t xml:space="preserve">Bor Airport</t>
  </si>
  <si>
    <t xml:space="preserve">LY89</t>
  </si>
  <si>
    <t xml:space="preserve">Vršac Airfield</t>
  </si>
  <si>
    <t xml:space="preserve">LYVR</t>
  </si>
  <si>
    <t xml:space="preserve">Slowakei  (10 Flugplätze)</t>
  </si>
  <si>
    <t xml:space="preserve">M. R. Štefánik Airport</t>
  </si>
  <si>
    <t xml:space="preserve">LZIB</t>
  </si>
  <si>
    <t xml:space="preserve">Košice International Airport</t>
  </si>
  <si>
    <t xml:space="preserve">LZKZ</t>
  </si>
  <si>
    <t xml:space="preserve">Poprad-Tatry Airport</t>
  </si>
  <si>
    <t xml:space="preserve">LZTT</t>
  </si>
  <si>
    <t xml:space="preserve">Sliač Airport</t>
  </si>
  <si>
    <t xml:space="preserve">LZSL</t>
  </si>
  <si>
    <t xml:space="preserve">Piešťany Airport</t>
  </si>
  <si>
    <t xml:space="preserve">LZPP</t>
  </si>
  <si>
    <t xml:space="preserve">Trenčín Airfield</t>
  </si>
  <si>
    <t xml:space="preserve">LZTN</t>
  </si>
  <si>
    <t xml:space="preserve">Žilina-Dolný Hričov Airport</t>
  </si>
  <si>
    <t xml:space="preserve">LZZI</t>
  </si>
  <si>
    <t xml:space="preserve">Čerín-Čačín Airstrip</t>
  </si>
  <si>
    <t xml:space="preserve">SK-0057</t>
  </si>
  <si>
    <t xml:space="preserve">Dobra Niva airfield</t>
  </si>
  <si>
    <t xml:space="preserve">SK-0001</t>
  </si>
  <si>
    <t xml:space="preserve">Jasná Airfield</t>
  </si>
  <si>
    <t xml:space="preserve">LZJS</t>
  </si>
  <si>
    <t xml:space="preserve">Slowenien  (7 Flugplätze)</t>
  </si>
  <si>
    <t xml:space="preserve">Ljubljana Jože Pučnik Airport</t>
  </si>
  <si>
    <t xml:space="preserve">LJLJ</t>
  </si>
  <si>
    <t xml:space="preserve">Maribor Edvard Rusjan Airport</t>
  </si>
  <si>
    <t xml:space="preserve">LJMB</t>
  </si>
  <si>
    <t xml:space="preserve">Slovenj Gradec Airfield</t>
  </si>
  <si>
    <t xml:space="preserve">LJSG</t>
  </si>
  <si>
    <t xml:space="preserve">Portorož Airport</t>
  </si>
  <si>
    <t xml:space="preserve">LJPZ</t>
  </si>
  <si>
    <t xml:space="preserve">Lesce Airfield</t>
  </si>
  <si>
    <t xml:space="preserve">LJBL</t>
  </si>
  <si>
    <t xml:space="preserve">Divača Airfield</t>
  </si>
  <si>
    <t xml:space="preserve">LJDI</t>
  </si>
  <si>
    <t xml:space="preserve">Šoštanj Airfield</t>
  </si>
  <si>
    <t xml:space="preserve">LJVE</t>
  </si>
  <si>
    <t xml:space="preserve">Spanien  (94 Flugplätze)</t>
  </si>
  <si>
    <t xml:space="preserve">Adolfo Suárez Madrid–Barajas Airport</t>
  </si>
  <si>
    <t xml:space="preserve">LEMD</t>
  </si>
  <si>
    <t xml:space="preserve">Ciudad Real International Airport</t>
  </si>
  <si>
    <t xml:space="preserve">LERL</t>
  </si>
  <si>
    <t xml:space="preserve">Zaragoza Airport</t>
  </si>
  <si>
    <t xml:space="preserve">LEZG</t>
  </si>
  <si>
    <t xml:space="preserve">Rota Naval Station Airport</t>
  </si>
  <si>
    <t xml:space="preserve">LERT</t>
  </si>
  <si>
    <t xml:space="preserve">Vitoria Airport</t>
  </si>
  <si>
    <t xml:space="preserve">LEVT</t>
  </si>
  <si>
    <t xml:space="preserve">Fuerteventura Airport</t>
  </si>
  <si>
    <t xml:space="preserve">GCFV</t>
  </si>
  <si>
    <t xml:space="preserve">Seville Airport</t>
  </si>
  <si>
    <t xml:space="preserve">LEZL</t>
  </si>
  <si>
    <t xml:space="preserve">Josep Tarradellas Barcelona-El Prat Airport</t>
  </si>
  <si>
    <t xml:space="preserve">LEBL</t>
  </si>
  <si>
    <t xml:space="preserve">Palma de Mallorca Airport</t>
  </si>
  <si>
    <t xml:space="preserve">LEPA</t>
  </si>
  <si>
    <t xml:space="preserve">Tenerife Sur Airport</t>
  </si>
  <si>
    <t xml:space="preserve">GCTS</t>
  </si>
  <si>
    <t xml:space="preserve">Almería Airport</t>
  </si>
  <si>
    <t xml:space="preserve">LEAM</t>
  </si>
  <si>
    <t xml:space="preserve">Málaga-Costa del Sol Airport</t>
  </si>
  <si>
    <t xml:space="preserve">LEMG</t>
  </si>
  <si>
    <t xml:space="preserve">Santiago-Rosalía de Castro Airport</t>
  </si>
  <si>
    <t xml:space="preserve">LEST</t>
  </si>
  <si>
    <t xml:space="preserve">Tenerife Norte-Ciudad de La Laguna Airport</t>
  </si>
  <si>
    <t xml:space="preserve">GCXO</t>
  </si>
  <si>
    <t xml:space="preserve">Gran Canaria Airport</t>
  </si>
  <si>
    <t xml:space="preserve">GCLP</t>
  </si>
  <si>
    <t xml:space="preserve">Alicante-Elche Miguel Hernández Airport</t>
  </si>
  <si>
    <t xml:space="preserve">LEAL</t>
  </si>
  <si>
    <t xml:space="preserve">León Airport</t>
  </si>
  <si>
    <t xml:space="preserve">LELN</t>
  </si>
  <si>
    <t xml:space="preserve">Region of Murcia International Airport</t>
  </si>
  <si>
    <t xml:space="preserve">LEMI</t>
  </si>
  <si>
    <t xml:space="preserve">Valladolid Airport</t>
  </si>
  <si>
    <t xml:space="preserve">LEVD</t>
  </si>
  <si>
    <t xml:space="preserve">F.G.L. Airport Granada-Jaén Airport</t>
  </si>
  <si>
    <t xml:space="preserve">LEGR</t>
  </si>
  <si>
    <t xml:space="preserve">Badajoz Airport</t>
  </si>
  <si>
    <t xml:space="preserve">LEBZ</t>
  </si>
  <si>
    <t xml:space="preserve">Teruel Airport</t>
  </si>
  <si>
    <t xml:space="preserve">LETL</t>
  </si>
  <si>
    <t xml:space="preserve">Ibiza Airport</t>
  </si>
  <si>
    <t xml:space="preserve">LEIB</t>
  </si>
  <si>
    <t xml:space="preserve">Castellón-Costa Azahar Airport</t>
  </si>
  <si>
    <t xml:space="preserve">LECH</t>
  </si>
  <si>
    <t xml:space="preserve">Valencia Airport</t>
  </si>
  <si>
    <t xml:space="preserve">LEVC</t>
  </si>
  <si>
    <t xml:space="preserve">Bilbao Airport</t>
  </si>
  <si>
    <t xml:space="preserve">LEBB</t>
  </si>
  <si>
    <t xml:space="preserve">Menorca Airport</t>
  </si>
  <si>
    <t xml:space="preserve">LEMH</t>
  </si>
  <si>
    <t xml:space="preserve">Salamanca Airport</t>
  </si>
  <si>
    <t xml:space="preserve">LESA</t>
  </si>
  <si>
    <t xml:space="preserve">Lleida-Alguaire Airport</t>
  </si>
  <si>
    <t xml:space="preserve">LEDA</t>
  </si>
  <si>
    <t xml:space="preserve">Reus Airport</t>
  </si>
  <si>
    <t xml:space="preserve">LERS</t>
  </si>
  <si>
    <t xml:space="preserve">César Manrique-Lanzarote Airport</t>
  </si>
  <si>
    <t xml:space="preserve">GCRR</t>
  </si>
  <si>
    <t xml:space="preserve">Girona-Costa Brava Airport</t>
  </si>
  <si>
    <t xml:space="preserve">LEGE</t>
  </si>
  <si>
    <t xml:space="preserve">Vigo Airport</t>
  </si>
  <si>
    <t xml:space="preserve">LEVX</t>
  </si>
  <si>
    <t xml:space="preserve">San Javier Airport</t>
  </si>
  <si>
    <t xml:space="preserve">LELC</t>
  </si>
  <si>
    <t xml:space="preserve">Seve Ballesteros-Santander Airport</t>
  </si>
  <si>
    <t xml:space="preserve">LEXJ</t>
  </si>
  <si>
    <t xml:space="preserve">Jerez Airport</t>
  </si>
  <si>
    <t xml:space="preserve">LEJR</t>
  </si>
  <si>
    <t xml:space="preserve">Córdoba Airport</t>
  </si>
  <si>
    <t xml:space="preserve">LEBA</t>
  </si>
  <si>
    <t xml:space="preserve">Pamplona Airport</t>
  </si>
  <si>
    <t xml:space="preserve">LEPP</t>
  </si>
  <si>
    <t xml:space="preserve">La Palma Airport</t>
  </si>
  <si>
    <t xml:space="preserve">GCLA</t>
  </si>
  <si>
    <t xml:space="preserve">Asturias Airport</t>
  </si>
  <si>
    <t xml:space="preserve">LEAS</t>
  </si>
  <si>
    <t xml:space="preserve">Logroño-Agoncillo Airport</t>
  </si>
  <si>
    <t xml:space="preserve">LELO</t>
  </si>
  <si>
    <t xml:space="preserve">A Coruña Airport</t>
  </si>
  <si>
    <t xml:space="preserve">LECO</t>
  </si>
  <si>
    <t xml:space="preserve">Burgos Airport</t>
  </si>
  <si>
    <t xml:space="preserve">LEBG</t>
  </si>
  <si>
    <t xml:space="preserve">Huesca-Pirineos Airport</t>
  </si>
  <si>
    <t xml:space="preserve">LEHC</t>
  </si>
  <si>
    <t xml:space="preserve">La Cuesta Aerodrome</t>
  </si>
  <si>
    <t xml:space="preserve">ES-0276</t>
  </si>
  <si>
    <t xml:space="preserve">Sant Lluis Airfield</t>
  </si>
  <si>
    <t xml:space="preserve">LESL</t>
  </si>
  <si>
    <t xml:space="preserve">San Sebastián Airport</t>
  </si>
  <si>
    <t xml:space="preserve">LESO</t>
  </si>
  <si>
    <t xml:space="preserve">Altarejos-Guadalcanal Private Airfield</t>
  </si>
  <si>
    <t xml:space="preserve">LEGC</t>
  </si>
  <si>
    <t xml:space="preserve">El Castaño Airfield</t>
  </si>
  <si>
    <t xml:space="preserve">LECT</t>
  </si>
  <si>
    <t xml:space="preserve">La Perdiz - Torre De Juan Abad Airfield</t>
  </si>
  <si>
    <t xml:space="preserve">LEIZ</t>
  </si>
  <si>
    <t xml:space="preserve">La Gomera Airport</t>
  </si>
  <si>
    <t xml:space="preserve">GCGM</t>
  </si>
  <si>
    <t xml:space="preserve">Madrid-Cuatro Vientos Airport</t>
  </si>
  <si>
    <t xml:space="preserve">LECU</t>
  </si>
  <si>
    <t xml:space="preserve">La Calderera Airfield</t>
  </si>
  <si>
    <t xml:space="preserve">LELA</t>
  </si>
  <si>
    <t xml:space="preserve">Beas de Segura Airfield</t>
  </si>
  <si>
    <t xml:space="preserve">LEBE</t>
  </si>
  <si>
    <t xml:space="preserve">Melilla Airport</t>
  </si>
  <si>
    <t xml:space="preserve">GEML</t>
  </si>
  <si>
    <t xml:space="preserve">La Caminera Airfield</t>
  </si>
  <si>
    <t xml:space="preserve">LENE</t>
  </si>
  <si>
    <t xml:space="preserve">Pirineus - la Seu d'Urgel Airport</t>
  </si>
  <si>
    <t xml:space="preserve">LESU</t>
  </si>
  <si>
    <t xml:space="preserve">Ocaña Airfield</t>
  </si>
  <si>
    <t xml:space="preserve">LEOC</t>
  </si>
  <si>
    <t xml:space="preserve">El Hierro Airport</t>
  </si>
  <si>
    <t xml:space="preserve">GCHI</t>
  </si>
  <si>
    <t xml:space="preserve">Aeródromo de los Oteros</t>
  </si>
  <si>
    <t xml:space="preserve">LEOS</t>
  </si>
  <si>
    <t xml:space="preserve">Trebujena Airfield</t>
  </si>
  <si>
    <t xml:space="preserve">ES-0001</t>
  </si>
  <si>
    <t xml:space="preserve">Vicente Huerta Airfield</t>
  </si>
  <si>
    <t xml:space="preserve">ES-0052</t>
  </si>
  <si>
    <t xml:space="preserve">Rozas Airfield</t>
  </si>
  <si>
    <t xml:space="preserve">LERO</t>
  </si>
  <si>
    <t xml:space="preserve">Son Bonet Airfield</t>
  </si>
  <si>
    <t xml:space="preserve">LESB</t>
  </si>
  <si>
    <t xml:space="preserve">Rosinos de la Requejada Airfield</t>
  </si>
  <si>
    <t xml:space="preserve">ES-0006</t>
  </si>
  <si>
    <t xml:space="preserve">La Cerdanya Airfield</t>
  </si>
  <si>
    <t xml:space="preserve">LECD</t>
  </si>
  <si>
    <t xml:space="preserve">Jayena Airfield</t>
  </si>
  <si>
    <t xml:space="preserve">LE84</t>
  </si>
  <si>
    <t xml:space="preserve">Sabadell Airfield</t>
  </si>
  <si>
    <t xml:space="preserve">LELL</t>
  </si>
  <si>
    <t xml:space="preserve">Los Pozuelos De Calatrava Airfield</t>
  </si>
  <si>
    <t xml:space="preserve">LEPZ</t>
  </si>
  <si>
    <t xml:space="preserve">El Barranco - Sierra Morena</t>
  </si>
  <si>
    <t xml:space="preserve">ES-0263</t>
  </si>
  <si>
    <t xml:space="preserve">Aeródromo forestal de Mojados</t>
  </si>
  <si>
    <t xml:space="preserve">LE83</t>
  </si>
  <si>
    <t xml:space="preserve">Fuentemilanos Airfield</t>
  </si>
  <si>
    <t xml:space="preserve">LEFM</t>
  </si>
  <si>
    <t xml:space="preserve">La Morgal Airfield</t>
  </si>
  <si>
    <t xml:space="preserve">LEMR</t>
  </si>
  <si>
    <t xml:space="preserve">Muchamiel Airfield</t>
  </si>
  <si>
    <t xml:space="preserve">LEMU</t>
  </si>
  <si>
    <t xml:space="preserve">Robledillo De Mohernando Airfield</t>
  </si>
  <si>
    <t xml:space="preserve">LERM</t>
  </si>
  <si>
    <t xml:space="preserve">El Tietar Airfield</t>
  </si>
  <si>
    <t xml:space="preserve">LETI</t>
  </si>
  <si>
    <t xml:space="preserve">Villaframil Airfield</t>
  </si>
  <si>
    <t xml:space="preserve">LEVF</t>
  </si>
  <si>
    <t xml:space="preserve">Aeródromo Requena El Rebollar</t>
  </si>
  <si>
    <t xml:space="preserve">LERE</t>
  </si>
  <si>
    <t xml:space="preserve">La Axarquía-Leoni Benabu Airfield</t>
  </si>
  <si>
    <t xml:space="preserve">LEAX</t>
  </si>
  <si>
    <t xml:space="preserve">Castellon de la Plana Aerodrome</t>
  </si>
  <si>
    <t xml:space="preserve">LECN</t>
  </si>
  <si>
    <t xml:space="preserve">Casarrubios Del Monte Airfield</t>
  </si>
  <si>
    <t xml:space="preserve">LEMT</t>
  </si>
  <si>
    <t xml:space="preserve">Casas de los Pinos Airfield</t>
  </si>
  <si>
    <t xml:space="preserve">LEPI</t>
  </si>
  <si>
    <t xml:space="preserve">Aeródromo de Antela</t>
  </si>
  <si>
    <t xml:space="preserve">ES-0010</t>
  </si>
  <si>
    <t xml:space="preserve">Aeródromo de la Curiscada</t>
  </si>
  <si>
    <t xml:space="preserve">ES-0044</t>
  </si>
  <si>
    <t xml:space="preserve">Beariz Airfield</t>
  </si>
  <si>
    <t xml:space="preserve">ES-0072</t>
  </si>
  <si>
    <t xml:space="preserve">Igualada/Odena Airfield</t>
  </si>
  <si>
    <t xml:space="preserve">LEIG</t>
  </si>
  <si>
    <t xml:space="preserve">Santa Cilia de Jaca Airfield</t>
  </si>
  <si>
    <t xml:space="preserve">LECI</t>
  </si>
  <si>
    <t xml:space="preserve">Matilla De Los Caños Airfield</t>
  </si>
  <si>
    <t xml:space="preserve">LETC</t>
  </si>
  <si>
    <t xml:space="preserve">Lillo Airfield</t>
  </si>
  <si>
    <t xml:space="preserve">LELT</t>
  </si>
  <si>
    <t xml:space="preserve">Benabarre Airfield</t>
  </si>
  <si>
    <t xml:space="preserve">LENA</t>
  </si>
  <si>
    <t xml:space="preserve">Mafé - Gibraleón Airfield</t>
  </si>
  <si>
    <t xml:space="preserve">LEMF</t>
  </si>
  <si>
    <t xml:space="preserve">Air Marugán</t>
  </si>
  <si>
    <t xml:space="preserve">ES-0069</t>
  </si>
  <si>
    <t xml:space="preserve">Lumbier Airfield</t>
  </si>
  <si>
    <t xml:space="preserve">ES-0105</t>
  </si>
  <si>
    <t xml:space="preserve">Aeròdrom d'Avinyonet</t>
  </si>
  <si>
    <t xml:space="preserve">ES-0021</t>
  </si>
  <si>
    <t xml:space="preserve">Tschechien  (23 Flugplätze)</t>
  </si>
  <si>
    <t xml:space="preserve">Václav Havel Airport Prague</t>
  </si>
  <si>
    <t xml:space="preserve">LKPR</t>
  </si>
  <si>
    <t xml:space="preserve">Leoš Janáček Airport Ostrava</t>
  </si>
  <si>
    <t xml:space="preserve">LKMT</t>
  </si>
  <si>
    <t xml:space="preserve">Brno-Tuřany Airport</t>
  </si>
  <si>
    <t xml:space="preserve">LKTB</t>
  </si>
  <si>
    <t xml:space="preserve">Panensky Tynec Airfield</t>
  </si>
  <si>
    <t xml:space="preserve">LKPC</t>
  </si>
  <si>
    <t xml:space="preserve">České Budějovice South Bohemian Airport</t>
  </si>
  <si>
    <t xml:space="preserve">LKCS</t>
  </si>
  <si>
    <t xml:space="preserve">Pardubice Airport</t>
  </si>
  <si>
    <t xml:space="preserve">LKPD</t>
  </si>
  <si>
    <t xml:space="preserve">Vodochody Airport</t>
  </si>
  <si>
    <t xml:space="preserve">LKVO</t>
  </si>
  <si>
    <t xml:space="preserve">Hradec Králové Airport</t>
  </si>
  <si>
    <t xml:space="preserve">LKHK</t>
  </si>
  <si>
    <t xml:space="preserve">Karlovy Vary Airport</t>
  </si>
  <si>
    <t xml:space="preserve">LKKV</t>
  </si>
  <si>
    <t xml:space="preserve">Kunovice Airport</t>
  </si>
  <si>
    <t xml:space="preserve">LKKU</t>
  </si>
  <si>
    <t xml:space="preserve">Mnichovo Hradiště Airport</t>
  </si>
  <si>
    <t xml:space="preserve">LKMH</t>
  </si>
  <si>
    <t xml:space="preserve">Plzeň-Líně Airport</t>
  </si>
  <si>
    <t xml:space="preserve">LKLN</t>
  </si>
  <si>
    <t xml:space="preserve">Příbram Airfield</t>
  </si>
  <si>
    <t xml:space="preserve">LKPM</t>
  </si>
  <si>
    <t xml:space="preserve">Hořovice Airfield</t>
  </si>
  <si>
    <t xml:space="preserve">LKHV</t>
  </si>
  <si>
    <t xml:space="preserve">Cheb Airfield</t>
  </si>
  <si>
    <t xml:space="preserve">LKCB</t>
  </si>
  <si>
    <t xml:space="preserve">Hosín Airfield</t>
  </si>
  <si>
    <t xml:space="preserve">LKHS</t>
  </si>
  <si>
    <t xml:space="preserve">Moravská Třebová Airfield</t>
  </si>
  <si>
    <t xml:space="preserve">LKMK</t>
  </si>
  <si>
    <t xml:space="preserve">Jindřichův Hradec Airfield</t>
  </si>
  <si>
    <t xml:space="preserve">LKJH</t>
  </si>
  <si>
    <t xml:space="preserve">Zlín Otrokovice Airfield</t>
  </si>
  <si>
    <t xml:space="preserve">LKOT</t>
  </si>
  <si>
    <t xml:space="preserve">Rovná u Sokolova Airstrip</t>
  </si>
  <si>
    <t xml:space="preserve">CZ-0171</t>
  </si>
  <si>
    <t xml:space="preserve">Vysoké Mýto Airfield</t>
  </si>
  <si>
    <t xml:space="preserve">LKVM</t>
  </si>
  <si>
    <t xml:space="preserve">Písek UL Airstrip</t>
  </si>
  <si>
    <t xml:space="preserve">CZ-0194</t>
  </si>
  <si>
    <t xml:space="preserve">Plešnice Airfield</t>
  </si>
  <si>
    <t xml:space="preserve">CZ-0104</t>
  </si>
  <si>
    <t xml:space="preserve">Türkei  (70 Flugplätze)</t>
  </si>
  <si>
    <t xml:space="preserve">İstanbul Airport</t>
  </si>
  <si>
    <t xml:space="preserve">LTFM</t>
  </si>
  <si>
    <t xml:space="preserve">Şanlıurfa GAP Airport</t>
  </si>
  <si>
    <t xml:space="preserve">LTCS</t>
  </si>
  <si>
    <t xml:space="preserve">Sivas Nuri Demirağ Airport</t>
  </si>
  <si>
    <t xml:space="preserve">LTAR</t>
  </si>
  <si>
    <t xml:space="preserve">Erzurum International Airport</t>
  </si>
  <si>
    <t xml:space="preserve">LTCE</t>
  </si>
  <si>
    <t xml:space="preserve">Esenboğa International Airport</t>
  </si>
  <si>
    <t xml:space="preserve">LTAC</t>
  </si>
  <si>
    <t xml:space="preserve">Muş Airport</t>
  </si>
  <si>
    <t xml:space="preserve">LTCK</t>
  </si>
  <si>
    <t xml:space="preserve">Diyarbakır Airport</t>
  </si>
  <si>
    <t xml:space="preserve">LTCC</t>
  </si>
  <si>
    <t xml:space="preserve">Istanbul Sabiha Gökçen International Airport</t>
  </si>
  <si>
    <t xml:space="preserve">LTFJ</t>
  </si>
  <si>
    <t xml:space="preserve">Kars Airport</t>
  </si>
  <si>
    <t xml:space="preserve">LTCF</t>
  </si>
  <si>
    <t xml:space="preserve">Çukurova International Airport</t>
  </si>
  <si>
    <t xml:space="preserve">LTDB</t>
  </si>
  <si>
    <t xml:space="preserve">Antalya International Airport</t>
  </si>
  <si>
    <t xml:space="preserve">LTAI</t>
  </si>
  <si>
    <t xml:space="preserve">Sivrihisar Airport</t>
  </si>
  <si>
    <t xml:space="preserve">LTAV</t>
  </si>
  <si>
    <t xml:space="preserve">Konya Airport</t>
  </si>
  <si>
    <t xml:space="preserve">LTAN</t>
  </si>
  <si>
    <t xml:space="preserve">Malatya Erhaç Airport</t>
  </si>
  <si>
    <t xml:space="preserve">LTAT</t>
  </si>
  <si>
    <t xml:space="preserve">Adnan Menderes International Airport</t>
  </si>
  <si>
    <t xml:space="preserve">LTBJ</t>
  </si>
  <si>
    <t xml:space="preserve">Hakkari Yüksekova Airport</t>
  </si>
  <si>
    <t xml:space="preserve">LTCW</t>
  </si>
  <si>
    <t xml:space="preserve">Batman Airport</t>
  </si>
  <si>
    <t xml:space="preserve">LTCJ</t>
  </si>
  <si>
    <t xml:space="preserve">Bandırma Airport</t>
  </si>
  <si>
    <t xml:space="preserve">LTBG</t>
  </si>
  <si>
    <t xml:space="preserve">Ordu–Giresun Airport</t>
  </si>
  <si>
    <t xml:space="preserve">LTCB</t>
  </si>
  <si>
    <t xml:space="preserve">Gaziantep Oğuzeli International Airport</t>
  </si>
  <si>
    <t xml:space="preserve">LTAJ</t>
  </si>
  <si>
    <t xml:space="preserve">Kayseri Erkilet International Airport</t>
  </si>
  <si>
    <t xml:space="preserve">LTAU</t>
  </si>
  <si>
    <t xml:space="preserve">Çardak Airport</t>
  </si>
  <si>
    <t xml:space="preserve">LTAY</t>
  </si>
  <si>
    <t xml:space="preserve">Nevşehir Kapadokya Airport</t>
  </si>
  <si>
    <t xml:space="preserve">LTAZ</t>
  </si>
  <si>
    <t xml:space="preserve">Cengiz Topel Airport</t>
  </si>
  <si>
    <t xml:space="preserve">LTBQ</t>
  </si>
  <si>
    <t xml:space="preserve">Dalaman International Airport</t>
  </si>
  <si>
    <t xml:space="preserve">LTBS</t>
  </si>
  <si>
    <t xml:space="preserve">Tekirdağ Çorlu Airport</t>
  </si>
  <si>
    <t xml:space="preserve">LTBU</t>
  </si>
  <si>
    <t xml:space="preserve">Zafer Airport</t>
  </si>
  <si>
    <t xml:space="preserve">LTBZ</t>
  </si>
  <si>
    <t xml:space="preserve">Elazığ Airport</t>
  </si>
  <si>
    <t xml:space="preserve">LTCA</t>
  </si>
  <si>
    <t xml:space="preserve">Erzincan Airport</t>
  </si>
  <si>
    <t xml:space="preserve">LTCD</t>
  </si>
  <si>
    <t xml:space="preserve">Ağrı Airport</t>
  </si>
  <si>
    <t xml:space="preserve">LTCO</t>
  </si>
  <si>
    <t xml:space="preserve">Iğdır Airport</t>
  </si>
  <si>
    <t xml:space="preserve">LTCT</t>
  </si>
  <si>
    <t xml:space="preserve">Şırnak Şerafettin Elçi Airport</t>
  </si>
  <si>
    <t xml:space="preserve">LTCV</t>
  </si>
  <si>
    <t xml:space="preserve">Kaklıç Airport</t>
  </si>
  <si>
    <t xml:space="preserve">LTFA</t>
  </si>
  <si>
    <t xml:space="preserve">Süleyman Demirel International Airport</t>
  </si>
  <si>
    <t xml:space="preserve">LTFC</t>
  </si>
  <si>
    <t xml:space="preserve">Balıkesir Koca Seyit Airport</t>
  </si>
  <si>
    <t xml:space="preserve">LTFD</t>
  </si>
  <si>
    <t xml:space="preserve">Milas Bodrum International Airport</t>
  </si>
  <si>
    <t xml:space="preserve">LTFE</t>
  </si>
  <si>
    <t xml:space="preserve">Samsun-Çarşamba Airport</t>
  </si>
  <si>
    <t xml:space="preserve">LTFH</t>
  </si>
  <si>
    <t xml:space="preserve">Rize–Artvin Airport</t>
  </si>
  <si>
    <t xml:space="preserve">LTFO</t>
  </si>
  <si>
    <t xml:space="preserve">Bursa Yenişehir Airport</t>
  </si>
  <si>
    <t xml:space="preserve">LTBR</t>
  </si>
  <si>
    <t xml:space="preserve">Balıkesir Airport</t>
  </si>
  <si>
    <t xml:space="preserve">LTBF</t>
  </si>
  <si>
    <t xml:space="preserve">Amasya Merzifon Airport</t>
  </si>
  <si>
    <t xml:space="preserve">LTAP</t>
  </si>
  <si>
    <t xml:space="preserve">Adana Şakirpaşa Airport</t>
  </si>
  <si>
    <t xml:space="preserve">LTAF</t>
  </si>
  <si>
    <t xml:space="preserve">Van Ferit Melen Airport</t>
  </si>
  <si>
    <t xml:space="preserve">LTCI</t>
  </si>
  <si>
    <t xml:space="preserve">Tokat Airport</t>
  </si>
  <si>
    <t xml:space="preserve">LTAW</t>
  </si>
  <si>
    <t xml:space="preserve">Trabzon International Airport</t>
  </si>
  <si>
    <t xml:space="preserve">LTCG</t>
  </si>
  <si>
    <t xml:space="preserve">İstanbul Atatürk Airport</t>
  </si>
  <si>
    <t xml:space="preserve">LTBA</t>
  </si>
  <si>
    <t xml:space="preserve">Uşak Airport</t>
  </si>
  <si>
    <t xml:space="preserve">LTBO</t>
  </si>
  <si>
    <t xml:space="preserve">Hasan Polatkan Airport</t>
  </si>
  <si>
    <t xml:space="preserve">LTBY</t>
  </si>
  <si>
    <t xml:space="preserve">Mardin Airport</t>
  </si>
  <si>
    <t xml:space="preserve">LTCR</t>
  </si>
  <si>
    <t xml:space="preserve">Adıyaman Airport</t>
  </si>
  <si>
    <t xml:space="preserve">LTCP</t>
  </si>
  <si>
    <t xml:space="preserve">Malatya Tulga Airport</t>
  </si>
  <si>
    <t xml:space="preserve">LTAO</t>
  </si>
  <si>
    <t xml:space="preserve">Çanakkale Airport</t>
  </si>
  <si>
    <t xml:space="preserve">LTBH</t>
  </si>
  <si>
    <t xml:space="preserve">Gazipaşa-Alanya Airport</t>
  </si>
  <si>
    <t xml:space="preserve">LTFG</t>
  </si>
  <si>
    <t xml:space="preserve">Kahramanmaraş Airport</t>
  </si>
  <si>
    <t xml:space="preserve">LTCN</t>
  </si>
  <si>
    <t xml:space="preserve">Bingöl Airport</t>
  </si>
  <si>
    <t xml:space="preserve">LTCU</t>
  </si>
  <si>
    <t xml:space="preserve">Kastamonu Airport</t>
  </si>
  <si>
    <t xml:space="preserve">LTAL</t>
  </si>
  <si>
    <t xml:space="preserve">Zonguldak Çaycuma Airport</t>
  </si>
  <si>
    <t xml:space="preserve">LTAS</t>
  </si>
  <si>
    <t xml:space="preserve">Hatay Airport</t>
  </si>
  <si>
    <t xml:space="preserve">LTDA</t>
  </si>
  <si>
    <t xml:space="preserve">Güvercinlik Airport</t>
  </si>
  <si>
    <t xml:space="preserve">LTAB</t>
  </si>
  <si>
    <t xml:space="preserve">Sinop Airport</t>
  </si>
  <si>
    <t xml:space="preserve">LTCM</t>
  </si>
  <si>
    <t xml:space="preserve">Bolu Airfield</t>
  </si>
  <si>
    <t xml:space="preserve">TR-0018</t>
  </si>
  <si>
    <t xml:space="preserve">Sivrihisar Aviation Center S.H.M.</t>
  </si>
  <si>
    <t xml:space="preserve">TR-0295</t>
  </si>
  <si>
    <t xml:space="preserve">Siirt Airport</t>
  </si>
  <si>
    <t xml:space="preserve">LTCL</t>
  </si>
  <si>
    <t xml:space="preserve">Bodrum-Imsık Airport</t>
  </si>
  <si>
    <t xml:space="preserve">LTBV</t>
  </si>
  <si>
    <t xml:space="preserve">Selçuk Efes Airport</t>
  </si>
  <si>
    <t xml:space="preserve">LTFB</t>
  </si>
  <si>
    <t xml:space="preserve">Kütahya Airport</t>
  </si>
  <si>
    <t xml:space="preserve">LTBN</t>
  </si>
  <si>
    <t xml:space="preserve">Aydın Çıldır Airport</t>
  </si>
  <si>
    <t xml:space="preserve">LTBD</t>
  </si>
  <si>
    <t xml:space="preserve">Gökçeada Airport</t>
  </si>
  <si>
    <t xml:space="preserve">LTFK</t>
  </si>
  <si>
    <t xml:space="preserve">Isparta Airport</t>
  </si>
  <si>
    <t xml:space="preserve">LTBM</t>
  </si>
  <si>
    <t xml:space="preserve">İstanbul Hezarfen Airfield</t>
  </si>
  <si>
    <t xml:space="preserve">LTBW</t>
  </si>
  <si>
    <t xml:space="preserve">Ukraine  (23 Flugplätze)</t>
  </si>
  <si>
    <t xml:space="preserve">Boryspil International Airport</t>
  </si>
  <si>
    <t xml:space="preserve">UKBB</t>
  </si>
  <si>
    <t xml:space="preserve">Simferopol International Airport</t>
  </si>
  <si>
    <t xml:space="preserve">UKFF</t>
  </si>
  <si>
    <t xml:space="preserve">Hostomel Airport</t>
  </si>
  <si>
    <t xml:space="preserve">UKKM</t>
  </si>
  <si>
    <t xml:space="preserve">Lviv International Airport</t>
  </si>
  <si>
    <t xml:space="preserve">UKLL</t>
  </si>
  <si>
    <t xml:space="preserve">Dnipro International Airport</t>
  </si>
  <si>
    <t xml:space="preserve">UKDD</t>
  </si>
  <si>
    <t xml:space="preserve">Odesa International Airport</t>
  </si>
  <si>
    <t xml:space="preserve">UKOO</t>
  </si>
  <si>
    <t xml:space="preserve">Rivne International Airport</t>
  </si>
  <si>
    <t xml:space="preserve">UKLR</t>
  </si>
  <si>
    <t xml:space="preserve">Mariupol International Airport</t>
  </si>
  <si>
    <t xml:space="preserve">UKCM</t>
  </si>
  <si>
    <t xml:space="preserve">Ivano-Frankivsk International Airport</t>
  </si>
  <si>
    <t xml:space="preserve">UKLI</t>
  </si>
  <si>
    <t xml:space="preserve">Zaporizhzhia International Airport</t>
  </si>
  <si>
    <t xml:space="preserve">UKDE</t>
  </si>
  <si>
    <t xml:space="preserve">Jagellon Airfield</t>
  </si>
  <si>
    <t xml:space="preserve">UK61</t>
  </si>
  <si>
    <t xml:space="preserve">Berdyansk Airport</t>
  </si>
  <si>
    <t xml:space="preserve">UKDB</t>
  </si>
  <si>
    <t xml:space="preserve">Kryvyi Rih International Airport</t>
  </si>
  <si>
    <t xml:space="preserve">UKDR</t>
  </si>
  <si>
    <t xml:space="preserve">Kherson International Airport</t>
  </si>
  <si>
    <t xml:space="preserve">UKOH</t>
  </si>
  <si>
    <t xml:space="preserve">Cherkasy International Airport</t>
  </si>
  <si>
    <t xml:space="preserve">UKKE</t>
  </si>
  <si>
    <t xml:space="preserve">Vinnytsia/Gavyryshivka International Airport</t>
  </si>
  <si>
    <t xml:space="preserve">UKWW</t>
  </si>
  <si>
    <t xml:space="preserve">Kharkiv International Airport</t>
  </si>
  <si>
    <t xml:space="preserve">UKHH</t>
  </si>
  <si>
    <t xml:space="preserve">Chernivtsi International Airport</t>
  </si>
  <si>
    <t xml:space="preserve">UKLN</t>
  </si>
  <si>
    <t xml:space="preserve">Khmelnytskyi Airport</t>
  </si>
  <si>
    <t xml:space="preserve">UKLH</t>
  </si>
  <si>
    <t xml:space="preserve">Uzhhorod International Airport</t>
  </si>
  <si>
    <t xml:space="preserve">UKLU</t>
  </si>
  <si>
    <t xml:space="preserve">Ternopil International Airport</t>
  </si>
  <si>
    <t xml:space="preserve">UKLT</t>
  </si>
  <si>
    <t xml:space="preserve">Lutsk Airport</t>
  </si>
  <si>
    <t xml:space="preserve">UKLC</t>
  </si>
  <si>
    <t xml:space="preserve">Kerch Airport</t>
  </si>
  <si>
    <t xml:space="preserve">UKFK</t>
  </si>
  <si>
    <t xml:space="preserve">Ungarn  (15 Flugplätze)</t>
  </si>
  <si>
    <t xml:space="preserve">Budapest Liszt Ferenc International Airport</t>
  </si>
  <si>
    <t xml:space="preserve">LHBP</t>
  </si>
  <si>
    <t xml:space="preserve">Hévíz–Balaton Airport</t>
  </si>
  <si>
    <t xml:space="preserve">LHSM</t>
  </si>
  <si>
    <t xml:space="preserve">Debrecen International Airport</t>
  </si>
  <si>
    <t xml:space="preserve">LHDC</t>
  </si>
  <si>
    <t xml:space="preserve">Győr-Pér Airport</t>
  </si>
  <si>
    <t xml:space="preserve">LHPR</t>
  </si>
  <si>
    <t xml:space="preserve">Szentkirályszabadja Airfield</t>
  </si>
  <si>
    <t xml:space="preserve">LHSA</t>
  </si>
  <si>
    <t xml:space="preserve">Tököl Airport</t>
  </si>
  <si>
    <t xml:space="preserve">LHTL</t>
  </si>
  <si>
    <t xml:space="preserve">Pécs-Pogány International Airport</t>
  </si>
  <si>
    <t xml:space="preserve">LHPP</t>
  </si>
  <si>
    <t xml:space="preserve">Békéscsaba Airfield</t>
  </si>
  <si>
    <t xml:space="preserve">LHBC</t>
  </si>
  <si>
    <t xml:space="preserve">Szeged Airport</t>
  </si>
  <si>
    <t xml:space="preserve">LHUD</t>
  </si>
  <si>
    <t xml:space="preserve">Nyíregyháza Airfield</t>
  </si>
  <si>
    <t xml:space="preserve">LHNY</t>
  </si>
  <si>
    <t xml:space="preserve">Fertőszentmiklós Airfield</t>
  </si>
  <si>
    <t xml:space="preserve">LHFM</t>
  </si>
  <si>
    <t xml:space="preserve">Kalocsa-Foktő Airfield</t>
  </si>
  <si>
    <t xml:space="preserve">HU-0002</t>
  </si>
  <si>
    <t xml:space="preserve">Kiskunlacháza Airfield</t>
  </si>
  <si>
    <t xml:space="preserve">LHKK</t>
  </si>
  <si>
    <t xml:space="preserve">Kaposvar Kaposújlak Airfield</t>
  </si>
  <si>
    <t xml:space="preserve">LHKV</t>
  </si>
  <si>
    <t xml:space="preserve">Jakabszállás Airfield</t>
  </si>
  <si>
    <t xml:space="preserve">LHJK</t>
  </si>
  <si>
    <t xml:space="preserve">Vereinigtes Königreich  (133 Flugplätze)</t>
  </si>
  <si>
    <t xml:space="preserve">London Heathrow Airport</t>
  </si>
  <si>
    <t xml:space="preserve">EGLL</t>
  </si>
  <si>
    <t xml:space="preserve">London Gatwick Airport</t>
  </si>
  <si>
    <t xml:space="preserve">EGKK</t>
  </si>
  <si>
    <t xml:space="preserve">MoD Boscombe Down</t>
  </si>
  <si>
    <t xml:space="preserve">EGDM</t>
  </si>
  <si>
    <t xml:space="preserve">Birmingham Airport</t>
  </si>
  <si>
    <t xml:space="preserve">EGBB</t>
  </si>
  <si>
    <t xml:space="preserve">Manchester Airport</t>
  </si>
  <si>
    <t xml:space="preserve">EGCC</t>
  </si>
  <si>
    <t xml:space="preserve">London Stansted Airport</t>
  </si>
  <si>
    <t xml:space="preserve">EGSS</t>
  </si>
  <si>
    <t xml:space="preserve">Bruntingthorpe Aerodrome</t>
  </si>
  <si>
    <t xml:space="preserve">EG74</t>
  </si>
  <si>
    <t xml:space="preserve">Glasgow Prestwick Airport</t>
  </si>
  <si>
    <t xml:space="preserve">EGPK</t>
  </si>
  <si>
    <t xml:space="preserve">East Midlands Airport</t>
  </si>
  <si>
    <t xml:space="preserve">EGNX</t>
  </si>
  <si>
    <t xml:space="preserve">Belfast International Airport</t>
  </si>
  <si>
    <t xml:space="preserve">EGAA</t>
  </si>
  <si>
    <t xml:space="preserve">Cornwall Airport Newquay</t>
  </si>
  <si>
    <t xml:space="preserve">EGHQ</t>
  </si>
  <si>
    <t xml:space="preserve">Glasgow Airport</t>
  </si>
  <si>
    <t xml:space="preserve">EGPF</t>
  </si>
  <si>
    <t xml:space="preserve">Leuchars Station Airfield</t>
  </si>
  <si>
    <t xml:space="preserve">EGQL</t>
  </si>
  <si>
    <t xml:space="preserve">Edinburgh Airport</t>
  </si>
  <si>
    <t xml:space="preserve">EGPH</t>
  </si>
  <si>
    <t xml:space="preserve">Farnborough Airport</t>
  </si>
  <si>
    <t xml:space="preserve">EGLF</t>
  </si>
  <si>
    <t xml:space="preserve">Wattisham Airfield</t>
  </si>
  <si>
    <t xml:space="preserve">EGUW</t>
  </si>
  <si>
    <t xml:space="preserve">Warton Aerodrome</t>
  </si>
  <si>
    <t xml:space="preserve">EGNO</t>
  </si>
  <si>
    <t xml:space="preserve">Cardiff International Airport</t>
  </si>
  <si>
    <t xml:space="preserve">EGFF</t>
  </si>
  <si>
    <t xml:space="preserve">Newcastle International Airport</t>
  </si>
  <si>
    <t xml:space="preserve">EGNT</t>
  </si>
  <si>
    <t xml:space="preserve">RNAS Yeovilton</t>
  </si>
  <si>
    <t xml:space="preserve">EGDY</t>
  </si>
  <si>
    <t xml:space="preserve">Teesside International Airport</t>
  </si>
  <si>
    <t xml:space="preserve">EGNV</t>
  </si>
  <si>
    <t xml:space="preserve">Anglesey Airport</t>
  </si>
  <si>
    <t xml:space="preserve">EGOV</t>
  </si>
  <si>
    <t xml:space="preserve">Llanbedr Airfield</t>
  </si>
  <si>
    <t xml:space="preserve">EGFD</t>
  </si>
  <si>
    <t xml:space="preserve">Liverpool John Lennon Airport</t>
  </si>
  <si>
    <t xml:space="preserve">EGGP</t>
  </si>
  <si>
    <t xml:space="preserve">Bournemouth Airport</t>
  </si>
  <si>
    <t xml:space="preserve">EGHH</t>
  </si>
  <si>
    <t xml:space="preserve">Leeds Bradford Airport</t>
  </si>
  <si>
    <t xml:space="preserve">EGNM</t>
  </si>
  <si>
    <t xml:space="preserve">Humberside Airport</t>
  </si>
  <si>
    <t xml:space="preserve">EGNJ</t>
  </si>
  <si>
    <t xml:space="preserve">Stornoway Airport</t>
  </si>
  <si>
    <t xml:space="preserve">EGPO</t>
  </si>
  <si>
    <t xml:space="preserve">London Luton Airport</t>
  </si>
  <si>
    <t xml:space="preserve">EGGW</t>
  </si>
  <si>
    <t xml:space="preserve">Hawarden Airport</t>
  </si>
  <si>
    <t xml:space="preserve">EGNR</t>
  </si>
  <si>
    <t xml:space="preserve">Exeter International Airport</t>
  </si>
  <si>
    <t xml:space="preserve">EGTE</t>
  </si>
  <si>
    <t xml:space="preserve">Bristol Airport</t>
  </si>
  <si>
    <t xml:space="preserve">EGGD</t>
  </si>
  <si>
    <t xml:space="preserve">Cotswold Airport</t>
  </si>
  <si>
    <t xml:space="preserve">EGBP</t>
  </si>
  <si>
    <t xml:space="preserve">City of Derry Airport</t>
  </si>
  <si>
    <t xml:space="preserve">EGAE</t>
  </si>
  <si>
    <t xml:space="preserve">Cambridge City Airport</t>
  </si>
  <si>
    <t xml:space="preserve">EGSC</t>
  </si>
  <si>
    <t xml:space="preserve">Aberdeen International Airport</t>
  </si>
  <si>
    <t xml:space="preserve">EGPD</t>
  </si>
  <si>
    <t xml:space="preserve">North Weald Airfield</t>
  </si>
  <si>
    <t xml:space="preserve">EGSX</t>
  </si>
  <si>
    <t xml:space="preserve">Inverness Airport</t>
  </si>
  <si>
    <t xml:space="preserve">EGPE</t>
  </si>
  <si>
    <t xml:space="preserve">Southampton Airport</t>
  </si>
  <si>
    <t xml:space="preserve">EGHI</t>
  </si>
  <si>
    <t xml:space="preserve">Dunsfold Aerodrome</t>
  </si>
  <si>
    <t xml:space="preserve">EGTD</t>
  </si>
  <si>
    <t xml:space="preserve">Leeds East Airport</t>
  </si>
  <si>
    <t xml:space="preserve">EGXG</t>
  </si>
  <si>
    <t xml:space="preserve">Blackpool Airport</t>
  </si>
  <si>
    <t xml:space="preserve">EGNH</t>
  </si>
  <si>
    <t xml:space="preserve">London Southend Airport</t>
  </si>
  <si>
    <t xml:space="preserve">EGMC</t>
  </si>
  <si>
    <t xml:space="preserve">Norwich Airport</t>
  </si>
  <si>
    <t xml:space="preserve">EGSH</t>
  </si>
  <si>
    <t xml:space="preserve">Benbecula Airport</t>
  </si>
  <si>
    <t xml:space="preserve">EGPL</t>
  </si>
  <si>
    <t xml:space="preserve">Royal Marines Base Chivenor</t>
  </si>
  <si>
    <t xml:space="preserve">EGDC</t>
  </si>
  <si>
    <t xml:space="preserve">RNAS Culdrose</t>
  </si>
  <si>
    <t xml:space="preserve">EGDR</t>
  </si>
  <si>
    <t xml:space="preserve">Wick John O'Groats Airport</t>
  </si>
  <si>
    <t xml:space="preserve">EGPC</t>
  </si>
  <si>
    <t xml:space="preserve">George Best Belfast City Airport</t>
  </si>
  <si>
    <t xml:space="preserve">EGAC</t>
  </si>
  <si>
    <t xml:space="preserve">Carlisle Lake District Airport</t>
  </si>
  <si>
    <t xml:space="preserve">EGNC</t>
  </si>
  <si>
    <t xml:space="preserve">MOD St Athan</t>
  </si>
  <si>
    <t xml:space="preserve">EGDX</t>
  </si>
  <si>
    <t xml:space="preserve">Predannack Airfield</t>
  </si>
  <si>
    <t xml:space="preserve">EGDO</t>
  </si>
  <si>
    <t xml:space="preserve">London Biggin Hill Airport</t>
  </si>
  <si>
    <t xml:space="preserve">EGKB</t>
  </si>
  <si>
    <t xml:space="preserve">Chalgrove Airfield</t>
  </si>
  <si>
    <t xml:space="preserve">EGLJ</t>
  </si>
  <si>
    <t xml:space="preserve">Cranfield Airport</t>
  </si>
  <si>
    <t xml:space="preserve">EGTC</t>
  </si>
  <si>
    <t xml:space="preserve">Lasham Airfield</t>
  </si>
  <si>
    <t xml:space="preserve">EGHL</t>
  </si>
  <si>
    <t xml:space="preserve">Lerwick / Tingwall Airport</t>
  </si>
  <si>
    <t xml:space="preserve">EGET</t>
  </si>
  <si>
    <t xml:space="preserve">Tibenham Airfield</t>
  </si>
  <si>
    <t xml:space="preserve">GB-0420</t>
  </si>
  <si>
    <t xml:space="preserve">Islay Airport</t>
  </si>
  <si>
    <t xml:space="preserve">EGPI</t>
  </si>
  <si>
    <t xml:space="preserve">London Oxford Airport</t>
  </si>
  <si>
    <t xml:space="preserve">EGTK</t>
  </si>
  <si>
    <t xml:space="preserve">Haverfordwest Airport</t>
  </si>
  <si>
    <t xml:space="preserve">EGFE</t>
  </si>
  <si>
    <t xml:space="preserve">London City Airport</t>
  </si>
  <si>
    <t xml:space="preserve">EGLC</t>
  </si>
  <si>
    <t xml:space="preserve">Lydd London Ashford Airport</t>
  </si>
  <si>
    <t xml:space="preserve">EGMD</t>
  </si>
  <si>
    <t xml:space="preserve">Sumburgh Airport</t>
  </si>
  <si>
    <t xml:space="preserve">EGPB</t>
  </si>
  <si>
    <t xml:space="preserve">Duxford Aerodrome</t>
  </si>
  <si>
    <t xml:space="preserve">EGSU</t>
  </si>
  <si>
    <t xml:space="preserve">Gloucestershire Airport</t>
  </si>
  <si>
    <t xml:space="preserve">EGBJ</t>
  </si>
  <si>
    <t xml:space="preserve">Kirkwall Airport</t>
  </si>
  <si>
    <t xml:space="preserve">EGPA</t>
  </si>
  <si>
    <t xml:space="preserve">Campbeltown Airport</t>
  </si>
  <si>
    <t xml:space="preserve">EGEC</t>
  </si>
  <si>
    <t xml:space="preserve">Tiree Airport</t>
  </si>
  <si>
    <t xml:space="preserve">EGPU</t>
  </si>
  <si>
    <t xml:space="preserve">Dundee Airport</t>
  </si>
  <si>
    <t xml:space="preserve">EGPN</t>
  </si>
  <si>
    <t xml:space="preserve">Swansea Airport</t>
  </si>
  <si>
    <t xml:space="preserve">EGFH</t>
  </si>
  <si>
    <t xml:space="preserve">Blackbushe Airport</t>
  </si>
  <si>
    <t xml:space="preserve">EGLK</t>
  </si>
  <si>
    <t xml:space="preserve">Sywell Aerodrome</t>
  </si>
  <si>
    <t xml:space="preserve">EGBK</t>
  </si>
  <si>
    <t xml:space="preserve">Oban Airport</t>
  </si>
  <si>
    <t xml:space="preserve">EGEO</t>
  </si>
  <si>
    <t xml:space="preserve">Rufforth West Airfield</t>
  </si>
  <si>
    <t xml:space="preserve">GB-1209</t>
  </si>
  <si>
    <t xml:space="preserve">Turweston Aerodrome</t>
  </si>
  <si>
    <t xml:space="preserve">EGBT</t>
  </si>
  <si>
    <t xml:space="preserve">Enniskillen/St Angelo Airport</t>
  </si>
  <si>
    <t xml:space="preserve">EGAB</t>
  </si>
  <si>
    <t xml:space="preserve">Retford Gamston Airport</t>
  </si>
  <si>
    <t xml:space="preserve">EGNE</t>
  </si>
  <si>
    <t xml:space="preserve">Tatenhill Airfield</t>
  </si>
  <si>
    <t xml:space="preserve">EGBM</t>
  </si>
  <si>
    <t xml:space="preserve">Wolverhampton Halfpenny Green Airport</t>
  </si>
  <si>
    <t xml:space="preserve">EGBO</t>
  </si>
  <si>
    <t xml:space="preserve">Wombleton Airfield</t>
  </si>
  <si>
    <t xml:space="preserve">GB-0179</t>
  </si>
  <si>
    <t xml:space="preserve">Enstone Aerodrome</t>
  </si>
  <si>
    <t xml:space="preserve">GB-0007</t>
  </si>
  <si>
    <t xml:space="preserve">Bedford Aerodrome</t>
  </si>
  <si>
    <t xml:space="preserve">EGBF</t>
  </si>
  <si>
    <t xml:space="preserve">Caernarfon Airport</t>
  </si>
  <si>
    <t xml:space="preserve">EGCK</t>
  </si>
  <si>
    <t xml:space="preserve">Nottingham City Airport</t>
  </si>
  <si>
    <t xml:space="preserve">EGBN</t>
  </si>
  <si>
    <t xml:space="preserve">Barrow Walney Island Airport</t>
  </si>
  <si>
    <t xml:space="preserve">EGNL</t>
  </si>
  <si>
    <t xml:space="preserve">Brighton City Airport</t>
  </si>
  <si>
    <t xml:space="preserve">EGKA</t>
  </si>
  <si>
    <t xml:space="preserve">Solent Airport</t>
  </si>
  <si>
    <t xml:space="preserve">EGHF</t>
  </si>
  <si>
    <t xml:space="preserve">Newtownards Airport</t>
  </si>
  <si>
    <t xml:space="preserve">EGAD</t>
  </si>
  <si>
    <t xml:space="preserve">Welshpool Airport</t>
  </si>
  <si>
    <t xml:space="preserve">EGCW</t>
  </si>
  <si>
    <t xml:space="preserve">Peterborough Business Airport</t>
  </si>
  <si>
    <t xml:space="preserve">EGSF</t>
  </si>
  <si>
    <t xml:space="preserve">Tern Hill Airfield</t>
  </si>
  <si>
    <t xml:space="preserve">EGOE</t>
  </si>
  <si>
    <t xml:space="preserve">Thruxton Aerodrome</t>
  </si>
  <si>
    <t xml:space="preserve">EGHO</t>
  </si>
  <si>
    <t xml:space="preserve">Dunkeswell Airfield</t>
  </si>
  <si>
    <t xml:space="preserve">EGTU</t>
  </si>
  <si>
    <t xml:space="preserve">Leicester Airport</t>
  </si>
  <si>
    <t xml:space="preserve">EGBG</t>
  </si>
  <si>
    <t xml:space="preserve">Perranporth Airfield</t>
  </si>
  <si>
    <t xml:space="preserve">EGTP</t>
  </si>
  <si>
    <t xml:space="preserve">Aberporth Airport</t>
  </si>
  <si>
    <t xml:space="preserve">EGFA</t>
  </si>
  <si>
    <t xml:space="preserve">Wellesbourne Mountford Airfield</t>
  </si>
  <si>
    <t xml:space="preserve">EGBW</t>
  </si>
  <si>
    <t xml:space="preserve">Langar Airfield</t>
  </si>
  <si>
    <t xml:space="preserve">GB-0030</t>
  </si>
  <si>
    <t xml:space="preserve">Great Massingham Airfield</t>
  </si>
  <si>
    <t xml:space="preserve">GB-0078</t>
  </si>
  <si>
    <t xml:space="preserve">Perth/Scone Airport</t>
  </si>
  <si>
    <t xml:space="preserve">EGPT</t>
  </si>
  <si>
    <t xml:space="preserve">Shobdon Airfield</t>
  </si>
  <si>
    <t xml:space="preserve">EGBS</t>
  </si>
  <si>
    <t xml:space="preserve">Bembridge Airport</t>
  </si>
  <si>
    <t xml:space="preserve">EGHJ</t>
  </si>
  <si>
    <t xml:space="preserve">Strubby Airfield</t>
  </si>
  <si>
    <t xml:space="preserve">EGCG</t>
  </si>
  <si>
    <t xml:space="preserve">Sturgate Airfield</t>
  </si>
  <si>
    <t xml:space="preserve">EGCS</t>
  </si>
  <si>
    <t xml:space="preserve">Cumbernauld Airport</t>
  </si>
  <si>
    <t xml:space="preserve">EGPG</t>
  </si>
  <si>
    <t xml:space="preserve">Fairoaks Airport</t>
  </si>
  <si>
    <t xml:space="preserve">EGTF</t>
  </si>
  <si>
    <t xml:space="preserve">Sleap Airfield</t>
  </si>
  <si>
    <t xml:space="preserve">EGCV</t>
  </si>
  <si>
    <t xml:space="preserve">Old Buckenham Airfield</t>
  </si>
  <si>
    <t xml:space="preserve">EGSV</t>
  </si>
  <si>
    <t xml:space="preserve">Pembrey West Wales Airport</t>
  </si>
  <si>
    <t xml:space="preserve">EGFP</t>
  </si>
  <si>
    <t xml:space="preserve">Land's End Airport</t>
  </si>
  <si>
    <t xml:space="preserve">EGHC</t>
  </si>
  <si>
    <t xml:space="preserve">Earls Colne Airfield</t>
  </si>
  <si>
    <t xml:space="preserve">EGSR</t>
  </si>
  <si>
    <t xml:space="preserve">Denham Aerodrome</t>
  </si>
  <si>
    <t xml:space="preserve">EGLD</t>
  </si>
  <si>
    <t xml:space="preserve">Broadford Airstrip</t>
  </si>
  <si>
    <t xml:space="preserve">EGEI</t>
  </si>
  <si>
    <t xml:space="preserve">Wycombe Air Park</t>
  </si>
  <si>
    <t xml:space="preserve">EGTB</t>
  </si>
  <si>
    <t xml:space="preserve">Henstridge Airfield</t>
  </si>
  <si>
    <t xml:space="preserve">EGHS</t>
  </si>
  <si>
    <t xml:space="preserve">Fife Airport</t>
  </si>
  <si>
    <t xml:space="preserve">EGPJ</t>
  </si>
  <si>
    <t xml:space="preserve">Hinton-in-the-Hedges Airfield</t>
  </si>
  <si>
    <t xml:space="preserve">GB-0073</t>
  </si>
  <si>
    <t xml:space="preserve">St. Mary's Airport</t>
  </si>
  <si>
    <t xml:space="preserve">EGHE</t>
  </si>
  <si>
    <t xml:space="preserve">Elstree Airfield</t>
  </si>
  <si>
    <t xml:space="preserve">EGTR</t>
  </si>
  <si>
    <t xml:space="preserve">Rufforth East Airfield</t>
  </si>
  <si>
    <t xml:space="preserve">GB-0248</t>
  </si>
  <si>
    <t xml:space="preserve">Ledbury Airfield</t>
  </si>
  <si>
    <t xml:space="preserve">EG34</t>
  </si>
  <si>
    <t xml:space="preserve">Eshott Airfield</t>
  </si>
  <si>
    <t xml:space="preserve">GB-0038</t>
  </si>
  <si>
    <t xml:space="preserve">Bognor Regis Lec Airfield</t>
  </si>
  <si>
    <t xml:space="preserve">GB-1280</t>
  </si>
  <si>
    <t xml:space="preserve">Charterhall Airfield</t>
  </si>
  <si>
    <t xml:space="preserve">GB-0287</t>
  </si>
  <si>
    <t xml:space="preserve">Plockton Airstrip</t>
  </si>
  <si>
    <t xml:space="preserve">GB-1273</t>
  </si>
  <si>
    <t xml:space="preserve">Wickenby Aerodrome</t>
  </si>
  <si>
    <t xml:space="preserve">EGNW</t>
  </si>
  <si>
    <t xml:space="preserve">Eday Airport</t>
  </si>
  <si>
    <t xml:space="preserve">EGED</t>
  </si>
  <si>
    <t xml:space="preserve">North Ronaldsay Airport</t>
  </si>
  <si>
    <t xml:space="preserve">EGEN</t>
  </si>
  <si>
    <t xml:space="preserve">Papa Westray Airport</t>
  </si>
  <si>
    <t xml:space="preserve">EGEP</t>
  </si>
  <si>
    <t xml:space="preserve">Westray Airport</t>
  </si>
  <si>
    <t xml:space="preserve">EGEW</t>
  </si>
  <si>
    <t xml:space="preserve">Stronsay Airport</t>
  </si>
  <si>
    <t xml:space="preserve">EGER</t>
  </si>
  <si>
    <t xml:space="preserve">Colonsay Airstrip</t>
  </si>
  <si>
    <t xml:space="preserve">EGEY</t>
  </si>
  <si>
    <t xml:space="preserve">Zypern  (4 Flugplätze)</t>
  </si>
  <si>
    <t xml:space="preserve">Larnaca International Airport</t>
  </si>
  <si>
    <t xml:space="preserve">LCLK</t>
  </si>
  <si>
    <t xml:space="preserve">Ercan International Airport</t>
  </si>
  <si>
    <t xml:space="preserve">LCEN</t>
  </si>
  <si>
    <t xml:space="preserve">Paphos International Airport</t>
  </si>
  <si>
    <t xml:space="preserve">LCPH</t>
  </si>
  <si>
    <t xml:space="preserve">Mammari Aerial Firefighting Base</t>
  </si>
  <si>
    <t xml:space="preserve">CY-0066</t>
  </si>
  <si>
    <t xml:space="preserve">Österreich  (23 Flugplätze)</t>
  </si>
  <si>
    <t xml:space="preserve">Vienna International Airport</t>
  </si>
  <si>
    <t xml:space="preserve">LOWW</t>
  </si>
  <si>
    <t xml:space="preserve">Graz Airport</t>
  </si>
  <si>
    <t xml:space="preserve">LOWG</t>
  </si>
  <si>
    <t xml:space="preserve">Linz-Hörsching Airport</t>
  </si>
  <si>
    <t xml:space="preserve">LOWL</t>
  </si>
  <si>
    <t xml:space="preserve">Salzburg Airport</t>
  </si>
  <si>
    <t xml:space="preserve">LOWS</t>
  </si>
  <si>
    <t xml:space="preserve">Klagenfurt Airport</t>
  </si>
  <si>
    <t xml:space="preserve">LOWK</t>
  </si>
  <si>
    <t xml:space="preserve">Innsbruck Airport</t>
  </si>
  <si>
    <t xml:space="preserve">LOWI</t>
  </si>
  <si>
    <t xml:space="preserve">Wels Airfield</t>
  </si>
  <si>
    <t xml:space="preserve">LOLW</t>
  </si>
  <si>
    <t xml:space="preserve">Wiener Neustadt East Airport</t>
  </si>
  <si>
    <t xml:space="preserve">LOAN</t>
  </si>
  <si>
    <t xml:space="preserve">Vöslau-Kottingbrunn Airfield</t>
  </si>
  <si>
    <t xml:space="preserve">LOAV</t>
  </si>
  <si>
    <t xml:space="preserve">Krems/Langenlois Airfield</t>
  </si>
  <si>
    <t xml:space="preserve">LOAG</t>
  </si>
  <si>
    <t xml:space="preserve">Dobersberg Airfield</t>
  </si>
  <si>
    <t xml:space="preserve">LOAB</t>
  </si>
  <si>
    <t xml:space="preserve">Stockerau Airfield</t>
  </si>
  <si>
    <t xml:space="preserve">LOAU</t>
  </si>
  <si>
    <t xml:space="preserve">Punitz-Güssing Airfield</t>
  </si>
  <si>
    <t xml:space="preserve">LOGG</t>
  </si>
  <si>
    <t xml:space="preserve">Schärding-Suben Airfield</t>
  </si>
  <si>
    <t xml:space="preserve">LOLS</t>
  </si>
  <si>
    <t xml:space="preserve">Trieben Airfield</t>
  </si>
  <si>
    <t xml:space="preserve">LOGI</t>
  </si>
  <si>
    <t xml:space="preserve">Zell am See Airfield</t>
  </si>
  <si>
    <t xml:space="preserve">LOWZ</t>
  </si>
  <si>
    <t xml:space="preserve">Sankt Johann Airfield</t>
  </si>
  <si>
    <t xml:space="preserve">LOIJ</t>
  </si>
  <si>
    <t xml:space="preserve">Ried-Kirchheim Airfield</t>
  </si>
  <si>
    <t xml:space="preserve">LOLK</t>
  </si>
  <si>
    <t xml:space="preserve">Niederöblarn Airfield</t>
  </si>
  <si>
    <t xml:space="preserve">LOGO</t>
  </si>
  <si>
    <t xml:space="preserve">Fürstenfeld Airfield</t>
  </si>
  <si>
    <t xml:space="preserve">LOGF</t>
  </si>
  <si>
    <t xml:space="preserve">Reutte-Höfen Airfield</t>
  </si>
  <si>
    <t xml:space="preserve">LOIR</t>
  </si>
  <si>
    <t xml:space="preserve">Hohenems-Dornbirn Airfield</t>
  </si>
  <si>
    <t xml:space="preserve">LOIH</t>
  </si>
  <si>
    <t xml:space="preserve">Gmunden-Laakirchen Airfield</t>
  </si>
  <si>
    <t xml:space="preserve">LOLU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</si>
</sst>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2F5597"/>
        <bgColor rgb="FF666699"/>
      </patternFill>
    </fill>
    <fill>
      <patternFill patternType="solid">
        <fgColor rgb="FFFFF2CC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5" min="4" style="0" width="14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10" min="9" style="0" width="10"/>
    <col collapsed="false" customWidth="true" hidden="false" outlineLevel="0" max="12" min="11" style="0" width="16"/>
    <col collapsed="false" customWidth="true" hidden="false" outlineLevel="0" max="13" min="13" style="0" width="18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n">
        <v>2727</v>
      </c>
      <c r="C5" s="4" t="s">
        <v>4</v>
      </c>
    </row>
    <row r="6" customFormat="false" ht="15" hidden="false" customHeight="false" outlineLevel="0" collapsed="false">
      <c r="A6" s="4" t="s">
        <v>5</v>
      </c>
      <c r="B6" s="5" t="n">
        <v>1610</v>
      </c>
      <c r="C6" s="4" t="s">
        <v>4</v>
      </c>
    </row>
    <row r="7" customFormat="false" ht="15" hidden="false" customHeight="false" outlineLevel="0" collapsed="false">
      <c r="A7" s="4" t="s">
        <v>6</v>
      </c>
      <c r="B7" s="5" t="n">
        <v>2223</v>
      </c>
      <c r="C7" s="4" t="s">
        <v>4</v>
      </c>
    </row>
    <row r="8" customFormat="false" ht="15" hidden="false" customHeight="false" outlineLevel="0" collapsed="false">
      <c r="A8" s="4" t="s">
        <v>7</v>
      </c>
      <c r="B8" s="5" t="n">
        <v>907</v>
      </c>
      <c r="C8" s="4" t="s">
        <v>4</v>
      </c>
    </row>
    <row r="9" customFormat="false" ht="15" hidden="false" customHeight="false" outlineLevel="0" collapsed="false">
      <c r="A9" s="4" t="s">
        <v>8</v>
      </c>
      <c r="B9" s="5" t="n">
        <v>296</v>
      </c>
      <c r="C9" s="4" t="s">
        <v>9</v>
      </c>
    </row>
    <row r="10" customFormat="false" ht="15" hidden="false" customHeight="false" outlineLevel="0" collapsed="false">
      <c r="A10" s="4" t="s">
        <v>10</v>
      </c>
      <c r="B10" s="5" t="n">
        <v>858</v>
      </c>
      <c r="C10" s="4" t="s">
        <v>11</v>
      </c>
    </row>
    <row r="11" customFormat="false" ht="15" hidden="false" customHeight="false" outlineLevel="0" collapsed="false">
      <c r="A11" s="4" t="s">
        <v>12</v>
      </c>
      <c r="B11" s="5" t="n">
        <v>582</v>
      </c>
      <c r="C11" s="4" t="s">
        <v>11</v>
      </c>
    </row>
    <row r="12" customFormat="false" ht="15" hidden="false" customHeight="false" outlineLevel="0" collapsed="false">
      <c r="A12" s="4" t="s">
        <v>13</v>
      </c>
      <c r="B12" s="5" t="n">
        <v>494</v>
      </c>
      <c r="C12" s="4" t="s">
        <v>11</v>
      </c>
    </row>
    <row r="13" customFormat="false" ht="15" hidden="false" customHeight="false" outlineLevel="0" collapsed="false">
      <c r="A13" s="4" t="s">
        <v>14</v>
      </c>
      <c r="B13" s="5" t="n">
        <v>317</v>
      </c>
      <c r="C13" s="4" t="s">
        <v>15</v>
      </c>
    </row>
    <row r="14" customFormat="false" ht="15" hidden="false" customHeight="false" outlineLevel="0" collapsed="false">
      <c r="A14" s="4" t="s">
        <v>16</v>
      </c>
      <c r="B14" s="5" t="n">
        <v>1275</v>
      </c>
      <c r="C14" s="4" t="s">
        <v>17</v>
      </c>
    </row>
    <row r="16" customFormat="false" ht="15" hidden="false" customHeight="false" outlineLevel="0" collapsed="false">
      <c r="A16" s="3" t="s">
        <v>18</v>
      </c>
    </row>
    <row r="17" customFormat="false" ht="15" hidden="false" customHeight="false" outlineLevel="0" collapsed="false">
      <c r="A17" s="4" t="s">
        <v>19</v>
      </c>
      <c r="B17" s="5" t="n">
        <v>70</v>
      </c>
      <c r="C17" s="4" t="s">
        <v>4</v>
      </c>
    </row>
    <row r="18" customFormat="false" ht="15" hidden="false" customHeight="false" outlineLevel="0" collapsed="false">
      <c r="A18" s="4" t="s">
        <v>20</v>
      </c>
      <c r="B18" s="5" t="n">
        <v>20</v>
      </c>
      <c r="C18" s="4" t="s">
        <v>4</v>
      </c>
    </row>
    <row r="19" customFormat="false" ht="15" hidden="false" customHeight="false" outlineLevel="0" collapsed="false">
      <c r="A19" s="4" t="s">
        <v>21</v>
      </c>
      <c r="B19" s="5" t="n">
        <v>1.3</v>
      </c>
      <c r="C19" s="4" t="s">
        <v>22</v>
      </c>
    </row>
    <row r="20" customFormat="false" ht="15" hidden="false" customHeight="false" outlineLevel="0" collapsed="false">
      <c r="A20" s="4" t="s">
        <v>23</v>
      </c>
      <c r="B20" s="5" t="n">
        <v>0.09</v>
      </c>
      <c r="C20" s="4" t="s">
        <v>22</v>
      </c>
    </row>
    <row r="22" customFormat="false" ht="15" hidden="false" customHeight="false" outlineLevel="0" collapsed="false">
      <c r="A22" s="3" t="s">
        <v>24</v>
      </c>
    </row>
    <row r="23" customFormat="false" ht="15" hidden="false" customHeight="false" outlineLevel="0" collapsed="false">
      <c r="A23" s="4" t="s">
        <v>25</v>
      </c>
      <c r="B23" s="5" t="n">
        <v>10</v>
      </c>
      <c r="C23" s="4" t="s">
        <v>26</v>
      </c>
    </row>
    <row r="24" customFormat="false" ht="15" hidden="false" customHeight="false" outlineLevel="0" collapsed="false">
      <c r="A24" s="4" t="s">
        <v>27</v>
      </c>
      <c r="B24" s="5" t="n">
        <v>50</v>
      </c>
      <c r="C24" s="4" t="s">
        <v>26</v>
      </c>
    </row>
    <row r="25" customFormat="false" ht="15" hidden="false" customHeight="false" outlineLevel="0" collapsed="false">
      <c r="A25" s="4" t="s">
        <v>28</v>
      </c>
      <c r="B25" s="5" t="n">
        <v>90</v>
      </c>
      <c r="C25" s="4" t="s">
        <v>17</v>
      </c>
    </row>
    <row r="26" customFormat="false" ht="15" hidden="false" customHeight="false" outlineLevel="0" collapsed="false">
      <c r="A26" s="4" t="s">
        <v>29</v>
      </c>
      <c r="B26" s="5" t="n">
        <v>40</v>
      </c>
      <c r="C26" s="4" t="s">
        <v>26</v>
      </c>
    </row>
    <row r="27" customFormat="false" ht="15" hidden="false" customHeight="false" outlineLevel="0" collapsed="false">
      <c r="A27" s="4" t="s">
        <v>30</v>
      </c>
      <c r="B27" s="5" t="n">
        <v>55</v>
      </c>
      <c r="C27" s="4" t="s">
        <v>26</v>
      </c>
    </row>
    <row r="28" customFormat="false" ht="15" hidden="false" customHeight="false" outlineLevel="0" collapsed="false">
      <c r="A28" s="4" t="s">
        <v>31</v>
      </c>
      <c r="B28" s="5" t="n">
        <v>240</v>
      </c>
      <c r="C28" s="4" t="s">
        <v>15</v>
      </c>
    </row>
    <row r="29" customFormat="false" ht="15" hidden="false" customHeight="false" outlineLevel="0" collapsed="false">
      <c r="A29" s="4" t="s">
        <v>32</v>
      </c>
      <c r="B29" s="5" t="n">
        <v>40</v>
      </c>
      <c r="C29" s="4" t="s">
        <v>33</v>
      </c>
    </row>
    <row r="30" customFormat="false" ht="15" hidden="false" customHeight="false" outlineLevel="0" collapsed="false">
      <c r="A30" s="4" t="s">
        <v>34</v>
      </c>
      <c r="B30" s="5" t="n">
        <v>311</v>
      </c>
      <c r="C30" s="4" t="s">
        <v>15</v>
      </c>
    </row>
    <row r="31" customFormat="false" ht="15" hidden="false" customHeight="false" outlineLevel="0" collapsed="false">
      <c r="A31" s="4" t="s">
        <v>35</v>
      </c>
      <c r="B31" s="5" t="n">
        <v>65</v>
      </c>
      <c r="C31" s="4" t="s">
        <v>33</v>
      </c>
    </row>
    <row r="33" customFormat="false" ht="15" hidden="false" customHeight="false" outlineLevel="0" collapsed="false">
      <c r="A33" s="3" t="s">
        <v>36</v>
      </c>
    </row>
    <row r="34" customFormat="false" ht="31.5" hidden="false" customHeight="true" outlineLevel="0" collapsed="false">
      <c r="A34" s="6" t="s">
        <v>37</v>
      </c>
      <c r="B34" s="6" t="s">
        <v>38</v>
      </c>
      <c r="C34" s="6" t="s">
        <v>39</v>
      </c>
      <c r="D34" s="6" t="s">
        <v>40</v>
      </c>
      <c r="E34" s="6" t="s">
        <v>41</v>
      </c>
      <c r="F34" s="6" t="s">
        <v>42</v>
      </c>
      <c r="G34" s="6" t="s">
        <v>43</v>
      </c>
      <c r="H34" s="6" t="s">
        <v>44</v>
      </c>
      <c r="I34" s="6" t="s">
        <v>45</v>
      </c>
      <c r="J34" s="6" t="s">
        <v>46</v>
      </c>
      <c r="K34" s="6" t="s">
        <v>47</v>
      </c>
      <c r="L34" s="6" t="s">
        <v>48</v>
      </c>
      <c r="M34" s="6" t="s">
        <v>49</v>
      </c>
    </row>
    <row r="35" customFormat="false" ht="15" hidden="false" customHeight="false" outlineLevel="0" collapsed="false">
      <c r="A35" s="4" t="s">
        <v>50</v>
      </c>
      <c r="B35" s="4" t="n">
        <v>2</v>
      </c>
      <c r="C35" s="4" t="n">
        <f aca="false">B35*$B$18</f>
        <v>40</v>
      </c>
      <c r="D35" s="4" t="n">
        <f aca="false">ROUND(D38,0)</f>
        <v>577</v>
      </c>
      <c r="E35" s="4" t="n">
        <f aca="false">ROUND(D35*$B$9/$B$8,0)</f>
        <v>188</v>
      </c>
      <c r="F35" s="7" t="n">
        <f aca="false">D35/$B$8</f>
        <v>0.636163175303197</v>
      </c>
      <c r="G35" s="4" t="n">
        <f aca="false">H35+D35</f>
        <v>2367</v>
      </c>
      <c r="H35" s="4" t="n">
        <f aca="false">$B$6+B35*$B$17+C35</f>
        <v>1790</v>
      </c>
      <c r="I35" s="4" t="str">
        <f aca="false">IF(G35&lt;=$B$5,"ja","NEIN")</f>
        <v>ja</v>
      </c>
      <c r="J35" s="4" t="str">
        <f aca="false">IF(H35&lt;=$B$7,"ja","NEIN")</f>
        <v>ja</v>
      </c>
      <c r="K35" s="4" t="n">
        <f aca="false">ROUND($B$10*(G35/$B$5)^2*$B$19,0)</f>
        <v>840</v>
      </c>
      <c r="L35" s="8" t="n">
        <f aca="false">ROUND((MAX(0,E35-$B$23-$B$24-$B$26)/$B$29*$B$28+$B$25)*1.852,0)</f>
        <v>1145</v>
      </c>
      <c r="M35" s="8" t="n">
        <f aca="false">ROUND((MAX(0,E35-$B$23-$B$24-$B$27)/$B$31*$B$30+$B$25)*1.852,0)</f>
        <v>814</v>
      </c>
    </row>
    <row r="36" customFormat="false" ht="15" hidden="false" customHeight="false" outlineLevel="0" collapsed="false">
      <c r="A36" s="4" t="s">
        <v>51</v>
      </c>
      <c r="B36" s="4" t="n">
        <v>2</v>
      </c>
      <c r="C36" s="4" t="n">
        <f aca="false">B36*$B$18</f>
        <v>40</v>
      </c>
      <c r="D36" s="4" t="n">
        <f aca="false">ROUND(MIN($B$8,$B$5-H36),0)</f>
        <v>907</v>
      </c>
      <c r="E36" s="4" t="n">
        <f aca="false">ROUND(D36*$B$9/$B$8,0)</f>
        <v>296</v>
      </c>
      <c r="F36" s="7" t="n">
        <f aca="false">D36/$B$8</f>
        <v>1</v>
      </c>
      <c r="G36" s="4" t="n">
        <f aca="false">H36+D36</f>
        <v>2697</v>
      </c>
      <c r="H36" s="4" t="n">
        <f aca="false">$B$6+B36*$B$17+C36</f>
        <v>1790</v>
      </c>
      <c r="I36" s="4" t="str">
        <f aca="false">IF(G36&lt;=$B$5,"ja","NEIN")</f>
        <v>ja</v>
      </c>
      <c r="J36" s="4" t="str">
        <f aca="false">IF(H36&lt;=$B$7,"ja","NEIN")</f>
        <v>ja</v>
      </c>
      <c r="K36" s="4" t="n">
        <f aca="false">ROUND($B$10*(G36/$B$5)^2*$B$19,0)</f>
        <v>1091</v>
      </c>
      <c r="L36" s="8" t="n">
        <f aca="false">ROUND((MAX(0,E36-$B$23-$B$24-$B$26)/$B$29*$B$28+$B$25)*1.852,0)</f>
        <v>2345</v>
      </c>
      <c r="M36" s="8" t="n">
        <f aca="false">ROUND((MAX(0,E36-$B$23-$B$24-$B$27)/$B$31*$B$30+$B$25)*1.852,0)</f>
        <v>1771</v>
      </c>
    </row>
    <row r="37" customFormat="false" ht="15" hidden="false" customHeight="false" outlineLevel="0" collapsed="false">
      <c r="A37" s="4" t="s">
        <v>52</v>
      </c>
      <c r="B37" s="4" t="n">
        <v>4</v>
      </c>
      <c r="C37" s="4" t="n">
        <f aca="false">B37*$B$18</f>
        <v>80</v>
      </c>
      <c r="D37" s="4" t="n">
        <f aca="false">ROUND(MIN($B$8,$B$5-H37),0)</f>
        <v>757</v>
      </c>
      <c r="E37" s="4" t="n">
        <f aca="false">ROUND(D37*$B$9/$B$8,0)</f>
        <v>247</v>
      </c>
      <c r="F37" s="7" t="n">
        <f aca="false">D37/$B$8</f>
        <v>0.834619625137817</v>
      </c>
      <c r="G37" s="4" t="n">
        <f aca="false">H37+D37</f>
        <v>2727</v>
      </c>
      <c r="H37" s="4" t="n">
        <f aca="false">$B$6+B37*$B$17+C37</f>
        <v>1970</v>
      </c>
      <c r="I37" s="4" t="str">
        <f aca="false">IF(G37&lt;=$B$5,"ja","NEIN")</f>
        <v>ja</v>
      </c>
      <c r="J37" s="4" t="str">
        <f aca="false">IF(H37&lt;=$B$7,"ja","NEIN")</f>
        <v>ja</v>
      </c>
      <c r="K37" s="4" t="n">
        <f aca="false">ROUND($B$10*(G37/$B$5)^2*$B$19,0)</f>
        <v>1115</v>
      </c>
      <c r="L37" s="8" t="n">
        <f aca="false">ROUND((MAX(0,E37-$B$23-$B$24-$B$26)/$B$29*$B$28+$B$25)*1.852,0)</f>
        <v>1800</v>
      </c>
      <c r="M37" s="8" t="n">
        <f aca="false">ROUND((MAX(0,E37-$B$23-$B$24-$B$27)/$B$31*$B$30+$B$25)*1.852,0)</f>
        <v>1336</v>
      </c>
    </row>
    <row r="38" customFormat="false" ht="15" hidden="false" customHeight="false" outlineLevel="0" collapsed="false">
      <c r="A38" s="4" t="s">
        <v>53</v>
      </c>
      <c r="B38" s="4" t="n">
        <v>6</v>
      </c>
      <c r="C38" s="4" t="n">
        <f aca="false">B38*$B$18</f>
        <v>120</v>
      </c>
      <c r="D38" s="4" t="n">
        <f aca="false">ROUND(MIN($B$8,$B$5-H38),0)</f>
        <v>577</v>
      </c>
      <c r="E38" s="4" t="n">
        <f aca="false">ROUND(D38*$B$9/$B$8,0)</f>
        <v>188</v>
      </c>
      <c r="F38" s="7" t="n">
        <f aca="false">D38/$B$8</f>
        <v>0.636163175303197</v>
      </c>
      <c r="G38" s="4" t="n">
        <f aca="false">H38+D38</f>
        <v>2727</v>
      </c>
      <c r="H38" s="4" t="n">
        <f aca="false">$B$6+B38*$B$17+C38</f>
        <v>2150</v>
      </c>
      <c r="I38" s="4" t="str">
        <f aca="false">IF(G38&lt;=$B$5,"ja","NEIN")</f>
        <v>ja</v>
      </c>
      <c r="J38" s="4" t="str">
        <f aca="false">IF(H38&lt;=$B$7,"ja","NEIN")</f>
        <v>ja</v>
      </c>
      <c r="K38" s="4" t="n">
        <f aca="false">ROUND($B$10*(G38/$B$5)^2*$B$19,0)</f>
        <v>1115</v>
      </c>
      <c r="L38" s="8" t="n">
        <f aca="false">ROUND((MAX(0,E38-$B$23-$B$24-$B$26)/$B$29*$B$28+$B$25)*1.852,0)</f>
        <v>1145</v>
      </c>
      <c r="M38" s="8" t="n">
        <f aca="false">ROUND((MAX(0,E38-$B$23-$B$24-$B$27)/$B$31*$B$30+$B$25)*1.852,0)</f>
        <v>814</v>
      </c>
    </row>
    <row r="40" customFormat="false" ht="15" hidden="false" customHeight="false" outlineLevel="0" collapsed="false">
      <c r="A40" s="9" t="s">
        <v>54</v>
      </c>
    </row>
    <row r="41" customFormat="false" ht="15" hidden="false" customHeight="false" outlineLevel="0" collapsed="false">
      <c r="A41" s="2" t="s">
        <v>55</v>
      </c>
    </row>
    <row r="42" customFormat="false" ht="15" hidden="false" customHeight="false" outlineLevel="0" collapsed="false">
      <c r="A42" s="2" t="s">
        <v>56</v>
      </c>
    </row>
    <row r="43" customFormat="false" ht="15" hidden="false" customHeight="false" outlineLevel="0" collapsed="false">
      <c r="A43" s="2" t="s">
        <v>57</v>
      </c>
    </row>
    <row r="44" customFormat="false" ht="15" hidden="false" customHeight="false" outlineLevel="0" collapsed="false">
      <c r="A44" s="2" t="s">
        <v>58</v>
      </c>
    </row>
    <row r="45" customFormat="false" ht="15" hidden="false" customHeight="false" outlineLevel="0" collapsed="false">
      <c r="A45" s="2" t="s">
        <v>59</v>
      </c>
    </row>
    <row r="46" customFormat="false" ht="15" hidden="false" customHeight="false" outlineLevel="0" collapsed="false">
      <c r="A46" s="2" t="s">
        <v>60</v>
      </c>
    </row>
    <row r="47" customFormat="false" ht="15" hidden="false" customHeight="false" outlineLevel="0" collapsed="false">
      <c r="A47" s="2" t="s">
        <v>61</v>
      </c>
    </row>
    <row r="48" customFormat="false" ht="15" hidden="false" customHeight="false" outlineLevel="0" collapsed="false">
      <c r="A48" s="2" t="s">
        <v>62</v>
      </c>
    </row>
    <row r="49" customFormat="false" ht="15" hidden="false" customHeight="false" outlineLevel="0" collapsed="false">
      <c r="A49" s="2" t="s">
        <v>63</v>
      </c>
    </row>
    <row r="50" customFormat="false" ht="15" hidden="false" customHeight="false" outlineLevel="0" collapsed="false">
      <c r="A50" s="2" t="s">
        <v>64</v>
      </c>
    </row>
    <row r="51" customFormat="false" ht="15" hidden="false" customHeight="false" outlineLevel="0" collapsed="false">
      <c r="A51" s="2" t="s">
        <v>65</v>
      </c>
    </row>
    <row r="52" customFormat="false" ht="15" hidden="false" customHeight="false" outlineLevel="0" collapsed="false">
      <c r="A52" s="2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4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3"/>
    <col collapsed="false" customWidth="true" hidden="false" outlineLevel="0" max="4" min="3" style="0" width="12"/>
    <col collapsed="false" customWidth="true" hidden="false" outlineLevel="0" max="5" min="5" style="0" width="13"/>
    <col collapsed="false" customWidth="true" hidden="false" outlineLevel="0" max="9" min="6" style="0" width="19"/>
    <col collapsed="false" customWidth="true" hidden="false" outlineLevel="0" max="13" min="10" style="0" width="12"/>
    <col collapsed="false" customWidth="true" hidden="false" outlineLevel="0" max="14" min="14" style="0" width="44"/>
  </cols>
  <sheetData>
    <row r="1" customFormat="false" ht="16.15" hidden="false" customHeight="false" outlineLevel="0" collapsed="false">
      <c r="A1" s="1" t="s">
        <v>67</v>
      </c>
    </row>
    <row r="2" customFormat="false" ht="15" hidden="false" customHeight="false" outlineLevel="0" collapsed="false">
      <c r="A2" s="2" t="s">
        <v>68</v>
      </c>
    </row>
    <row r="4" customFormat="false" ht="72" hidden="false" customHeight="true" outlineLevel="0" collapsed="false">
      <c r="A4" s="10" t="s">
        <v>69</v>
      </c>
      <c r="B4" s="10" t="s">
        <v>70</v>
      </c>
      <c r="C4" s="10" t="s">
        <v>71</v>
      </c>
      <c r="D4" s="10" t="s">
        <v>72</v>
      </c>
      <c r="E4" s="10" t="s">
        <v>73</v>
      </c>
      <c r="F4" s="10" t="str">
        <f aca="false">"V1: 2 Pers. + 40 kg Gepäck, Tank 64 %"&amp;CHAR(10)&amp;"MTOM "&amp;TEXT(Annahmen!$G$35,"0")&amp;" kg · Tank "&amp;TEXT(Annahmen!$D$35,"0")&amp;" kg ("&amp;TEXT(Annahmen!$F$35,"0%")&amp;")"&amp;CHAR(10)&amp;"Reichweite "&amp;TEXT(Annahmen!$L$35,"0")&amp;" / "&amp;TEXT(Annahmen!$M$35,"0")&amp;" km"</f>
        <v>V1: 2 Pers. + 40 kg Gepäck, Tank 64 %
MTOM 2367 kg · Tank 577 kg (64%)
Reichweite 1145 / 814 km</v>
      </c>
      <c r="G4" s="10" t="str">
        <f aca="false">"V2: 2 Pers. + 40 kg Gepäck, voller Tank"&amp;CHAR(10)&amp;"MTOM "&amp;TEXT(Annahmen!$G$36,"0")&amp;" kg · Tank "&amp;TEXT(Annahmen!$D$36,"0")&amp;" kg ("&amp;TEXT(Annahmen!$F$36,"0%")&amp;")"&amp;CHAR(10)&amp;"Reichweite "&amp;TEXT(Annahmen!$L$36,"0")&amp;" / "&amp;TEXT(Annahmen!$M$36,"0")&amp;" km"</f>
        <v>V2: 2 Pers. + 40 kg Gepäck, voller Tank
MTOM 2697 kg · Tank 907 kg (100%)
Reichweite 2345 / 1771 km</v>
      </c>
      <c r="H4" s="10" t="str">
        <f aca="false">"V3: 4 Pers. + 80 kg Gepäck, max. Tank"&amp;CHAR(10)&amp;"MTOM "&amp;TEXT(Annahmen!$G$37,"0")&amp;" kg · Tank "&amp;TEXT(Annahmen!$D$37,"0")&amp;" kg ("&amp;TEXT(Annahmen!$F$37,"0%")&amp;")"&amp;CHAR(10)&amp;"Reichweite "&amp;TEXT(Annahmen!$L$37,"0")&amp;" / "&amp;TEXT(Annahmen!$M$37,"0")&amp;" km"</f>
        <v>V3: 4 Pers. + 80 kg Gepäck, max. Tank
MTOM 2727 kg · Tank 757 kg (83%)
Reichweite 1800 / 1336 km</v>
      </c>
      <c r="I4" s="10" t="str">
        <f aca="false">"V4: 6 Pers. + 120 kg Gepäck, max. Tank"&amp;CHAR(10)&amp;"MTOM "&amp;TEXT(Annahmen!$G$38,"0")&amp;" kg · Tank "&amp;TEXT(Annahmen!$D$38,"0")&amp;" kg ("&amp;TEXT(Annahmen!$F$38,"0%")&amp;")"&amp;CHAR(10)&amp;"Reichweite "&amp;TEXT(Annahmen!$L$38,"0")&amp;" / "&amp;TEXT(Annahmen!$M$38,"0")&amp;" km"</f>
        <v>V4: 6 Pers. + 120 kg Gepäck, max. Tank
MTOM 2727 kg · Tank 577 kg (64%)
Reichweite 1145 / 814 km</v>
      </c>
      <c r="J4" s="10" t="s">
        <v>74</v>
      </c>
      <c r="K4" s="10" t="s">
        <v>75</v>
      </c>
      <c r="L4" s="10" t="s">
        <v>76</v>
      </c>
      <c r="M4" s="10" t="s">
        <v>77</v>
      </c>
      <c r="N4" s="10" t="s">
        <v>78</v>
      </c>
    </row>
    <row r="5" customFormat="false" ht="15" hidden="false" customHeight="false" outlineLevel="0" collapsed="false">
      <c r="A5" s="11" t="s">
        <v>79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</row>
    <row r="6" customFormat="false" ht="15" hidden="false" customHeight="false" outlineLevel="0" collapsed="false">
      <c r="A6" s="13" t="s">
        <v>80</v>
      </c>
      <c r="B6" s="14" t="s">
        <v>81</v>
      </c>
      <c r="C6" s="15" t="n">
        <v>3000</v>
      </c>
      <c r="D6" s="15" t="n">
        <v>126</v>
      </c>
      <c r="E6" s="13" t="s">
        <v>82</v>
      </c>
      <c r="F6" s="15" t="str">
        <f aca="false">IF(C6&gt;=J6,"ja","nein")</f>
        <v>ja</v>
      </c>
      <c r="G6" s="15" t="str">
        <f aca="false">IF(C6&gt;=K6,"ja","nein")</f>
        <v>ja</v>
      </c>
      <c r="H6" s="15" t="str">
        <f aca="false">IF(C6&gt;=L6,"ja","nein")</f>
        <v>ja</v>
      </c>
      <c r="I6" s="15" t="str">
        <f aca="false">IF(C6&gt;=M6,"ja","nein")</f>
        <v>ja</v>
      </c>
      <c r="J6" s="15" t="n">
        <f aca="false">ROUND(Annahmen!$K$35*(1+Annahmen!$B$20*D6/1000),0)</f>
        <v>850</v>
      </c>
      <c r="K6" s="15" t="n">
        <f aca="false">ROUND(Annahmen!$K$36*(1+Annahmen!$B$20*D6/1000),0)</f>
        <v>1103</v>
      </c>
      <c r="L6" s="15" t="n">
        <f aca="false">ROUND(Annahmen!$K$37*(1+Annahmen!$B$20*D6/1000),0)</f>
        <v>1128</v>
      </c>
      <c r="M6" s="15" t="n">
        <f aca="false">ROUND(Annahmen!$K$38*(1+Annahmen!$B$20*D6/1000),0)</f>
        <v>1128</v>
      </c>
      <c r="N6" s="16" t="s">
        <v>83</v>
      </c>
    </row>
    <row r="7" customFormat="false" ht="15" hidden="false" customHeight="false" outlineLevel="0" collapsed="false">
      <c r="A7" s="13" t="s">
        <v>84</v>
      </c>
      <c r="B7" s="14" t="s">
        <v>85</v>
      </c>
      <c r="C7" s="15" t="n">
        <v>2198</v>
      </c>
      <c r="D7" s="15" t="n">
        <v>1120</v>
      </c>
      <c r="E7" s="13" t="s">
        <v>82</v>
      </c>
      <c r="F7" s="15" t="str">
        <f aca="false">IF(C7&gt;=J7,"ja","nein")</f>
        <v>ja</v>
      </c>
      <c r="G7" s="15" t="str">
        <f aca="false">IF(C7&gt;=K7,"ja","nein")</f>
        <v>ja</v>
      </c>
      <c r="H7" s="15" t="str">
        <f aca="false">IF(C7&gt;=L7,"ja","nein")</f>
        <v>ja</v>
      </c>
      <c r="I7" s="15" t="str">
        <f aca="false">IF(C7&gt;=M7,"ja","nein")</f>
        <v>ja</v>
      </c>
      <c r="J7" s="15" t="n">
        <f aca="false">ROUND(Annahmen!$K$35*(1+Annahmen!$B$20*D7/1000),0)</f>
        <v>925</v>
      </c>
      <c r="K7" s="15" t="n">
        <f aca="false">ROUND(Annahmen!$K$36*(1+Annahmen!$B$20*D7/1000),0)</f>
        <v>1201</v>
      </c>
      <c r="L7" s="15" t="n">
        <f aca="false">ROUND(Annahmen!$K$37*(1+Annahmen!$B$20*D7/1000),0)</f>
        <v>1227</v>
      </c>
      <c r="M7" s="15" t="n">
        <f aca="false">ROUND(Annahmen!$K$38*(1+Annahmen!$B$20*D7/1000),0)</f>
        <v>1227</v>
      </c>
      <c r="N7" s="16" t="s">
        <v>86</v>
      </c>
    </row>
    <row r="8" customFormat="false" ht="15" hidden="false" customHeight="false" outlineLevel="0" collapsed="false">
      <c r="A8" s="11" t="s">
        <v>87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</row>
    <row r="9" customFormat="false" ht="15" hidden="false" customHeight="false" outlineLevel="0" collapsed="false">
      <c r="A9" s="13" t="s">
        <v>88</v>
      </c>
      <c r="B9" s="14" t="s">
        <v>89</v>
      </c>
      <c r="C9" s="15" t="n">
        <v>3700</v>
      </c>
      <c r="D9" s="15" t="n">
        <v>670</v>
      </c>
      <c r="E9" s="13" t="s">
        <v>82</v>
      </c>
      <c r="F9" s="15" t="str">
        <f aca="false">IF(C9&gt;=J9,"ja","nein")</f>
        <v>ja</v>
      </c>
      <c r="G9" s="15" t="str">
        <f aca="false">IF(C9&gt;=K9,"ja","nein")</f>
        <v>ja</v>
      </c>
      <c r="H9" s="15" t="str">
        <f aca="false">IF(C9&gt;=L9,"ja","nein")</f>
        <v>ja</v>
      </c>
      <c r="I9" s="15" t="str">
        <f aca="false">IF(C9&gt;=M9,"ja","nein")</f>
        <v>ja</v>
      </c>
      <c r="J9" s="15" t="n">
        <f aca="false">ROUND(Annahmen!$K$35*(1+Annahmen!$B$20*D9/1000),0)</f>
        <v>891</v>
      </c>
      <c r="K9" s="15" t="n">
        <f aca="false">ROUND(Annahmen!$K$36*(1+Annahmen!$B$20*D9/1000),0)</f>
        <v>1157</v>
      </c>
      <c r="L9" s="15" t="n">
        <f aca="false">ROUND(Annahmen!$K$37*(1+Annahmen!$B$20*D9/1000),0)</f>
        <v>1182</v>
      </c>
      <c r="M9" s="15" t="n">
        <f aca="false">ROUND(Annahmen!$K$38*(1+Annahmen!$B$20*D9/1000),0)</f>
        <v>1182</v>
      </c>
      <c r="N9" s="16" t="s">
        <v>83</v>
      </c>
    </row>
    <row r="10" customFormat="false" ht="15" hidden="false" customHeight="false" outlineLevel="0" collapsed="false">
      <c r="A10" s="13" t="s">
        <v>90</v>
      </c>
      <c r="B10" s="14" t="s">
        <v>91</v>
      </c>
      <c r="C10" s="15" t="n">
        <v>2620</v>
      </c>
      <c r="D10" s="15" t="n">
        <v>468</v>
      </c>
      <c r="E10" s="13" t="s">
        <v>82</v>
      </c>
      <c r="F10" s="15" t="str">
        <f aca="false">IF(C10&gt;=J10,"ja","nein")</f>
        <v>ja</v>
      </c>
      <c r="G10" s="15" t="str">
        <f aca="false">IF(C10&gt;=K10,"ja","nein")</f>
        <v>ja</v>
      </c>
      <c r="H10" s="15" t="str">
        <f aca="false">IF(C10&gt;=L10,"ja","nein")</f>
        <v>ja</v>
      </c>
      <c r="I10" s="15" t="str">
        <f aca="false">IF(C10&gt;=M10,"ja","nein")</f>
        <v>ja</v>
      </c>
      <c r="J10" s="15" t="n">
        <f aca="false">ROUND(Annahmen!$K$35*(1+Annahmen!$B$20*D10/1000),0)</f>
        <v>875</v>
      </c>
      <c r="K10" s="15" t="n">
        <f aca="false">ROUND(Annahmen!$K$36*(1+Annahmen!$B$20*D10/1000),0)</f>
        <v>1137</v>
      </c>
      <c r="L10" s="15" t="n">
        <f aca="false">ROUND(Annahmen!$K$37*(1+Annahmen!$B$20*D10/1000),0)</f>
        <v>1162</v>
      </c>
      <c r="M10" s="15" t="n">
        <f aca="false">ROUND(Annahmen!$K$38*(1+Annahmen!$B$20*D10/1000),0)</f>
        <v>1162</v>
      </c>
      <c r="N10" s="16" t="s">
        <v>83</v>
      </c>
    </row>
    <row r="11" customFormat="false" ht="15" hidden="false" customHeight="false" outlineLevel="0" collapsed="false">
      <c r="A11" s="13" t="s">
        <v>92</v>
      </c>
      <c r="B11" s="14" t="s">
        <v>93</v>
      </c>
      <c r="C11" s="15" t="n">
        <v>2606</v>
      </c>
      <c r="D11" s="15" t="n">
        <v>682</v>
      </c>
      <c r="E11" s="13" t="s">
        <v>82</v>
      </c>
      <c r="F11" s="15" t="str">
        <f aca="false">IF(C11&gt;=J11,"ja","nein")</f>
        <v>ja</v>
      </c>
      <c r="G11" s="15" t="str">
        <f aca="false">IF(C11&gt;=K11,"ja","nein")</f>
        <v>ja</v>
      </c>
      <c r="H11" s="15" t="str">
        <f aca="false">IF(C11&gt;=L11,"ja","nein")</f>
        <v>ja</v>
      </c>
      <c r="I11" s="15" t="str">
        <f aca="false">IF(C11&gt;=M11,"ja","nein")</f>
        <v>ja</v>
      </c>
      <c r="J11" s="15" t="n">
        <f aca="false">ROUND(Annahmen!$K$35*(1+Annahmen!$B$20*D11/1000),0)</f>
        <v>892</v>
      </c>
      <c r="K11" s="15" t="n">
        <f aca="false">ROUND(Annahmen!$K$36*(1+Annahmen!$B$20*D11/1000),0)</f>
        <v>1158</v>
      </c>
      <c r="L11" s="15" t="n">
        <f aca="false">ROUND(Annahmen!$K$37*(1+Annahmen!$B$20*D11/1000),0)</f>
        <v>1183</v>
      </c>
      <c r="M11" s="15" t="n">
        <f aca="false">ROUND(Annahmen!$K$38*(1+Annahmen!$B$20*D11/1000),0)</f>
        <v>1183</v>
      </c>
      <c r="N11" s="16" t="s">
        <v>86</v>
      </c>
    </row>
    <row r="12" customFormat="false" ht="15" hidden="false" customHeight="false" outlineLevel="0" collapsed="false">
      <c r="A12" s="13" t="s">
        <v>94</v>
      </c>
      <c r="B12" s="14" t="s">
        <v>95</v>
      </c>
      <c r="C12" s="15" t="n">
        <v>2569</v>
      </c>
      <c r="D12" s="15" t="n">
        <v>472</v>
      </c>
      <c r="E12" s="13" t="s">
        <v>82</v>
      </c>
      <c r="F12" s="15" t="str">
        <f aca="false">IF(C12&gt;=J12,"ja","nein")</f>
        <v>ja</v>
      </c>
      <c r="G12" s="15" t="str">
        <f aca="false">IF(C12&gt;=K12,"ja","nein")</f>
        <v>ja</v>
      </c>
      <c r="H12" s="15" t="str">
        <f aca="false">IF(C12&gt;=L12,"ja","nein")</f>
        <v>ja</v>
      </c>
      <c r="I12" s="15" t="str">
        <f aca="false">IF(C12&gt;=M12,"ja","nein")</f>
        <v>ja</v>
      </c>
      <c r="J12" s="15" t="n">
        <f aca="false">ROUND(Annahmen!$K$35*(1+Annahmen!$B$20*D12/1000),0)</f>
        <v>876</v>
      </c>
      <c r="K12" s="15" t="n">
        <f aca="false">ROUND(Annahmen!$K$36*(1+Annahmen!$B$20*D12/1000),0)</f>
        <v>1137</v>
      </c>
      <c r="L12" s="15" t="n">
        <f aca="false">ROUND(Annahmen!$K$37*(1+Annahmen!$B$20*D12/1000),0)</f>
        <v>1162</v>
      </c>
      <c r="M12" s="15" t="n">
        <f aca="false">ROUND(Annahmen!$K$38*(1+Annahmen!$B$20*D12/1000),0)</f>
        <v>1162</v>
      </c>
      <c r="N12" s="16" t="s">
        <v>86</v>
      </c>
    </row>
    <row r="13" customFormat="false" ht="15" hidden="false" customHeight="false" outlineLevel="0" collapsed="false">
      <c r="A13" s="13" t="s">
        <v>96</v>
      </c>
      <c r="B13" s="14" t="s">
        <v>97</v>
      </c>
      <c r="C13" s="15" t="n">
        <v>2567</v>
      </c>
      <c r="D13" s="15" t="n">
        <v>637</v>
      </c>
      <c r="E13" s="13" t="s">
        <v>82</v>
      </c>
      <c r="F13" s="15" t="str">
        <f aca="false">IF(C13&gt;=J13,"ja","nein")</f>
        <v>ja</v>
      </c>
      <c r="G13" s="15" t="str">
        <f aca="false">IF(C13&gt;=K13,"ja","nein")</f>
        <v>ja</v>
      </c>
      <c r="H13" s="15" t="str">
        <f aca="false">IF(C13&gt;=L13,"ja","nein")</f>
        <v>ja</v>
      </c>
      <c r="I13" s="15" t="str">
        <f aca="false">IF(C13&gt;=M13,"ja","nein")</f>
        <v>ja</v>
      </c>
      <c r="J13" s="15" t="n">
        <f aca="false">ROUND(Annahmen!$K$35*(1+Annahmen!$B$20*D13/1000),0)</f>
        <v>888</v>
      </c>
      <c r="K13" s="15" t="n">
        <f aca="false">ROUND(Annahmen!$K$36*(1+Annahmen!$B$20*D13/1000),0)</f>
        <v>1154</v>
      </c>
      <c r="L13" s="15" t="n">
        <f aca="false">ROUND(Annahmen!$K$37*(1+Annahmen!$B$20*D13/1000),0)</f>
        <v>1179</v>
      </c>
      <c r="M13" s="15" t="n">
        <f aca="false">ROUND(Annahmen!$K$38*(1+Annahmen!$B$20*D13/1000),0)</f>
        <v>1179</v>
      </c>
      <c r="N13" s="16" t="s">
        <v>86</v>
      </c>
    </row>
    <row r="14" customFormat="false" ht="15" hidden="false" customHeight="false" outlineLevel="0" collapsed="false">
      <c r="A14" s="13" t="s">
        <v>98</v>
      </c>
      <c r="B14" s="14" t="s">
        <v>99</v>
      </c>
      <c r="C14" s="15" t="n">
        <v>2560</v>
      </c>
      <c r="D14" s="15" t="n">
        <v>443</v>
      </c>
      <c r="E14" s="13" t="s">
        <v>82</v>
      </c>
      <c r="F14" s="15" t="str">
        <f aca="false">IF(C14&gt;=J14,"ja","nein")</f>
        <v>ja</v>
      </c>
      <c r="G14" s="15" t="str">
        <f aca="false">IF(C14&gt;=K14,"ja","nein")</f>
        <v>ja</v>
      </c>
      <c r="H14" s="15" t="str">
        <f aca="false">IF(C14&gt;=L14,"ja","nein")</f>
        <v>ja</v>
      </c>
      <c r="I14" s="15" t="str">
        <f aca="false">IF(C14&gt;=M14,"ja","nein")</f>
        <v>ja</v>
      </c>
      <c r="J14" s="15" t="n">
        <f aca="false">ROUND(Annahmen!$K$35*(1+Annahmen!$B$20*D14/1000),0)</f>
        <v>873</v>
      </c>
      <c r="K14" s="15" t="n">
        <f aca="false">ROUND(Annahmen!$K$36*(1+Annahmen!$B$20*D14/1000),0)</f>
        <v>1134</v>
      </c>
      <c r="L14" s="15" t="n">
        <f aca="false">ROUND(Annahmen!$K$37*(1+Annahmen!$B$20*D14/1000),0)</f>
        <v>1159</v>
      </c>
      <c r="M14" s="15" t="n">
        <f aca="false">ROUND(Annahmen!$K$38*(1+Annahmen!$B$20*D14/1000),0)</f>
        <v>1159</v>
      </c>
      <c r="N14" s="16" t="s">
        <v>86</v>
      </c>
    </row>
    <row r="15" customFormat="false" ht="15" hidden="false" customHeight="false" outlineLevel="0" collapsed="false">
      <c r="A15" s="13" t="s">
        <v>100</v>
      </c>
      <c r="B15" s="14" t="s">
        <v>101</v>
      </c>
      <c r="C15" s="15" t="n">
        <v>2360</v>
      </c>
      <c r="D15" s="15" t="n">
        <v>690</v>
      </c>
      <c r="E15" s="13" t="s">
        <v>82</v>
      </c>
      <c r="F15" s="15" t="str">
        <f aca="false">IF(C15&gt;=J15,"ja","nein")</f>
        <v>ja</v>
      </c>
      <c r="G15" s="15" t="str">
        <f aca="false">IF(C15&gt;=K15,"ja","nein")</f>
        <v>ja</v>
      </c>
      <c r="H15" s="15" t="str">
        <f aca="false">IF(C15&gt;=L15,"ja","nein")</f>
        <v>ja</v>
      </c>
      <c r="I15" s="15" t="str">
        <f aca="false">IF(C15&gt;=M15,"ja","nein")</f>
        <v>ja</v>
      </c>
      <c r="J15" s="15" t="n">
        <f aca="false">ROUND(Annahmen!$K$35*(1+Annahmen!$B$20*D15/1000),0)</f>
        <v>892</v>
      </c>
      <c r="K15" s="15" t="n">
        <f aca="false">ROUND(Annahmen!$K$36*(1+Annahmen!$B$20*D15/1000),0)</f>
        <v>1159</v>
      </c>
      <c r="L15" s="15" t="n">
        <f aca="false">ROUND(Annahmen!$K$37*(1+Annahmen!$B$20*D15/1000),0)</f>
        <v>1184</v>
      </c>
      <c r="M15" s="15" t="n">
        <f aca="false">ROUND(Annahmen!$K$38*(1+Annahmen!$B$20*D15/1000),0)</f>
        <v>1184</v>
      </c>
      <c r="N15" s="16" t="s">
        <v>102</v>
      </c>
    </row>
    <row r="16" customFormat="false" ht="15" hidden="false" customHeight="false" outlineLevel="0" collapsed="false">
      <c r="A16" s="11" t="s">
        <v>103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</row>
    <row r="17" customFormat="false" ht="15" hidden="false" customHeight="false" outlineLevel="0" collapsed="false">
      <c r="A17" s="13" t="s">
        <v>104</v>
      </c>
      <c r="B17" s="14" t="s">
        <v>105</v>
      </c>
      <c r="C17" s="15" t="n">
        <v>3690</v>
      </c>
      <c r="D17" s="15" t="n">
        <v>659</v>
      </c>
      <c r="E17" s="13" t="s">
        <v>82</v>
      </c>
      <c r="F17" s="15" t="str">
        <f aca="false">IF(C17&gt;=J17,"ja","nein")</f>
        <v>ja</v>
      </c>
      <c r="G17" s="15" t="str">
        <f aca="false">IF(C17&gt;=K17,"ja","nein")</f>
        <v>ja</v>
      </c>
      <c r="H17" s="15" t="str">
        <f aca="false">IF(C17&gt;=L17,"ja","nein")</f>
        <v>ja</v>
      </c>
      <c r="I17" s="15" t="str">
        <f aca="false">IF(C17&gt;=M17,"ja","nein")</f>
        <v>ja</v>
      </c>
      <c r="J17" s="15" t="n">
        <f aca="false">ROUND(Annahmen!$K$35*(1+Annahmen!$B$20*D17/1000),0)</f>
        <v>890</v>
      </c>
      <c r="K17" s="15" t="n">
        <f aca="false">ROUND(Annahmen!$K$36*(1+Annahmen!$B$20*D17/1000),0)</f>
        <v>1156</v>
      </c>
      <c r="L17" s="15" t="n">
        <f aca="false">ROUND(Annahmen!$K$37*(1+Annahmen!$B$20*D17/1000),0)</f>
        <v>1181</v>
      </c>
      <c r="M17" s="15" t="n">
        <f aca="false">ROUND(Annahmen!$K$38*(1+Annahmen!$B$20*D17/1000),0)</f>
        <v>1181</v>
      </c>
      <c r="N17" s="16" t="s">
        <v>86</v>
      </c>
    </row>
    <row r="18" customFormat="false" ht="15" hidden="false" customHeight="false" outlineLevel="0" collapsed="false">
      <c r="A18" s="13" t="s">
        <v>106</v>
      </c>
      <c r="B18" s="14" t="s">
        <v>107</v>
      </c>
      <c r="C18" s="15" t="n">
        <v>3638</v>
      </c>
      <c r="D18" s="15" t="n">
        <v>175</v>
      </c>
      <c r="E18" s="13" t="s">
        <v>82</v>
      </c>
      <c r="F18" s="15" t="str">
        <f aca="false">IF(C18&gt;=J18,"ja","nein")</f>
        <v>ja</v>
      </c>
      <c r="G18" s="15" t="str">
        <f aca="false">IF(C18&gt;=K18,"ja","nein")</f>
        <v>ja</v>
      </c>
      <c r="H18" s="15" t="str">
        <f aca="false">IF(C18&gt;=L18,"ja","nein")</f>
        <v>ja</v>
      </c>
      <c r="I18" s="15" t="str">
        <f aca="false">IF(C18&gt;=M18,"ja","nein")</f>
        <v>ja</v>
      </c>
      <c r="J18" s="15" t="n">
        <f aca="false">ROUND(Annahmen!$K$35*(1+Annahmen!$B$20*D18/1000),0)</f>
        <v>853</v>
      </c>
      <c r="K18" s="15" t="n">
        <f aca="false">ROUND(Annahmen!$K$36*(1+Annahmen!$B$20*D18/1000),0)</f>
        <v>1108</v>
      </c>
      <c r="L18" s="15" t="n">
        <f aca="false">ROUND(Annahmen!$K$37*(1+Annahmen!$B$20*D18/1000),0)</f>
        <v>1133</v>
      </c>
      <c r="M18" s="15" t="n">
        <f aca="false">ROUND(Annahmen!$K$38*(1+Annahmen!$B$20*D18/1000),0)</f>
        <v>1133</v>
      </c>
      <c r="N18" s="16" t="s">
        <v>83</v>
      </c>
    </row>
    <row r="19" customFormat="false" ht="15" hidden="false" customHeight="false" outlineLevel="0" collapsed="false">
      <c r="A19" s="13" t="s">
        <v>108</v>
      </c>
      <c r="B19" s="14" t="s">
        <v>109</v>
      </c>
      <c r="C19" s="15" t="n">
        <v>3200</v>
      </c>
      <c r="D19" s="15" t="n">
        <v>13</v>
      </c>
      <c r="E19" s="13" t="s">
        <v>82</v>
      </c>
      <c r="F19" s="15" t="str">
        <f aca="false">IF(C19&gt;=J19,"ja","nein")</f>
        <v>ja</v>
      </c>
      <c r="G19" s="15" t="str">
        <f aca="false">IF(C19&gt;=K19,"ja","nein")</f>
        <v>ja</v>
      </c>
      <c r="H19" s="15" t="str">
        <f aca="false">IF(C19&gt;=L19,"ja","nein")</f>
        <v>ja</v>
      </c>
      <c r="I19" s="15" t="str">
        <f aca="false">IF(C19&gt;=M19,"ja","nein")</f>
        <v>ja</v>
      </c>
      <c r="J19" s="15" t="n">
        <f aca="false">ROUND(Annahmen!$K$35*(1+Annahmen!$B$20*D19/1000),0)</f>
        <v>841</v>
      </c>
      <c r="K19" s="15" t="n">
        <f aca="false">ROUND(Annahmen!$K$36*(1+Annahmen!$B$20*D19/1000),0)</f>
        <v>1092</v>
      </c>
      <c r="L19" s="15" t="n">
        <f aca="false">ROUND(Annahmen!$K$37*(1+Annahmen!$B$20*D19/1000),0)</f>
        <v>1116</v>
      </c>
      <c r="M19" s="15" t="n">
        <f aca="false">ROUND(Annahmen!$K$38*(1+Annahmen!$B$20*D19/1000),0)</f>
        <v>1116</v>
      </c>
      <c r="N19" s="16" t="s">
        <v>83</v>
      </c>
    </row>
    <row r="20" customFormat="false" ht="15" hidden="false" customHeight="false" outlineLevel="0" collapsed="false">
      <c r="A20" s="13" t="s">
        <v>110</v>
      </c>
      <c r="B20" s="14" t="s">
        <v>111</v>
      </c>
      <c r="C20" s="15" t="n">
        <v>3055</v>
      </c>
      <c r="D20" s="15" t="n">
        <v>614</v>
      </c>
      <c r="E20" s="13" t="s">
        <v>82</v>
      </c>
      <c r="F20" s="15" t="str">
        <f aca="false">IF(C20&gt;=J20,"ja","nein")</f>
        <v>ja</v>
      </c>
      <c r="G20" s="15" t="str">
        <f aca="false">IF(C20&gt;=K20,"ja","nein")</f>
        <v>ja</v>
      </c>
      <c r="H20" s="15" t="str">
        <f aca="false">IF(C20&gt;=L20,"ja","nein")</f>
        <v>ja</v>
      </c>
      <c r="I20" s="15" t="str">
        <f aca="false">IF(C20&gt;=M20,"ja","nein")</f>
        <v>ja</v>
      </c>
      <c r="J20" s="15" t="n">
        <f aca="false">ROUND(Annahmen!$K$35*(1+Annahmen!$B$20*D20/1000),0)</f>
        <v>886</v>
      </c>
      <c r="K20" s="15" t="n">
        <f aca="false">ROUND(Annahmen!$K$36*(1+Annahmen!$B$20*D20/1000),0)</f>
        <v>1151</v>
      </c>
      <c r="L20" s="15" t="n">
        <f aca="false">ROUND(Annahmen!$K$37*(1+Annahmen!$B$20*D20/1000),0)</f>
        <v>1177</v>
      </c>
      <c r="M20" s="15" t="n">
        <f aca="false">ROUND(Annahmen!$K$38*(1+Annahmen!$B$20*D20/1000),0)</f>
        <v>1177</v>
      </c>
      <c r="N20" s="16" t="s">
        <v>83</v>
      </c>
    </row>
    <row r="21" customFormat="false" ht="15" hidden="false" customHeight="false" outlineLevel="0" collapsed="false">
      <c r="A21" s="13" t="s">
        <v>112</v>
      </c>
      <c r="B21" s="14" t="s">
        <v>113</v>
      </c>
      <c r="C21" s="15" t="n">
        <v>1900</v>
      </c>
      <c r="D21" s="15" t="n">
        <v>55</v>
      </c>
      <c r="E21" s="13" t="s">
        <v>82</v>
      </c>
      <c r="F21" s="15" t="str">
        <f aca="false">IF(C21&gt;=J21,"ja","nein")</f>
        <v>ja</v>
      </c>
      <c r="G21" s="15" t="str">
        <f aca="false">IF(C21&gt;=K21,"ja","nein")</f>
        <v>ja</v>
      </c>
      <c r="H21" s="15" t="str">
        <f aca="false">IF(C21&gt;=L21,"ja","nein")</f>
        <v>ja</v>
      </c>
      <c r="I21" s="15" t="str">
        <f aca="false">IF(C21&gt;=M21,"ja","nein")</f>
        <v>ja</v>
      </c>
      <c r="J21" s="15" t="n">
        <f aca="false">ROUND(Annahmen!$K$35*(1+Annahmen!$B$20*D21/1000),0)</f>
        <v>844</v>
      </c>
      <c r="K21" s="15" t="n">
        <f aca="false">ROUND(Annahmen!$K$36*(1+Annahmen!$B$20*D21/1000),0)</f>
        <v>1096</v>
      </c>
      <c r="L21" s="15" t="n">
        <f aca="false">ROUND(Annahmen!$K$37*(1+Annahmen!$B$20*D21/1000),0)</f>
        <v>1121</v>
      </c>
      <c r="M21" s="15" t="n">
        <f aca="false">ROUND(Annahmen!$K$38*(1+Annahmen!$B$20*D21/1000),0)</f>
        <v>1121</v>
      </c>
      <c r="N21" s="16" t="s">
        <v>86</v>
      </c>
    </row>
    <row r="22" customFormat="false" ht="15" hidden="false" customHeight="false" outlineLevel="0" collapsed="false">
      <c r="A22" s="13" t="s">
        <v>114</v>
      </c>
      <c r="B22" s="14" t="s">
        <v>115</v>
      </c>
      <c r="C22" s="15" t="n">
        <v>1510</v>
      </c>
      <c r="D22" s="15" t="n">
        <v>39</v>
      </c>
      <c r="E22" s="13" t="s">
        <v>82</v>
      </c>
      <c r="F22" s="15" t="str">
        <f aca="false">IF(C22&gt;=J22,"ja","nein")</f>
        <v>ja</v>
      </c>
      <c r="G22" s="15" t="str">
        <f aca="false">IF(C22&gt;=K22,"ja","nein")</f>
        <v>ja</v>
      </c>
      <c r="H22" s="15" t="str">
        <f aca="false">IF(C22&gt;=L22,"ja","nein")</f>
        <v>ja</v>
      </c>
      <c r="I22" s="15" t="str">
        <f aca="false">IF(C22&gt;=M22,"ja","nein")</f>
        <v>ja</v>
      </c>
      <c r="J22" s="15" t="n">
        <f aca="false">ROUND(Annahmen!$K$35*(1+Annahmen!$B$20*D22/1000),0)</f>
        <v>843</v>
      </c>
      <c r="K22" s="15" t="n">
        <f aca="false">ROUND(Annahmen!$K$36*(1+Annahmen!$B$20*D22/1000),0)</f>
        <v>1095</v>
      </c>
      <c r="L22" s="15" t="n">
        <f aca="false">ROUND(Annahmen!$K$37*(1+Annahmen!$B$20*D22/1000),0)</f>
        <v>1119</v>
      </c>
      <c r="M22" s="15" t="n">
        <f aca="false">ROUND(Annahmen!$K$38*(1+Annahmen!$B$20*D22/1000),0)</f>
        <v>1119</v>
      </c>
      <c r="N22" s="16" t="s">
        <v>86</v>
      </c>
    </row>
    <row r="23" customFormat="false" ht="15" hidden="false" customHeight="false" outlineLevel="0" collapsed="false">
      <c r="A23" s="13" t="s">
        <v>116</v>
      </c>
      <c r="B23" s="14" t="s">
        <v>117</v>
      </c>
      <c r="C23" s="15" t="n">
        <v>1096</v>
      </c>
      <c r="D23" s="15" t="n">
        <v>246</v>
      </c>
      <c r="E23" s="13" t="s">
        <v>82</v>
      </c>
      <c r="F23" s="15" t="str">
        <f aca="false">IF(C23&gt;=J23,"ja","nein")</f>
        <v>ja</v>
      </c>
      <c r="G23" s="15" t="str">
        <f aca="false">IF(C23&gt;=K23,"ja","nein")</f>
        <v>nein</v>
      </c>
      <c r="H23" s="15" t="str">
        <f aca="false">IF(C23&gt;=L23,"ja","nein")</f>
        <v>nein</v>
      </c>
      <c r="I23" s="15" t="str">
        <f aca="false">IF(C23&gt;=M23,"ja","nein")</f>
        <v>nein</v>
      </c>
      <c r="J23" s="15" t="n">
        <f aca="false">ROUND(Annahmen!$K$35*(1+Annahmen!$B$20*D23/1000),0)</f>
        <v>859</v>
      </c>
      <c r="K23" s="15" t="n">
        <f aca="false">ROUND(Annahmen!$K$36*(1+Annahmen!$B$20*D23/1000),0)</f>
        <v>1115</v>
      </c>
      <c r="L23" s="15" t="n">
        <f aca="false">ROUND(Annahmen!$K$37*(1+Annahmen!$B$20*D23/1000),0)</f>
        <v>1140</v>
      </c>
      <c r="M23" s="15" t="n">
        <f aca="false">ROUND(Annahmen!$K$38*(1+Annahmen!$B$20*D23/1000),0)</f>
        <v>1140</v>
      </c>
      <c r="N23" s="16" t="s">
        <v>102</v>
      </c>
    </row>
    <row r="24" customFormat="false" ht="15" hidden="false" customHeight="false" outlineLevel="0" collapsed="false">
      <c r="A24" s="13" t="s">
        <v>118</v>
      </c>
      <c r="B24" s="14" t="s">
        <v>119</v>
      </c>
      <c r="C24" s="15" t="n">
        <v>799</v>
      </c>
      <c r="D24" s="15" t="n">
        <v>76</v>
      </c>
      <c r="E24" s="13" t="s">
        <v>82</v>
      </c>
      <c r="F24" s="15" t="str">
        <f aca="false">IF(C24&gt;=J24,"ja","nein")</f>
        <v>nein</v>
      </c>
      <c r="G24" s="15" t="str">
        <f aca="false">IF(C24&gt;=K24,"ja","nein")</f>
        <v>nein</v>
      </c>
      <c r="H24" s="15" t="str">
        <f aca="false">IF(C24&gt;=L24,"ja","nein")</f>
        <v>nein</v>
      </c>
      <c r="I24" s="15" t="str">
        <f aca="false">IF(C24&gt;=M24,"ja","nein")</f>
        <v>nein</v>
      </c>
      <c r="J24" s="15" t="n">
        <f aca="false">ROUND(Annahmen!$K$35*(1+Annahmen!$B$20*D24/1000),0)</f>
        <v>846</v>
      </c>
      <c r="K24" s="15" t="n">
        <f aca="false">ROUND(Annahmen!$K$36*(1+Annahmen!$B$20*D24/1000),0)</f>
        <v>1098</v>
      </c>
      <c r="L24" s="15" t="n">
        <f aca="false">ROUND(Annahmen!$K$37*(1+Annahmen!$B$20*D24/1000),0)</f>
        <v>1123</v>
      </c>
      <c r="M24" s="15" t="n">
        <f aca="false">ROUND(Annahmen!$K$38*(1+Annahmen!$B$20*D24/1000),0)</f>
        <v>1123</v>
      </c>
      <c r="N24" s="16" t="s">
        <v>102</v>
      </c>
    </row>
    <row r="25" customFormat="false" ht="15" hidden="false" customHeight="false" outlineLevel="0" collapsed="false">
      <c r="A25" s="13" t="s">
        <v>120</v>
      </c>
      <c r="B25" s="14" t="s">
        <v>121</v>
      </c>
      <c r="C25" s="15" t="n">
        <v>799</v>
      </c>
      <c r="D25" s="15" t="n">
        <v>1581</v>
      </c>
      <c r="E25" s="13" t="s">
        <v>82</v>
      </c>
      <c r="F25" s="15" t="str">
        <f aca="false">IF(C25&gt;=J25,"ja","nein")</f>
        <v>nein</v>
      </c>
      <c r="G25" s="15" t="str">
        <f aca="false">IF(C25&gt;=K25,"ja","nein")</f>
        <v>nein</v>
      </c>
      <c r="H25" s="15" t="str">
        <f aca="false">IF(C25&gt;=L25,"ja","nein")</f>
        <v>nein</v>
      </c>
      <c r="I25" s="15" t="str">
        <f aca="false">IF(C25&gt;=M25,"ja","nein")</f>
        <v>nein</v>
      </c>
      <c r="J25" s="15" t="n">
        <f aca="false">ROUND(Annahmen!$K$35*(1+Annahmen!$B$20*D25/1000),0)</f>
        <v>960</v>
      </c>
      <c r="K25" s="15" t="n">
        <f aca="false">ROUND(Annahmen!$K$36*(1+Annahmen!$B$20*D25/1000),0)</f>
        <v>1246</v>
      </c>
      <c r="L25" s="15" t="n">
        <f aca="false">ROUND(Annahmen!$K$37*(1+Annahmen!$B$20*D25/1000),0)</f>
        <v>1274</v>
      </c>
      <c r="M25" s="15" t="n">
        <f aca="false">ROUND(Annahmen!$K$38*(1+Annahmen!$B$20*D25/1000),0)</f>
        <v>1274</v>
      </c>
      <c r="N25" s="16" t="s">
        <v>102</v>
      </c>
    </row>
    <row r="26" customFormat="false" ht="15" hidden="false" customHeight="false" outlineLevel="0" collapsed="false">
      <c r="A26" s="13" t="s">
        <v>122</v>
      </c>
      <c r="B26" s="14" t="s">
        <v>123</v>
      </c>
      <c r="C26" s="15" t="n">
        <v>799</v>
      </c>
      <c r="D26" s="15" t="n">
        <v>53</v>
      </c>
      <c r="E26" s="13" t="s">
        <v>82</v>
      </c>
      <c r="F26" s="15" t="str">
        <f aca="false">IF(C26&gt;=J26,"ja","nein")</f>
        <v>nein</v>
      </c>
      <c r="G26" s="15" t="str">
        <f aca="false">IF(C26&gt;=K26,"ja","nein")</f>
        <v>nein</v>
      </c>
      <c r="H26" s="15" t="str">
        <f aca="false">IF(C26&gt;=L26,"ja","nein")</f>
        <v>nein</v>
      </c>
      <c r="I26" s="15" t="str">
        <f aca="false">IF(C26&gt;=M26,"ja","nein")</f>
        <v>nein</v>
      </c>
      <c r="J26" s="15" t="n">
        <f aca="false">ROUND(Annahmen!$K$35*(1+Annahmen!$B$20*D26/1000),0)</f>
        <v>844</v>
      </c>
      <c r="K26" s="15" t="n">
        <f aca="false">ROUND(Annahmen!$K$36*(1+Annahmen!$B$20*D26/1000),0)</f>
        <v>1096</v>
      </c>
      <c r="L26" s="15" t="n">
        <f aca="false">ROUND(Annahmen!$K$37*(1+Annahmen!$B$20*D26/1000),0)</f>
        <v>1120</v>
      </c>
      <c r="M26" s="15" t="n">
        <f aca="false">ROUND(Annahmen!$K$38*(1+Annahmen!$B$20*D26/1000),0)</f>
        <v>1120</v>
      </c>
      <c r="N26" s="16" t="s">
        <v>102</v>
      </c>
    </row>
    <row r="27" customFormat="false" ht="15" hidden="false" customHeight="false" outlineLevel="0" collapsed="false">
      <c r="A27" s="13" t="s">
        <v>124</v>
      </c>
      <c r="B27" s="14" t="s">
        <v>125</v>
      </c>
      <c r="C27" s="15" t="n">
        <v>799</v>
      </c>
      <c r="D27" s="15" t="n">
        <v>278</v>
      </c>
      <c r="E27" s="13" t="s">
        <v>82</v>
      </c>
      <c r="F27" s="15" t="str">
        <f aca="false">IF(C27&gt;=J27,"ja","nein")</f>
        <v>nein</v>
      </c>
      <c r="G27" s="15" t="str">
        <f aca="false">IF(C27&gt;=K27,"ja","nein")</f>
        <v>nein</v>
      </c>
      <c r="H27" s="15" t="str">
        <f aca="false">IF(C27&gt;=L27,"ja","nein")</f>
        <v>nein</v>
      </c>
      <c r="I27" s="15" t="str">
        <f aca="false">IF(C27&gt;=M27,"ja","nein")</f>
        <v>nein</v>
      </c>
      <c r="J27" s="15" t="n">
        <f aca="false">ROUND(Annahmen!$K$35*(1+Annahmen!$B$20*D27/1000),0)</f>
        <v>861</v>
      </c>
      <c r="K27" s="15" t="n">
        <f aca="false">ROUND(Annahmen!$K$36*(1+Annahmen!$B$20*D27/1000),0)</f>
        <v>1118</v>
      </c>
      <c r="L27" s="15" t="n">
        <f aca="false">ROUND(Annahmen!$K$37*(1+Annahmen!$B$20*D27/1000),0)</f>
        <v>1143</v>
      </c>
      <c r="M27" s="15" t="n">
        <f aca="false">ROUND(Annahmen!$K$38*(1+Annahmen!$B$20*D27/1000),0)</f>
        <v>1143</v>
      </c>
      <c r="N27" s="16" t="s">
        <v>102</v>
      </c>
    </row>
    <row r="28" customFormat="false" ht="15" hidden="false" customHeight="false" outlineLevel="0" collapsed="false">
      <c r="A28" s="13" t="s">
        <v>126</v>
      </c>
      <c r="B28" s="14" t="s">
        <v>127</v>
      </c>
      <c r="C28" s="15" t="n">
        <v>780</v>
      </c>
      <c r="D28" s="15" t="n">
        <v>246</v>
      </c>
      <c r="E28" s="13" t="s">
        <v>82</v>
      </c>
      <c r="F28" s="15" t="str">
        <f aca="false">IF(C28&gt;=J28,"ja","nein")</f>
        <v>nein</v>
      </c>
      <c r="G28" s="15" t="str">
        <f aca="false">IF(C28&gt;=K28,"ja","nein")</f>
        <v>nein</v>
      </c>
      <c r="H28" s="15" t="str">
        <f aca="false">IF(C28&gt;=L28,"ja","nein")</f>
        <v>nein</v>
      </c>
      <c r="I28" s="15" t="str">
        <f aca="false">IF(C28&gt;=M28,"ja","nein")</f>
        <v>nein</v>
      </c>
      <c r="J28" s="15" t="n">
        <f aca="false">ROUND(Annahmen!$K$35*(1+Annahmen!$B$20*D28/1000),0)</f>
        <v>859</v>
      </c>
      <c r="K28" s="15" t="n">
        <f aca="false">ROUND(Annahmen!$K$36*(1+Annahmen!$B$20*D28/1000),0)</f>
        <v>1115</v>
      </c>
      <c r="L28" s="15" t="n">
        <f aca="false">ROUND(Annahmen!$K$37*(1+Annahmen!$B$20*D28/1000),0)</f>
        <v>1140</v>
      </c>
      <c r="M28" s="15" t="n">
        <f aca="false">ROUND(Annahmen!$K$38*(1+Annahmen!$B$20*D28/1000),0)</f>
        <v>1140</v>
      </c>
      <c r="N28" s="16" t="s">
        <v>102</v>
      </c>
    </row>
    <row r="29" customFormat="false" ht="15" hidden="false" customHeight="false" outlineLevel="0" collapsed="false">
      <c r="A29" s="13" t="s">
        <v>128</v>
      </c>
      <c r="B29" s="14" t="s">
        <v>129</v>
      </c>
      <c r="C29" s="15" t="n">
        <v>700</v>
      </c>
      <c r="D29" s="15" t="n">
        <v>75</v>
      </c>
      <c r="E29" s="13" t="s">
        <v>82</v>
      </c>
      <c r="F29" s="15" t="str">
        <f aca="false">IF(C29&gt;=J29,"ja","nein")</f>
        <v>nein</v>
      </c>
      <c r="G29" s="15" t="str">
        <f aca="false">IF(C29&gt;=K29,"ja","nein")</f>
        <v>nein</v>
      </c>
      <c r="H29" s="15" t="str">
        <f aca="false">IF(C29&gt;=L29,"ja","nein")</f>
        <v>nein</v>
      </c>
      <c r="I29" s="15" t="str">
        <f aca="false">IF(C29&gt;=M29,"ja","nein")</f>
        <v>nein</v>
      </c>
      <c r="J29" s="15" t="n">
        <f aca="false">ROUND(Annahmen!$K$35*(1+Annahmen!$B$20*D29/1000),0)</f>
        <v>846</v>
      </c>
      <c r="K29" s="15" t="n">
        <f aca="false">ROUND(Annahmen!$K$36*(1+Annahmen!$B$20*D29/1000),0)</f>
        <v>1098</v>
      </c>
      <c r="L29" s="15" t="n">
        <f aca="false">ROUND(Annahmen!$K$37*(1+Annahmen!$B$20*D29/1000),0)</f>
        <v>1123</v>
      </c>
      <c r="M29" s="15" t="n">
        <f aca="false">ROUND(Annahmen!$K$38*(1+Annahmen!$B$20*D29/1000),0)</f>
        <v>1123</v>
      </c>
      <c r="N29" s="16" t="s">
        <v>102</v>
      </c>
    </row>
    <row r="30" customFormat="false" ht="15" hidden="false" customHeight="false" outlineLevel="0" collapsed="false">
      <c r="A30" s="13" t="s">
        <v>130</v>
      </c>
      <c r="B30" s="14" t="s">
        <v>131</v>
      </c>
      <c r="C30" s="15" t="n">
        <v>690</v>
      </c>
      <c r="D30" s="15" t="n">
        <v>594</v>
      </c>
      <c r="E30" s="13" t="s">
        <v>82</v>
      </c>
      <c r="F30" s="15" t="str">
        <f aca="false">IF(C30&gt;=J30,"ja","nein")</f>
        <v>nein</v>
      </c>
      <c r="G30" s="15" t="str">
        <f aca="false">IF(C30&gt;=K30,"ja","nein")</f>
        <v>nein</v>
      </c>
      <c r="H30" s="15" t="str">
        <f aca="false">IF(C30&gt;=L30,"ja","nein")</f>
        <v>nein</v>
      </c>
      <c r="I30" s="15" t="str">
        <f aca="false">IF(C30&gt;=M30,"ja","nein")</f>
        <v>nein</v>
      </c>
      <c r="J30" s="15" t="n">
        <f aca="false">ROUND(Annahmen!$K$35*(1+Annahmen!$B$20*D30/1000),0)</f>
        <v>885</v>
      </c>
      <c r="K30" s="15" t="n">
        <f aca="false">ROUND(Annahmen!$K$36*(1+Annahmen!$B$20*D30/1000),0)</f>
        <v>1149</v>
      </c>
      <c r="L30" s="15" t="n">
        <f aca="false">ROUND(Annahmen!$K$37*(1+Annahmen!$B$20*D30/1000),0)</f>
        <v>1175</v>
      </c>
      <c r="M30" s="15" t="n">
        <f aca="false">ROUND(Annahmen!$K$38*(1+Annahmen!$B$20*D30/1000),0)</f>
        <v>1175</v>
      </c>
      <c r="N30" s="16" t="s">
        <v>102</v>
      </c>
    </row>
    <row r="31" customFormat="false" ht="15" hidden="false" customHeight="false" outlineLevel="0" collapsed="false">
      <c r="A31" s="13" t="s">
        <v>132</v>
      </c>
      <c r="B31" s="14" t="s">
        <v>133</v>
      </c>
      <c r="C31" s="15" t="n">
        <v>600</v>
      </c>
      <c r="D31" s="15" t="n">
        <v>207</v>
      </c>
      <c r="E31" s="13" t="s">
        <v>82</v>
      </c>
      <c r="F31" s="15" t="str">
        <f aca="false">IF(C31&gt;=J31,"ja","nein")</f>
        <v>nein</v>
      </c>
      <c r="G31" s="15" t="str">
        <f aca="false">IF(C31&gt;=K31,"ja","nein")</f>
        <v>nein</v>
      </c>
      <c r="H31" s="15" t="str">
        <f aca="false">IF(C31&gt;=L31,"ja","nein")</f>
        <v>nein</v>
      </c>
      <c r="I31" s="15" t="str">
        <f aca="false">IF(C31&gt;=M31,"ja","nein")</f>
        <v>nein</v>
      </c>
      <c r="J31" s="15" t="n">
        <f aca="false">ROUND(Annahmen!$K$35*(1+Annahmen!$B$20*D31/1000),0)</f>
        <v>856</v>
      </c>
      <c r="K31" s="15" t="n">
        <f aca="false">ROUND(Annahmen!$K$36*(1+Annahmen!$B$20*D31/1000),0)</f>
        <v>1111</v>
      </c>
      <c r="L31" s="15" t="n">
        <f aca="false">ROUND(Annahmen!$K$37*(1+Annahmen!$B$20*D31/1000),0)</f>
        <v>1136</v>
      </c>
      <c r="M31" s="15" t="n">
        <f aca="false">ROUND(Annahmen!$K$38*(1+Annahmen!$B$20*D31/1000),0)</f>
        <v>1136</v>
      </c>
      <c r="N31" s="16" t="s">
        <v>102</v>
      </c>
    </row>
    <row r="32" customFormat="false" ht="15" hidden="false" customHeight="false" outlineLevel="0" collapsed="false">
      <c r="A32" s="11" t="s">
        <v>134</v>
      </c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</row>
    <row r="33" customFormat="false" ht="15" hidden="false" customHeight="false" outlineLevel="0" collapsed="false">
      <c r="A33" s="13" t="s">
        <v>135</v>
      </c>
      <c r="B33" s="14" t="s">
        <v>136</v>
      </c>
      <c r="C33" s="15" t="n">
        <v>2641</v>
      </c>
      <c r="D33" s="15" t="n">
        <v>1708</v>
      </c>
      <c r="E33" s="13" t="s">
        <v>82</v>
      </c>
      <c r="F33" s="15" t="str">
        <f aca="false">IF(C33&gt;=J33,"ja","nein")</f>
        <v>ja</v>
      </c>
      <c r="G33" s="15" t="str">
        <f aca="false">IF(C33&gt;=K33,"ja","nein")</f>
        <v>ja</v>
      </c>
      <c r="H33" s="15" t="str">
        <f aca="false">IF(C33&gt;=L33,"ja","nein")</f>
        <v>ja</v>
      </c>
      <c r="I33" s="15" t="str">
        <f aca="false">IF(C33&gt;=M33,"ja","nein")</f>
        <v>ja</v>
      </c>
      <c r="J33" s="15" t="n">
        <f aca="false">ROUND(Annahmen!$K$35*(1+Annahmen!$B$20*D33/1000),0)</f>
        <v>969</v>
      </c>
      <c r="K33" s="15" t="n">
        <f aca="false">ROUND(Annahmen!$K$36*(1+Annahmen!$B$20*D33/1000),0)</f>
        <v>1259</v>
      </c>
      <c r="L33" s="15" t="n">
        <f aca="false">ROUND(Annahmen!$K$37*(1+Annahmen!$B$20*D33/1000),0)</f>
        <v>1286</v>
      </c>
      <c r="M33" s="15" t="n">
        <f aca="false">ROUND(Annahmen!$K$38*(1+Annahmen!$B$20*D33/1000),0)</f>
        <v>1286</v>
      </c>
      <c r="N33" s="16" t="s">
        <v>83</v>
      </c>
    </row>
    <row r="34" customFormat="false" ht="15" hidden="false" customHeight="false" outlineLevel="0" collapsed="false">
      <c r="A34" s="13" t="s">
        <v>137</v>
      </c>
      <c r="B34" s="14" t="s">
        <v>138</v>
      </c>
      <c r="C34" s="15" t="n">
        <v>2500</v>
      </c>
      <c r="D34" s="15" t="n">
        <v>400</v>
      </c>
      <c r="E34" s="13" t="s">
        <v>82</v>
      </c>
      <c r="F34" s="15" t="str">
        <f aca="false">IF(C34&gt;=J34,"ja","nein")</f>
        <v>ja</v>
      </c>
      <c r="G34" s="15" t="str">
        <f aca="false">IF(C34&gt;=K34,"ja","nein")</f>
        <v>ja</v>
      </c>
      <c r="H34" s="15" t="str">
        <f aca="false">IF(C34&gt;=L34,"ja","nein")</f>
        <v>ja</v>
      </c>
      <c r="I34" s="15" t="str">
        <f aca="false">IF(C34&gt;=M34,"ja","nein")</f>
        <v>ja</v>
      </c>
      <c r="J34" s="15" t="n">
        <f aca="false">ROUND(Annahmen!$K$35*(1+Annahmen!$B$20*D34/1000),0)</f>
        <v>870</v>
      </c>
      <c r="K34" s="15" t="n">
        <f aca="false">ROUND(Annahmen!$K$36*(1+Annahmen!$B$20*D34/1000),0)</f>
        <v>1130</v>
      </c>
      <c r="L34" s="15" t="n">
        <f aca="false">ROUND(Annahmen!$K$37*(1+Annahmen!$B$20*D34/1000),0)</f>
        <v>1155</v>
      </c>
      <c r="M34" s="15" t="n">
        <f aca="false">ROUND(Annahmen!$K$38*(1+Annahmen!$B$20*D34/1000),0)</f>
        <v>1155</v>
      </c>
      <c r="N34" s="16" t="s">
        <v>83</v>
      </c>
    </row>
    <row r="35" customFormat="false" ht="15" hidden="false" customHeight="false" outlineLevel="0" collapsed="false">
      <c r="A35" s="13" t="s">
        <v>139</v>
      </c>
      <c r="B35" s="14" t="s">
        <v>140</v>
      </c>
      <c r="C35" s="15" t="n">
        <v>2485</v>
      </c>
      <c r="D35" s="15" t="n">
        <v>784</v>
      </c>
      <c r="E35" s="13" t="s">
        <v>82</v>
      </c>
      <c r="F35" s="15" t="str">
        <f aca="false">IF(C35&gt;=J35,"ja","nein")</f>
        <v>ja</v>
      </c>
      <c r="G35" s="15" t="str">
        <f aca="false">IF(C35&gt;=K35,"ja","nein")</f>
        <v>ja</v>
      </c>
      <c r="H35" s="15" t="str">
        <f aca="false">IF(C35&gt;=L35,"ja","nein")</f>
        <v>ja</v>
      </c>
      <c r="I35" s="15" t="str">
        <f aca="false">IF(C35&gt;=M35,"ja","nein")</f>
        <v>ja</v>
      </c>
      <c r="J35" s="15" t="n">
        <f aca="false">ROUND(Annahmen!$K$35*(1+Annahmen!$B$20*D35/1000),0)</f>
        <v>899</v>
      </c>
      <c r="K35" s="15" t="n">
        <f aca="false">ROUND(Annahmen!$K$36*(1+Annahmen!$B$20*D35/1000),0)</f>
        <v>1168</v>
      </c>
      <c r="L35" s="15" t="n">
        <f aca="false">ROUND(Annahmen!$K$37*(1+Annahmen!$B$20*D35/1000),0)</f>
        <v>1194</v>
      </c>
      <c r="M35" s="15" t="n">
        <f aca="false">ROUND(Annahmen!$K$38*(1+Annahmen!$B$20*D35/1000),0)</f>
        <v>1194</v>
      </c>
      <c r="N35" s="16" t="s">
        <v>83</v>
      </c>
    </row>
    <row r="36" customFormat="false" ht="15" hidden="false" customHeight="false" outlineLevel="0" collapsed="false">
      <c r="A36" s="13" t="s">
        <v>141</v>
      </c>
      <c r="B36" s="14" t="s">
        <v>142</v>
      </c>
      <c r="C36" s="15" t="n">
        <v>2400</v>
      </c>
      <c r="D36" s="15" t="n">
        <v>156</v>
      </c>
      <c r="E36" s="13" t="s">
        <v>82</v>
      </c>
      <c r="F36" s="15" t="str">
        <f aca="false">IF(C36&gt;=J36,"ja","nein")</f>
        <v>ja</v>
      </c>
      <c r="G36" s="15" t="str">
        <f aca="false">IF(C36&gt;=K36,"ja","nein")</f>
        <v>ja</v>
      </c>
      <c r="H36" s="15" t="str">
        <f aca="false">IF(C36&gt;=L36,"ja","nein")</f>
        <v>ja</v>
      </c>
      <c r="I36" s="15" t="str">
        <f aca="false">IF(C36&gt;=M36,"ja","nein")</f>
        <v>ja</v>
      </c>
      <c r="J36" s="15" t="n">
        <f aca="false">ROUND(Annahmen!$K$35*(1+Annahmen!$B$20*D36/1000),0)</f>
        <v>852</v>
      </c>
      <c r="K36" s="15" t="n">
        <f aca="false">ROUND(Annahmen!$K$36*(1+Annahmen!$B$20*D36/1000),0)</f>
        <v>1106</v>
      </c>
      <c r="L36" s="15" t="n">
        <f aca="false">ROUND(Annahmen!$K$37*(1+Annahmen!$B$20*D36/1000),0)</f>
        <v>1131</v>
      </c>
      <c r="M36" s="15" t="n">
        <f aca="false">ROUND(Annahmen!$K$38*(1+Annahmen!$B$20*D36/1000),0)</f>
        <v>1131</v>
      </c>
      <c r="N36" s="16" t="s">
        <v>83</v>
      </c>
    </row>
    <row r="37" customFormat="false" ht="15" hidden="false" customHeight="false" outlineLevel="0" collapsed="false">
      <c r="A37" s="13" t="s">
        <v>143</v>
      </c>
      <c r="B37" s="14" t="s">
        <v>144</v>
      </c>
      <c r="C37" s="15" t="n">
        <v>582</v>
      </c>
      <c r="D37" s="15" t="n">
        <v>337</v>
      </c>
      <c r="E37" s="13" t="s">
        <v>82</v>
      </c>
      <c r="F37" s="15" t="str">
        <f aca="false">IF(C37&gt;=J37,"ja","nein")</f>
        <v>nein</v>
      </c>
      <c r="G37" s="15" t="str">
        <f aca="false">IF(C37&gt;=K37,"ja","nein")</f>
        <v>nein</v>
      </c>
      <c r="H37" s="15" t="str">
        <f aca="false">IF(C37&gt;=L37,"ja","nein")</f>
        <v>nein</v>
      </c>
      <c r="I37" s="15" t="str">
        <f aca="false">IF(C37&gt;=M37,"ja","nein")</f>
        <v>nein</v>
      </c>
      <c r="J37" s="15" t="n">
        <f aca="false">ROUND(Annahmen!$K$35*(1+Annahmen!$B$20*D37/1000),0)</f>
        <v>865</v>
      </c>
      <c r="K37" s="15" t="n">
        <f aca="false">ROUND(Annahmen!$K$36*(1+Annahmen!$B$20*D37/1000),0)</f>
        <v>1124</v>
      </c>
      <c r="L37" s="15" t="n">
        <f aca="false">ROUND(Annahmen!$K$37*(1+Annahmen!$B$20*D37/1000),0)</f>
        <v>1149</v>
      </c>
      <c r="M37" s="15" t="n">
        <f aca="false">ROUND(Annahmen!$K$38*(1+Annahmen!$B$20*D37/1000),0)</f>
        <v>1149</v>
      </c>
      <c r="N37" s="16" t="s">
        <v>102</v>
      </c>
    </row>
    <row r="38" customFormat="false" ht="15" hidden="false" customHeight="false" outlineLevel="0" collapsed="false">
      <c r="A38" s="11" t="s">
        <v>145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</row>
    <row r="39" customFormat="false" ht="15" hidden="false" customHeight="false" outlineLevel="0" collapsed="false">
      <c r="A39" s="13" t="s">
        <v>146</v>
      </c>
      <c r="B39" s="14" t="s">
        <v>147</v>
      </c>
      <c r="C39" s="15" t="n">
        <v>3600</v>
      </c>
      <c r="D39" s="15" t="n">
        <v>1742</v>
      </c>
      <c r="E39" s="13" t="s">
        <v>82</v>
      </c>
      <c r="F39" s="15" t="str">
        <f aca="false">IF(C39&gt;=J39,"ja","nein")</f>
        <v>ja</v>
      </c>
      <c r="G39" s="15" t="str">
        <f aca="false">IF(C39&gt;=K39,"ja","nein")</f>
        <v>ja</v>
      </c>
      <c r="H39" s="15" t="str">
        <f aca="false">IF(C39&gt;=L39,"ja","nein")</f>
        <v>ja</v>
      </c>
      <c r="I39" s="15" t="str">
        <f aca="false">IF(C39&gt;=M39,"ja","nein")</f>
        <v>ja</v>
      </c>
      <c r="J39" s="15" t="n">
        <f aca="false">ROUND(Annahmen!$K$35*(1+Annahmen!$B$20*D39/1000),0)</f>
        <v>972</v>
      </c>
      <c r="K39" s="15" t="n">
        <f aca="false">ROUND(Annahmen!$K$36*(1+Annahmen!$B$20*D39/1000),0)</f>
        <v>1262</v>
      </c>
      <c r="L39" s="15" t="n">
        <f aca="false">ROUND(Annahmen!$K$37*(1+Annahmen!$B$20*D39/1000),0)</f>
        <v>1290</v>
      </c>
      <c r="M39" s="15" t="n">
        <f aca="false">ROUND(Annahmen!$K$38*(1+Annahmen!$B$20*D39/1000),0)</f>
        <v>1290</v>
      </c>
      <c r="N39" s="16" t="s">
        <v>83</v>
      </c>
    </row>
    <row r="40" customFormat="false" ht="15" hidden="false" customHeight="false" outlineLevel="0" collapsed="false">
      <c r="A40" s="13" t="s">
        <v>148</v>
      </c>
      <c r="B40" s="14" t="s">
        <v>149</v>
      </c>
      <c r="C40" s="15" t="n">
        <v>3200</v>
      </c>
      <c r="D40" s="15" t="n">
        <v>135</v>
      </c>
      <c r="E40" s="13" t="s">
        <v>82</v>
      </c>
      <c r="F40" s="15" t="str">
        <f aca="false">IF(C40&gt;=J40,"ja","nein")</f>
        <v>ja</v>
      </c>
      <c r="G40" s="15" t="str">
        <f aca="false">IF(C40&gt;=K40,"ja","nein")</f>
        <v>ja</v>
      </c>
      <c r="H40" s="15" t="str">
        <f aca="false">IF(C40&gt;=L40,"ja","nein")</f>
        <v>ja</v>
      </c>
      <c r="I40" s="15" t="str">
        <f aca="false">IF(C40&gt;=M40,"ja","nein")</f>
        <v>ja</v>
      </c>
      <c r="J40" s="15" t="n">
        <f aca="false">ROUND(Annahmen!$K$35*(1+Annahmen!$B$20*D40/1000),0)</f>
        <v>850</v>
      </c>
      <c r="K40" s="15" t="n">
        <f aca="false">ROUND(Annahmen!$K$36*(1+Annahmen!$B$20*D40/1000),0)</f>
        <v>1104</v>
      </c>
      <c r="L40" s="15" t="n">
        <f aca="false">ROUND(Annahmen!$K$37*(1+Annahmen!$B$20*D40/1000),0)</f>
        <v>1129</v>
      </c>
      <c r="M40" s="15" t="n">
        <f aca="false">ROUND(Annahmen!$K$38*(1+Annahmen!$B$20*D40/1000),0)</f>
        <v>1129</v>
      </c>
      <c r="N40" s="16" t="s">
        <v>83</v>
      </c>
    </row>
    <row r="41" customFormat="false" ht="15" hidden="false" customHeight="false" outlineLevel="0" collapsed="false">
      <c r="A41" s="13" t="s">
        <v>150</v>
      </c>
      <c r="B41" s="14" t="s">
        <v>151</v>
      </c>
      <c r="C41" s="15" t="n">
        <v>2554</v>
      </c>
      <c r="D41" s="15" t="n">
        <v>2218</v>
      </c>
      <c r="E41" s="13" t="s">
        <v>82</v>
      </c>
      <c r="F41" s="15" t="str">
        <f aca="false">IF(C41&gt;=J41,"ja","nein")</f>
        <v>ja</v>
      </c>
      <c r="G41" s="15" t="str">
        <f aca="false">IF(C41&gt;=K41,"ja","nein")</f>
        <v>ja</v>
      </c>
      <c r="H41" s="15" t="str">
        <f aca="false">IF(C41&gt;=L41,"ja","nein")</f>
        <v>ja</v>
      </c>
      <c r="I41" s="15" t="str">
        <f aca="false">IF(C41&gt;=M41,"ja","nein")</f>
        <v>ja</v>
      </c>
      <c r="J41" s="15" t="n">
        <f aca="false">ROUND(Annahmen!$K$35*(1+Annahmen!$B$20*D41/1000),0)</f>
        <v>1008</v>
      </c>
      <c r="K41" s="15" t="n">
        <f aca="false">ROUND(Annahmen!$K$36*(1+Annahmen!$B$20*D41/1000),0)</f>
        <v>1309</v>
      </c>
      <c r="L41" s="15" t="n">
        <f aca="false">ROUND(Annahmen!$K$37*(1+Annahmen!$B$20*D41/1000),0)</f>
        <v>1338</v>
      </c>
      <c r="M41" s="15" t="n">
        <f aca="false">ROUND(Annahmen!$K$38*(1+Annahmen!$B$20*D41/1000),0)</f>
        <v>1338</v>
      </c>
      <c r="N41" s="16" t="s">
        <v>102</v>
      </c>
    </row>
    <row r="42" customFormat="false" ht="15" hidden="false" customHeight="false" outlineLevel="0" collapsed="false">
      <c r="A42" s="13" t="s">
        <v>152</v>
      </c>
      <c r="B42" s="14" t="s">
        <v>153</v>
      </c>
      <c r="C42" s="15" t="n">
        <v>2517</v>
      </c>
      <c r="D42" s="15" t="n">
        <v>230</v>
      </c>
      <c r="E42" s="13" t="s">
        <v>82</v>
      </c>
      <c r="F42" s="15" t="str">
        <f aca="false">IF(C42&gt;=J42,"ja","nein")</f>
        <v>ja</v>
      </c>
      <c r="G42" s="15" t="str">
        <f aca="false">IF(C42&gt;=K42,"ja","nein")</f>
        <v>ja</v>
      </c>
      <c r="H42" s="15" t="str">
        <f aca="false">IF(C42&gt;=L42,"ja","nein")</f>
        <v>ja</v>
      </c>
      <c r="I42" s="15" t="str">
        <f aca="false">IF(C42&gt;=M42,"ja","nein")</f>
        <v>ja</v>
      </c>
      <c r="J42" s="15" t="n">
        <f aca="false">ROUND(Annahmen!$K$35*(1+Annahmen!$B$20*D42/1000),0)</f>
        <v>857</v>
      </c>
      <c r="K42" s="15" t="n">
        <f aca="false">ROUND(Annahmen!$K$36*(1+Annahmen!$B$20*D42/1000),0)</f>
        <v>1114</v>
      </c>
      <c r="L42" s="15" t="n">
        <f aca="false">ROUND(Annahmen!$K$37*(1+Annahmen!$B$20*D42/1000),0)</f>
        <v>1138</v>
      </c>
      <c r="M42" s="15" t="n">
        <f aca="false">ROUND(Annahmen!$K$38*(1+Annahmen!$B$20*D42/1000),0)</f>
        <v>1138</v>
      </c>
      <c r="N42" s="16" t="s">
        <v>83</v>
      </c>
    </row>
    <row r="43" customFormat="false" ht="15" hidden="false" customHeight="false" outlineLevel="0" collapsed="false">
      <c r="A43" s="13" t="s">
        <v>154</v>
      </c>
      <c r="B43" s="14" t="s">
        <v>155</v>
      </c>
      <c r="C43" s="15" t="n">
        <v>2502</v>
      </c>
      <c r="D43" s="15" t="n">
        <v>614</v>
      </c>
      <c r="E43" s="13" t="s">
        <v>82</v>
      </c>
      <c r="F43" s="15" t="str">
        <f aca="false">IF(C43&gt;=J43,"ja","nein")</f>
        <v>ja</v>
      </c>
      <c r="G43" s="15" t="str">
        <f aca="false">IF(C43&gt;=K43,"ja","nein")</f>
        <v>ja</v>
      </c>
      <c r="H43" s="15" t="str">
        <f aca="false">IF(C43&gt;=L43,"ja","nein")</f>
        <v>ja</v>
      </c>
      <c r="I43" s="15" t="str">
        <f aca="false">IF(C43&gt;=M43,"ja","nein")</f>
        <v>ja</v>
      </c>
      <c r="J43" s="15" t="n">
        <f aca="false">ROUND(Annahmen!$K$35*(1+Annahmen!$B$20*D43/1000),0)</f>
        <v>886</v>
      </c>
      <c r="K43" s="15" t="n">
        <f aca="false">ROUND(Annahmen!$K$36*(1+Annahmen!$B$20*D43/1000),0)</f>
        <v>1151</v>
      </c>
      <c r="L43" s="15" t="n">
        <f aca="false">ROUND(Annahmen!$K$37*(1+Annahmen!$B$20*D43/1000),0)</f>
        <v>1177</v>
      </c>
      <c r="M43" s="15" t="n">
        <f aca="false">ROUND(Annahmen!$K$38*(1+Annahmen!$B$20*D43/1000),0)</f>
        <v>1177</v>
      </c>
      <c r="N43" s="16" t="s">
        <v>102</v>
      </c>
    </row>
    <row r="44" customFormat="false" ht="15" hidden="false" customHeight="false" outlineLevel="0" collapsed="false">
      <c r="A44" s="13" t="s">
        <v>156</v>
      </c>
      <c r="B44" s="14" t="s">
        <v>157</v>
      </c>
      <c r="C44" s="15" t="n">
        <v>2500</v>
      </c>
      <c r="D44" s="15" t="n">
        <v>597</v>
      </c>
      <c r="E44" s="13" t="s">
        <v>82</v>
      </c>
      <c r="F44" s="15" t="str">
        <f aca="false">IF(C44&gt;=J44,"ja","nein")</f>
        <v>ja</v>
      </c>
      <c r="G44" s="15" t="str">
        <f aca="false">IF(C44&gt;=K44,"ja","nein")</f>
        <v>ja</v>
      </c>
      <c r="H44" s="15" t="str">
        <f aca="false">IF(C44&gt;=L44,"ja","nein")</f>
        <v>ja</v>
      </c>
      <c r="I44" s="15" t="str">
        <f aca="false">IF(C44&gt;=M44,"ja","nein")</f>
        <v>ja</v>
      </c>
      <c r="J44" s="15" t="n">
        <f aca="false">ROUND(Annahmen!$K$35*(1+Annahmen!$B$20*D44/1000),0)</f>
        <v>885</v>
      </c>
      <c r="K44" s="15" t="n">
        <f aca="false">ROUND(Annahmen!$K$36*(1+Annahmen!$B$20*D44/1000),0)</f>
        <v>1150</v>
      </c>
      <c r="L44" s="15" t="n">
        <f aca="false">ROUND(Annahmen!$K$37*(1+Annahmen!$B$20*D44/1000),0)</f>
        <v>1175</v>
      </c>
      <c r="M44" s="15" t="n">
        <f aca="false">ROUND(Annahmen!$K$38*(1+Annahmen!$B$20*D44/1000),0)</f>
        <v>1175</v>
      </c>
      <c r="N44" s="16" t="s">
        <v>83</v>
      </c>
    </row>
    <row r="45" customFormat="false" ht="15" hidden="false" customHeight="false" outlineLevel="0" collapsed="false">
      <c r="A45" s="13" t="s">
        <v>158</v>
      </c>
      <c r="B45" s="14" t="s">
        <v>159</v>
      </c>
      <c r="C45" s="15" t="n">
        <v>2499</v>
      </c>
      <c r="D45" s="15" t="n">
        <v>390</v>
      </c>
      <c r="E45" s="13" t="s">
        <v>82</v>
      </c>
      <c r="F45" s="15" t="str">
        <f aca="false">IF(C45&gt;=J45,"ja","nein")</f>
        <v>ja</v>
      </c>
      <c r="G45" s="15" t="str">
        <f aca="false">IF(C45&gt;=K45,"ja","nein")</f>
        <v>ja</v>
      </c>
      <c r="H45" s="15" t="str">
        <f aca="false">IF(C45&gt;=L45,"ja","nein")</f>
        <v>ja</v>
      </c>
      <c r="I45" s="15" t="str">
        <f aca="false">IF(C45&gt;=M45,"ja","nein")</f>
        <v>ja</v>
      </c>
      <c r="J45" s="15" t="n">
        <f aca="false">ROUND(Annahmen!$K$35*(1+Annahmen!$B$20*D45/1000),0)</f>
        <v>869</v>
      </c>
      <c r="K45" s="15" t="n">
        <f aca="false">ROUND(Annahmen!$K$36*(1+Annahmen!$B$20*D45/1000),0)</f>
        <v>1129</v>
      </c>
      <c r="L45" s="15" t="n">
        <f aca="false">ROUND(Annahmen!$K$37*(1+Annahmen!$B$20*D45/1000),0)</f>
        <v>1154</v>
      </c>
      <c r="M45" s="15" t="n">
        <f aca="false">ROUND(Annahmen!$K$38*(1+Annahmen!$B$20*D45/1000),0)</f>
        <v>1154</v>
      </c>
      <c r="N45" s="16" t="s">
        <v>102</v>
      </c>
    </row>
    <row r="46" customFormat="false" ht="15" hidden="false" customHeight="false" outlineLevel="0" collapsed="false">
      <c r="A46" s="13" t="s">
        <v>160</v>
      </c>
      <c r="B46" s="14" t="s">
        <v>161</v>
      </c>
      <c r="C46" s="15" t="n">
        <v>2499</v>
      </c>
      <c r="D46" s="15" t="n">
        <v>558</v>
      </c>
      <c r="E46" s="13" t="s">
        <v>82</v>
      </c>
      <c r="F46" s="15" t="str">
        <f aca="false">IF(C46&gt;=J46,"ja","nein")</f>
        <v>ja</v>
      </c>
      <c r="G46" s="15" t="str">
        <f aca="false">IF(C46&gt;=K46,"ja","nein")</f>
        <v>ja</v>
      </c>
      <c r="H46" s="15" t="str">
        <f aca="false">IF(C46&gt;=L46,"ja","nein")</f>
        <v>ja</v>
      </c>
      <c r="I46" s="15" t="str">
        <f aca="false">IF(C46&gt;=M46,"ja","nein")</f>
        <v>ja</v>
      </c>
      <c r="J46" s="15" t="n">
        <f aca="false">ROUND(Annahmen!$K$35*(1+Annahmen!$B$20*D46/1000),0)</f>
        <v>882</v>
      </c>
      <c r="K46" s="15" t="n">
        <f aca="false">ROUND(Annahmen!$K$36*(1+Annahmen!$B$20*D46/1000),0)</f>
        <v>1146</v>
      </c>
      <c r="L46" s="15" t="n">
        <f aca="false">ROUND(Annahmen!$K$37*(1+Annahmen!$B$20*D46/1000),0)</f>
        <v>1171</v>
      </c>
      <c r="M46" s="15" t="n">
        <f aca="false">ROUND(Annahmen!$K$38*(1+Annahmen!$B$20*D46/1000),0)</f>
        <v>1171</v>
      </c>
      <c r="N46" s="16" t="s">
        <v>102</v>
      </c>
    </row>
    <row r="47" customFormat="false" ht="15" hidden="false" customHeight="false" outlineLevel="0" collapsed="false">
      <c r="A47" s="13" t="s">
        <v>162</v>
      </c>
      <c r="B47" s="14" t="s">
        <v>163</v>
      </c>
      <c r="C47" s="15" t="n">
        <v>2495</v>
      </c>
      <c r="D47" s="15" t="n">
        <v>2097</v>
      </c>
      <c r="E47" s="13" t="s">
        <v>82</v>
      </c>
      <c r="F47" s="15" t="str">
        <f aca="false">IF(C47&gt;=J47,"ja","nein")</f>
        <v>ja</v>
      </c>
      <c r="G47" s="15" t="str">
        <f aca="false">IF(C47&gt;=K47,"ja","nein")</f>
        <v>ja</v>
      </c>
      <c r="H47" s="15" t="str">
        <f aca="false">IF(C47&gt;=L47,"ja","nein")</f>
        <v>ja</v>
      </c>
      <c r="I47" s="15" t="str">
        <f aca="false">IF(C47&gt;=M47,"ja","nein")</f>
        <v>ja</v>
      </c>
      <c r="J47" s="15" t="n">
        <f aca="false">ROUND(Annahmen!$K$35*(1+Annahmen!$B$20*D47/1000),0)</f>
        <v>999</v>
      </c>
      <c r="K47" s="15" t="n">
        <f aca="false">ROUND(Annahmen!$K$36*(1+Annahmen!$B$20*D47/1000),0)</f>
        <v>1297</v>
      </c>
      <c r="L47" s="15" t="n">
        <f aca="false">ROUND(Annahmen!$K$37*(1+Annahmen!$B$20*D47/1000),0)</f>
        <v>1325</v>
      </c>
      <c r="M47" s="15" t="n">
        <f aca="false">ROUND(Annahmen!$K$38*(1+Annahmen!$B$20*D47/1000),0)</f>
        <v>1325</v>
      </c>
      <c r="N47" s="16" t="s">
        <v>102</v>
      </c>
    </row>
    <row r="48" customFormat="false" ht="15" hidden="false" customHeight="false" outlineLevel="0" collapsed="false">
      <c r="A48" s="13" t="s">
        <v>164</v>
      </c>
      <c r="B48" s="14" t="s">
        <v>165</v>
      </c>
      <c r="C48" s="15" t="n">
        <v>2486</v>
      </c>
      <c r="D48" s="15" t="n">
        <v>656</v>
      </c>
      <c r="E48" s="13" t="s">
        <v>82</v>
      </c>
      <c r="F48" s="15" t="str">
        <f aca="false">IF(C48&gt;=J48,"ja","nein")</f>
        <v>ja</v>
      </c>
      <c r="G48" s="15" t="str">
        <f aca="false">IF(C48&gt;=K48,"ja","nein")</f>
        <v>ja</v>
      </c>
      <c r="H48" s="15" t="str">
        <f aca="false">IF(C48&gt;=L48,"ja","nein")</f>
        <v>ja</v>
      </c>
      <c r="I48" s="15" t="str">
        <f aca="false">IF(C48&gt;=M48,"ja","nein")</f>
        <v>ja</v>
      </c>
      <c r="J48" s="15" t="n">
        <f aca="false">ROUND(Annahmen!$K$35*(1+Annahmen!$B$20*D48/1000),0)</f>
        <v>890</v>
      </c>
      <c r="K48" s="15" t="n">
        <f aca="false">ROUND(Annahmen!$K$36*(1+Annahmen!$B$20*D48/1000),0)</f>
        <v>1155</v>
      </c>
      <c r="L48" s="15" t="n">
        <f aca="false">ROUND(Annahmen!$K$37*(1+Annahmen!$B$20*D48/1000),0)</f>
        <v>1181</v>
      </c>
      <c r="M48" s="15" t="n">
        <f aca="false">ROUND(Annahmen!$K$38*(1+Annahmen!$B$20*D48/1000),0)</f>
        <v>1181</v>
      </c>
      <c r="N48" s="16" t="s">
        <v>102</v>
      </c>
    </row>
    <row r="49" customFormat="false" ht="15" hidden="false" customHeight="false" outlineLevel="0" collapsed="false">
      <c r="A49" s="13" t="s">
        <v>166</v>
      </c>
      <c r="B49" s="14" t="s">
        <v>167</v>
      </c>
      <c r="C49" s="15" t="n">
        <v>2467</v>
      </c>
      <c r="D49" s="15" t="n">
        <v>660</v>
      </c>
      <c r="E49" s="13" t="s">
        <v>82</v>
      </c>
      <c r="F49" s="15" t="str">
        <f aca="false">IF(C49&gt;=J49,"ja","nein")</f>
        <v>ja</v>
      </c>
      <c r="G49" s="15" t="str">
        <f aca="false">IF(C49&gt;=K49,"ja","nein")</f>
        <v>ja</v>
      </c>
      <c r="H49" s="15" t="str">
        <f aca="false">IF(C49&gt;=L49,"ja","nein")</f>
        <v>ja</v>
      </c>
      <c r="I49" s="15" t="str">
        <f aca="false">IF(C49&gt;=M49,"ja","nein")</f>
        <v>ja</v>
      </c>
      <c r="J49" s="15" t="n">
        <f aca="false">ROUND(Annahmen!$K$35*(1+Annahmen!$B$20*D49/1000),0)</f>
        <v>890</v>
      </c>
      <c r="K49" s="15" t="n">
        <f aca="false">ROUND(Annahmen!$K$36*(1+Annahmen!$B$20*D49/1000),0)</f>
        <v>1156</v>
      </c>
      <c r="L49" s="15" t="n">
        <f aca="false">ROUND(Annahmen!$K$37*(1+Annahmen!$B$20*D49/1000),0)</f>
        <v>1181</v>
      </c>
      <c r="M49" s="15" t="n">
        <f aca="false">ROUND(Annahmen!$K$38*(1+Annahmen!$B$20*D49/1000),0)</f>
        <v>1181</v>
      </c>
      <c r="N49" s="16" t="s">
        <v>86</v>
      </c>
    </row>
    <row r="50" customFormat="false" ht="15" hidden="false" customHeight="false" outlineLevel="0" collapsed="false">
      <c r="A50" s="13" t="s">
        <v>168</v>
      </c>
      <c r="B50" s="14" t="s">
        <v>169</v>
      </c>
      <c r="C50" s="15" t="n">
        <v>2450</v>
      </c>
      <c r="D50" s="15" t="n">
        <v>285</v>
      </c>
      <c r="E50" s="13" t="s">
        <v>82</v>
      </c>
      <c r="F50" s="15" t="str">
        <f aca="false">IF(C50&gt;=J50,"ja","nein")</f>
        <v>ja</v>
      </c>
      <c r="G50" s="15" t="str">
        <f aca="false">IF(C50&gt;=K50,"ja","nein")</f>
        <v>ja</v>
      </c>
      <c r="H50" s="15" t="str">
        <f aca="false">IF(C50&gt;=L50,"ja","nein")</f>
        <v>ja</v>
      </c>
      <c r="I50" s="15" t="str">
        <f aca="false">IF(C50&gt;=M50,"ja","nein")</f>
        <v>ja</v>
      </c>
      <c r="J50" s="15" t="n">
        <f aca="false">ROUND(Annahmen!$K$35*(1+Annahmen!$B$20*D50/1000),0)</f>
        <v>862</v>
      </c>
      <c r="K50" s="15" t="n">
        <f aca="false">ROUND(Annahmen!$K$36*(1+Annahmen!$B$20*D50/1000),0)</f>
        <v>1119</v>
      </c>
      <c r="L50" s="15" t="n">
        <f aca="false">ROUND(Annahmen!$K$37*(1+Annahmen!$B$20*D50/1000),0)</f>
        <v>1144</v>
      </c>
      <c r="M50" s="15" t="n">
        <f aca="false">ROUND(Annahmen!$K$38*(1+Annahmen!$B$20*D50/1000),0)</f>
        <v>1144</v>
      </c>
      <c r="N50" s="16" t="s">
        <v>86</v>
      </c>
    </row>
    <row r="51" customFormat="false" ht="15" hidden="false" customHeight="false" outlineLevel="0" collapsed="false">
      <c r="A51" s="13" t="s">
        <v>170</v>
      </c>
      <c r="B51" s="14" t="s">
        <v>171</v>
      </c>
      <c r="C51" s="15" t="n">
        <v>2099</v>
      </c>
      <c r="D51" s="15" t="n">
        <v>200</v>
      </c>
      <c r="E51" s="13" t="s">
        <v>82</v>
      </c>
      <c r="F51" s="15" t="str">
        <f aca="false">IF(C51&gt;=J51,"ja","nein")</f>
        <v>ja</v>
      </c>
      <c r="G51" s="15" t="str">
        <f aca="false">IF(C51&gt;=K51,"ja","nein")</f>
        <v>ja</v>
      </c>
      <c r="H51" s="15" t="str">
        <f aca="false">IF(C51&gt;=L51,"ja","nein")</f>
        <v>ja</v>
      </c>
      <c r="I51" s="15" t="str">
        <f aca="false">IF(C51&gt;=M51,"ja","nein")</f>
        <v>ja</v>
      </c>
      <c r="J51" s="15" t="n">
        <f aca="false">ROUND(Annahmen!$K$35*(1+Annahmen!$B$20*D51/1000),0)</f>
        <v>855</v>
      </c>
      <c r="K51" s="15" t="n">
        <f aca="false">ROUND(Annahmen!$K$36*(1+Annahmen!$B$20*D51/1000),0)</f>
        <v>1111</v>
      </c>
      <c r="L51" s="15" t="n">
        <f aca="false">ROUND(Annahmen!$K$37*(1+Annahmen!$B$20*D51/1000),0)</f>
        <v>1135</v>
      </c>
      <c r="M51" s="15" t="n">
        <f aca="false">ROUND(Annahmen!$K$38*(1+Annahmen!$B$20*D51/1000),0)</f>
        <v>1135</v>
      </c>
      <c r="N51" s="16" t="s">
        <v>102</v>
      </c>
    </row>
    <row r="52" customFormat="false" ht="15" hidden="false" customHeight="false" outlineLevel="0" collapsed="false">
      <c r="A52" s="13" t="s">
        <v>172</v>
      </c>
      <c r="B52" s="14" t="s">
        <v>173</v>
      </c>
      <c r="C52" s="15" t="n">
        <v>600</v>
      </c>
      <c r="D52" s="15" t="n">
        <v>2113</v>
      </c>
      <c r="E52" s="13" t="s">
        <v>82</v>
      </c>
      <c r="F52" s="15" t="str">
        <f aca="false">IF(C52&gt;=J52,"ja","nein")</f>
        <v>nein</v>
      </c>
      <c r="G52" s="15" t="str">
        <f aca="false">IF(C52&gt;=K52,"ja","nein")</f>
        <v>nein</v>
      </c>
      <c r="H52" s="15" t="str">
        <f aca="false">IF(C52&gt;=L52,"ja","nein")</f>
        <v>nein</v>
      </c>
      <c r="I52" s="15" t="str">
        <f aca="false">IF(C52&gt;=M52,"ja","nein")</f>
        <v>nein</v>
      </c>
      <c r="J52" s="15" t="n">
        <f aca="false">ROUND(Annahmen!$K$35*(1+Annahmen!$B$20*D52/1000),0)</f>
        <v>1000</v>
      </c>
      <c r="K52" s="15" t="n">
        <f aca="false">ROUND(Annahmen!$K$36*(1+Annahmen!$B$20*D52/1000),0)</f>
        <v>1298</v>
      </c>
      <c r="L52" s="15" t="n">
        <f aca="false">ROUND(Annahmen!$K$37*(1+Annahmen!$B$20*D52/1000),0)</f>
        <v>1327</v>
      </c>
      <c r="M52" s="15" t="n">
        <f aca="false">ROUND(Annahmen!$K$38*(1+Annahmen!$B$20*D52/1000),0)</f>
        <v>1327</v>
      </c>
      <c r="N52" s="16" t="s">
        <v>102</v>
      </c>
    </row>
    <row r="53" customFormat="false" ht="15" hidden="false" customHeight="false" outlineLevel="0" collapsed="false">
      <c r="A53" s="11" t="s">
        <v>174</v>
      </c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</row>
    <row r="54" customFormat="false" ht="15" hidden="false" customHeight="false" outlineLevel="0" collapsed="false">
      <c r="A54" s="13" t="s">
        <v>175</v>
      </c>
      <c r="B54" s="14" t="s">
        <v>176</v>
      </c>
      <c r="C54" s="15" t="n">
        <v>4000</v>
      </c>
      <c r="D54" s="15" t="n">
        <v>157</v>
      </c>
      <c r="E54" s="13" t="s">
        <v>82</v>
      </c>
      <c r="F54" s="15" t="str">
        <f aca="false">IF(C54&gt;=J54,"ja","nein")</f>
        <v>ja</v>
      </c>
      <c r="G54" s="15" t="str">
        <f aca="false">IF(C54&gt;=K54,"ja","nein")</f>
        <v>ja</v>
      </c>
      <c r="H54" s="15" t="str">
        <f aca="false">IF(C54&gt;=L54,"ja","nein")</f>
        <v>ja</v>
      </c>
      <c r="I54" s="15" t="str">
        <f aca="false">IF(C54&gt;=M54,"ja","nein")</f>
        <v>ja</v>
      </c>
      <c r="J54" s="15" t="n">
        <f aca="false">ROUND(Annahmen!$K$35*(1+Annahmen!$B$20*D54/1000),0)</f>
        <v>852</v>
      </c>
      <c r="K54" s="15" t="n">
        <f aca="false">ROUND(Annahmen!$K$36*(1+Annahmen!$B$20*D54/1000),0)</f>
        <v>1106</v>
      </c>
      <c r="L54" s="15" t="n">
        <f aca="false">ROUND(Annahmen!$K$37*(1+Annahmen!$B$20*D54/1000),0)</f>
        <v>1131</v>
      </c>
      <c r="M54" s="15" t="n">
        <f aca="false">ROUND(Annahmen!$K$38*(1+Annahmen!$B$20*D54/1000),0)</f>
        <v>1131</v>
      </c>
      <c r="N54" s="16" t="s">
        <v>177</v>
      </c>
    </row>
    <row r="55" customFormat="false" ht="15" hidden="false" customHeight="false" outlineLevel="0" collapsed="false">
      <c r="A55" s="13" t="s">
        <v>178</v>
      </c>
      <c r="B55" s="14" t="s">
        <v>179</v>
      </c>
      <c r="C55" s="15" t="n">
        <v>4000</v>
      </c>
      <c r="D55" s="15" t="n">
        <v>364</v>
      </c>
      <c r="E55" s="13" t="s">
        <v>82</v>
      </c>
      <c r="F55" s="15" t="str">
        <f aca="false">IF(C55&gt;=J55,"ja","nein")</f>
        <v>ja</v>
      </c>
      <c r="G55" s="15" t="str">
        <f aca="false">IF(C55&gt;=K55,"ja","nein")</f>
        <v>ja</v>
      </c>
      <c r="H55" s="15" t="str">
        <f aca="false">IF(C55&gt;=L55,"ja","nein")</f>
        <v>ja</v>
      </c>
      <c r="I55" s="15" t="str">
        <f aca="false">IF(C55&gt;=M55,"ja","nein")</f>
        <v>ja</v>
      </c>
      <c r="J55" s="15" t="n">
        <f aca="false">ROUND(Annahmen!$K$35*(1+Annahmen!$B$20*D55/1000),0)</f>
        <v>868</v>
      </c>
      <c r="K55" s="15" t="n">
        <f aca="false">ROUND(Annahmen!$K$36*(1+Annahmen!$B$20*D55/1000),0)</f>
        <v>1127</v>
      </c>
      <c r="L55" s="15" t="n">
        <f aca="false">ROUND(Annahmen!$K$37*(1+Annahmen!$B$20*D55/1000),0)</f>
        <v>1152</v>
      </c>
      <c r="M55" s="15" t="n">
        <f aca="false">ROUND(Annahmen!$K$38*(1+Annahmen!$B$20*D55/1000),0)</f>
        <v>1152</v>
      </c>
      <c r="N55" s="16" t="s">
        <v>180</v>
      </c>
    </row>
    <row r="56" customFormat="false" ht="15" hidden="false" customHeight="false" outlineLevel="0" collapsed="false">
      <c r="A56" s="13" t="s">
        <v>181</v>
      </c>
      <c r="B56" s="14" t="s">
        <v>182</v>
      </c>
      <c r="C56" s="15" t="n">
        <v>4000</v>
      </c>
      <c r="D56" s="15" t="n">
        <v>1487</v>
      </c>
      <c r="E56" s="13" t="s">
        <v>82</v>
      </c>
      <c r="F56" s="15" t="str">
        <f aca="false">IF(C56&gt;=J56,"ja","nein")</f>
        <v>ja</v>
      </c>
      <c r="G56" s="15" t="str">
        <f aca="false">IF(C56&gt;=K56,"ja","nein")</f>
        <v>ja</v>
      </c>
      <c r="H56" s="15" t="str">
        <f aca="false">IF(C56&gt;=L56,"ja","nein")</f>
        <v>ja</v>
      </c>
      <c r="I56" s="15" t="str">
        <f aca="false">IF(C56&gt;=M56,"ja","nein")</f>
        <v>ja</v>
      </c>
      <c r="J56" s="15" t="n">
        <f aca="false">ROUND(Annahmen!$K$35*(1+Annahmen!$B$20*D56/1000),0)</f>
        <v>952</v>
      </c>
      <c r="K56" s="15" t="n">
        <f aca="false">ROUND(Annahmen!$K$36*(1+Annahmen!$B$20*D56/1000),0)</f>
        <v>1237</v>
      </c>
      <c r="L56" s="15" t="n">
        <f aca="false">ROUND(Annahmen!$K$37*(1+Annahmen!$B$20*D56/1000),0)</f>
        <v>1264</v>
      </c>
      <c r="M56" s="15" t="n">
        <f aca="false">ROUND(Annahmen!$K$38*(1+Annahmen!$B$20*D56/1000),0)</f>
        <v>1264</v>
      </c>
      <c r="N56" s="16" t="s">
        <v>183</v>
      </c>
    </row>
    <row r="57" customFormat="false" ht="15" hidden="false" customHeight="false" outlineLevel="0" collapsed="false">
      <c r="A57" s="13" t="s">
        <v>184</v>
      </c>
      <c r="B57" s="14" t="s">
        <v>185</v>
      </c>
      <c r="C57" s="15" t="n">
        <v>3815</v>
      </c>
      <c r="D57" s="15" t="n">
        <v>302</v>
      </c>
      <c r="E57" s="13" t="s">
        <v>82</v>
      </c>
      <c r="F57" s="15" t="str">
        <f aca="false">IF(C57&gt;=J57,"ja","nein")</f>
        <v>ja</v>
      </c>
      <c r="G57" s="15" t="str">
        <f aca="false">IF(C57&gt;=K57,"ja","nein")</f>
        <v>ja</v>
      </c>
      <c r="H57" s="15" t="str">
        <f aca="false">IF(C57&gt;=L57,"ja","nein")</f>
        <v>ja</v>
      </c>
      <c r="I57" s="15" t="str">
        <f aca="false">IF(C57&gt;=M57,"ja","nein")</f>
        <v>ja</v>
      </c>
      <c r="J57" s="15" t="n">
        <f aca="false">ROUND(Annahmen!$K$35*(1+Annahmen!$B$20*D57/1000),0)</f>
        <v>863</v>
      </c>
      <c r="K57" s="15" t="n">
        <f aca="false">ROUND(Annahmen!$K$36*(1+Annahmen!$B$20*D57/1000),0)</f>
        <v>1121</v>
      </c>
      <c r="L57" s="15" t="n">
        <f aca="false">ROUND(Annahmen!$K$37*(1+Annahmen!$B$20*D57/1000),0)</f>
        <v>1145</v>
      </c>
      <c r="M57" s="15" t="n">
        <f aca="false">ROUND(Annahmen!$K$38*(1+Annahmen!$B$20*D57/1000),0)</f>
        <v>1145</v>
      </c>
      <c r="N57" s="16" t="s">
        <v>83</v>
      </c>
    </row>
    <row r="58" customFormat="false" ht="15" hidden="false" customHeight="false" outlineLevel="0" collapsed="false">
      <c r="A58" s="13" t="s">
        <v>186</v>
      </c>
      <c r="B58" s="14" t="s">
        <v>187</v>
      </c>
      <c r="C58" s="15" t="n">
        <v>3800</v>
      </c>
      <c r="D58" s="15" t="n">
        <v>1649</v>
      </c>
      <c r="E58" s="13" t="s">
        <v>82</v>
      </c>
      <c r="F58" s="15" t="str">
        <f aca="false">IF(C58&gt;=J58,"ja","nein")</f>
        <v>ja</v>
      </c>
      <c r="G58" s="15" t="str">
        <f aca="false">IF(C58&gt;=K58,"ja","nein")</f>
        <v>ja</v>
      </c>
      <c r="H58" s="15" t="str">
        <f aca="false">IF(C58&gt;=L58,"ja","nein")</f>
        <v>ja</v>
      </c>
      <c r="I58" s="15" t="str">
        <f aca="false">IF(C58&gt;=M58,"ja","nein")</f>
        <v>ja</v>
      </c>
      <c r="J58" s="15" t="n">
        <f aca="false">ROUND(Annahmen!$K$35*(1+Annahmen!$B$20*D58/1000),0)</f>
        <v>965</v>
      </c>
      <c r="K58" s="15" t="n">
        <f aca="false">ROUND(Annahmen!$K$36*(1+Annahmen!$B$20*D58/1000),0)</f>
        <v>1253</v>
      </c>
      <c r="L58" s="15" t="n">
        <f aca="false">ROUND(Annahmen!$K$37*(1+Annahmen!$B$20*D58/1000),0)</f>
        <v>1280</v>
      </c>
      <c r="M58" s="15" t="n">
        <f aca="false">ROUND(Annahmen!$K$38*(1+Annahmen!$B$20*D58/1000),0)</f>
        <v>1280</v>
      </c>
      <c r="N58" s="16" t="s">
        <v>83</v>
      </c>
    </row>
    <row r="59" customFormat="false" ht="15" hidden="false" customHeight="false" outlineLevel="0" collapsed="false">
      <c r="A59" s="13" t="s">
        <v>188</v>
      </c>
      <c r="B59" s="14" t="s">
        <v>189</v>
      </c>
      <c r="C59" s="15" t="n">
        <v>3790</v>
      </c>
      <c r="D59" s="15" t="n">
        <v>183</v>
      </c>
      <c r="E59" s="13" t="s">
        <v>82</v>
      </c>
      <c r="F59" s="15" t="str">
        <f aca="false">IF(C59&gt;=J59,"ja","nein")</f>
        <v>ja</v>
      </c>
      <c r="G59" s="15" t="str">
        <f aca="false">IF(C59&gt;=K59,"ja","nein")</f>
        <v>ja</v>
      </c>
      <c r="H59" s="15" t="str">
        <f aca="false">IF(C59&gt;=L59,"ja","nein")</f>
        <v>ja</v>
      </c>
      <c r="I59" s="15" t="str">
        <f aca="false">IF(C59&gt;=M59,"ja","nein")</f>
        <v>ja</v>
      </c>
      <c r="J59" s="15" t="n">
        <f aca="false">ROUND(Annahmen!$K$35*(1+Annahmen!$B$20*D59/1000),0)</f>
        <v>854</v>
      </c>
      <c r="K59" s="15" t="n">
        <f aca="false">ROUND(Annahmen!$K$36*(1+Annahmen!$B$20*D59/1000),0)</f>
        <v>1109</v>
      </c>
      <c r="L59" s="15" t="n">
        <f aca="false">ROUND(Annahmen!$K$37*(1+Annahmen!$B$20*D59/1000),0)</f>
        <v>1133</v>
      </c>
      <c r="M59" s="15" t="n">
        <f aca="false">ROUND(Annahmen!$K$38*(1+Annahmen!$B$20*D59/1000),0)</f>
        <v>1133</v>
      </c>
      <c r="N59" s="16" t="s">
        <v>83</v>
      </c>
    </row>
    <row r="60" customFormat="false" ht="15" hidden="false" customHeight="false" outlineLevel="0" collapsed="false">
      <c r="A60" s="13" t="s">
        <v>190</v>
      </c>
      <c r="B60" s="14" t="s">
        <v>191</v>
      </c>
      <c r="C60" s="15" t="n">
        <v>3666</v>
      </c>
      <c r="D60" s="15" t="n">
        <v>53</v>
      </c>
      <c r="E60" s="13" t="s">
        <v>82</v>
      </c>
      <c r="F60" s="15" t="str">
        <f aca="false">IF(C60&gt;=J60,"ja","nein")</f>
        <v>ja</v>
      </c>
      <c r="G60" s="15" t="str">
        <f aca="false">IF(C60&gt;=K60,"ja","nein")</f>
        <v>ja</v>
      </c>
      <c r="H60" s="15" t="str">
        <f aca="false">IF(C60&gt;=L60,"ja","nein")</f>
        <v>ja</v>
      </c>
      <c r="I60" s="15" t="str">
        <f aca="false">IF(C60&gt;=M60,"ja","nein")</f>
        <v>ja</v>
      </c>
      <c r="J60" s="15" t="n">
        <f aca="false">ROUND(Annahmen!$K$35*(1+Annahmen!$B$20*D60/1000),0)</f>
        <v>844</v>
      </c>
      <c r="K60" s="15" t="n">
        <f aca="false">ROUND(Annahmen!$K$36*(1+Annahmen!$B$20*D60/1000),0)</f>
        <v>1096</v>
      </c>
      <c r="L60" s="15" t="n">
        <f aca="false">ROUND(Annahmen!$K$37*(1+Annahmen!$B$20*D60/1000),0)</f>
        <v>1120</v>
      </c>
      <c r="M60" s="15" t="n">
        <f aca="false">ROUND(Annahmen!$K$38*(1+Annahmen!$B$20*D60/1000),0)</f>
        <v>1120</v>
      </c>
      <c r="N60" s="16" t="s">
        <v>83</v>
      </c>
    </row>
    <row r="61" customFormat="false" ht="15" hidden="false" customHeight="false" outlineLevel="0" collapsed="false">
      <c r="A61" s="13" t="s">
        <v>192</v>
      </c>
      <c r="B61" s="14" t="s">
        <v>193</v>
      </c>
      <c r="C61" s="15" t="n">
        <v>3600</v>
      </c>
      <c r="D61" s="15" t="n">
        <v>465</v>
      </c>
      <c r="E61" s="13" t="s">
        <v>82</v>
      </c>
      <c r="F61" s="15" t="str">
        <f aca="false">IF(C61&gt;=J61,"ja","nein")</f>
        <v>ja</v>
      </c>
      <c r="G61" s="15" t="str">
        <f aca="false">IF(C61&gt;=K61,"ja","nein")</f>
        <v>ja</v>
      </c>
      <c r="H61" s="15" t="str">
        <f aca="false">IF(C61&gt;=L61,"ja","nein")</f>
        <v>ja</v>
      </c>
      <c r="I61" s="15" t="str">
        <f aca="false">IF(C61&gt;=M61,"ja","nein")</f>
        <v>ja</v>
      </c>
      <c r="J61" s="15" t="n">
        <f aca="false">ROUND(Annahmen!$K$35*(1+Annahmen!$B$20*D61/1000),0)</f>
        <v>875</v>
      </c>
      <c r="K61" s="15" t="n">
        <f aca="false">ROUND(Annahmen!$K$36*(1+Annahmen!$B$20*D61/1000),0)</f>
        <v>1137</v>
      </c>
      <c r="L61" s="15" t="n">
        <f aca="false">ROUND(Annahmen!$K$37*(1+Annahmen!$B$20*D61/1000),0)</f>
        <v>1162</v>
      </c>
      <c r="M61" s="15" t="n">
        <f aca="false">ROUND(Annahmen!$K$38*(1+Annahmen!$B$20*D61/1000),0)</f>
        <v>1162</v>
      </c>
      <c r="N61" s="16" t="s">
        <v>83</v>
      </c>
    </row>
    <row r="62" customFormat="false" ht="15" hidden="false" customHeight="false" outlineLevel="0" collapsed="false">
      <c r="A62" s="13" t="s">
        <v>194</v>
      </c>
      <c r="B62" s="14" t="s">
        <v>195</v>
      </c>
      <c r="C62" s="15" t="n">
        <v>3345</v>
      </c>
      <c r="D62" s="15" t="n">
        <v>1276</v>
      </c>
      <c r="E62" s="13" t="s">
        <v>82</v>
      </c>
      <c r="F62" s="15" t="str">
        <f aca="false">IF(C62&gt;=J62,"ja","nein")</f>
        <v>ja</v>
      </c>
      <c r="G62" s="15" t="str">
        <f aca="false">IF(C62&gt;=K62,"ja","nein")</f>
        <v>ja</v>
      </c>
      <c r="H62" s="15" t="str">
        <f aca="false">IF(C62&gt;=L62,"ja","nein")</f>
        <v>ja</v>
      </c>
      <c r="I62" s="15" t="str">
        <f aca="false">IF(C62&gt;=M62,"ja","nein")</f>
        <v>ja</v>
      </c>
      <c r="J62" s="15" t="n">
        <f aca="false">ROUND(Annahmen!$K$35*(1+Annahmen!$B$20*D62/1000),0)</f>
        <v>936</v>
      </c>
      <c r="K62" s="15" t="n">
        <f aca="false">ROUND(Annahmen!$K$36*(1+Annahmen!$B$20*D62/1000),0)</f>
        <v>1216</v>
      </c>
      <c r="L62" s="15" t="n">
        <f aca="false">ROUND(Annahmen!$K$37*(1+Annahmen!$B$20*D62/1000),0)</f>
        <v>1243</v>
      </c>
      <c r="M62" s="15" t="n">
        <f aca="false">ROUND(Annahmen!$K$38*(1+Annahmen!$B$20*D62/1000),0)</f>
        <v>1243</v>
      </c>
      <c r="N62" s="16" t="s">
        <v>83</v>
      </c>
    </row>
    <row r="63" customFormat="false" ht="15" hidden="false" customHeight="false" outlineLevel="0" collapsed="false">
      <c r="A63" s="13" t="s">
        <v>196</v>
      </c>
      <c r="B63" s="14" t="s">
        <v>197</v>
      </c>
      <c r="C63" s="15" t="n">
        <v>3056</v>
      </c>
      <c r="D63" s="15" t="n">
        <v>1220</v>
      </c>
      <c r="E63" s="13" t="s">
        <v>82</v>
      </c>
      <c r="F63" s="15" t="str">
        <f aca="false">IF(C63&gt;=J63,"ja","nein")</f>
        <v>ja</v>
      </c>
      <c r="G63" s="15" t="str">
        <f aca="false">IF(C63&gt;=K63,"ja","nein")</f>
        <v>ja</v>
      </c>
      <c r="H63" s="15" t="str">
        <f aca="false">IF(C63&gt;=L63,"ja","nein")</f>
        <v>ja</v>
      </c>
      <c r="I63" s="15" t="str">
        <f aca="false">IF(C63&gt;=M63,"ja","nein")</f>
        <v>ja</v>
      </c>
      <c r="J63" s="15" t="n">
        <f aca="false">ROUND(Annahmen!$K$35*(1+Annahmen!$B$20*D63/1000),0)</f>
        <v>932</v>
      </c>
      <c r="K63" s="15" t="n">
        <f aca="false">ROUND(Annahmen!$K$36*(1+Annahmen!$B$20*D63/1000),0)</f>
        <v>1211</v>
      </c>
      <c r="L63" s="15" t="n">
        <f aca="false">ROUND(Annahmen!$K$37*(1+Annahmen!$B$20*D63/1000),0)</f>
        <v>1237</v>
      </c>
      <c r="M63" s="15" t="n">
        <f aca="false">ROUND(Annahmen!$K$38*(1+Annahmen!$B$20*D63/1000),0)</f>
        <v>1237</v>
      </c>
      <c r="N63" s="16" t="s">
        <v>198</v>
      </c>
    </row>
    <row r="64" customFormat="false" ht="15" hidden="false" customHeight="false" outlineLevel="0" collapsed="false">
      <c r="A64" s="13" t="s">
        <v>199</v>
      </c>
      <c r="B64" s="14" t="s">
        <v>200</v>
      </c>
      <c r="C64" s="15" t="n">
        <v>3000</v>
      </c>
      <c r="D64" s="15" t="n">
        <v>147</v>
      </c>
      <c r="E64" s="13" t="s">
        <v>82</v>
      </c>
      <c r="F64" s="15" t="str">
        <f aca="false">IF(C64&gt;=J64,"ja","nein")</f>
        <v>ja</v>
      </c>
      <c r="G64" s="15" t="str">
        <f aca="false">IF(C64&gt;=K64,"ja","nein")</f>
        <v>ja</v>
      </c>
      <c r="H64" s="15" t="str">
        <f aca="false">IF(C64&gt;=L64,"ja","nein")</f>
        <v>ja</v>
      </c>
      <c r="I64" s="15" t="str">
        <f aca="false">IF(C64&gt;=M64,"ja","nein")</f>
        <v>ja</v>
      </c>
      <c r="J64" s="15" t="n">
        <f aca="false">ROUND(Annahmen!$K$35*(1+Annahmen!$B$20*D64/1000),0)</f>
        <v>851</v>
      </c>
      <c r="K64" s="15" t="n">
        <f aca="false">ROUND(Annahmen!$K$36*(1+Annahmen!$B$20*D64/1000),0)</f>
        <v>1105</v>
      </c>
      <c r="L64" s="15" t="n">
        <f aca="false">ROUND(Annahmen!$K$37*(1+Annahmen!$B$20*D64/1000),0)</f>
        <v>1130</v>
      </c>
      <c r="M64" s="15" t="n">
        <f aca="false">ROUND(Annahmen!$K$38*(1+Annahmen!$B$20*D64/1000),0)</f>
        <v>1130</v>
      </c>
      <c r="N64" s="16" t="s">
        <v>201</v>
      </c>
    </row>
    <row r="65" customFormat="false" ht="15" hidden="false" customHeight="false" outlineLevel="0" collapsed="false">
      <c r="A65" s="13" t="s">
        <v>202</v>
      </c>
      <c r="B65" s="14" t="s">
        <v>203</v>
      </c>
      <c r="C65" s="15" t="n">
        <v>3000</v>
      </c>
      <c r="D65" s="15" t="n">
        <v>511</v>
      </c>
      <c r="E65" s="13" t="s">
        <v>82</v>
      </c>
      <c r="F65" s="15" t="str">
        <f aca="false">IF(C65&gt;=J65,"ja","nein")</f>
        <v>ja</v>
      </c>
      <c r="G65" s="15" t="str">
        <f aca="false">IF(C65&gt;=K65,"ja","nein")</f>
        <v>ja</v>
      </c>
      <c r="H65" s="15" t="str">
        <f aca="false">IF(C65&gt;=L65,"ja","nein")</f>
        <v>ja</v>
      </c>
      <c r="I65" s="15" t="str">
        <f aca="false">IF(C65&gt;=M65,"ja","nein")</f>
        <v>ja</v>
      </c>
      <c r="J65" s="15" t="n">
        <f aca="false">ROUND(Annahmen!$K$35*(1+Annahmen!$B$20*D65/1000),0)</f>
        <v>879</v>
      </c>
      <c r="K65" s="15" t="n">
        <f aca="false">ROUND(Annahmen!$K$36*(1+Annahmen!$B$20*D65/1000),0)</f>
        <v>1141</v>
      </c>
      <c r="L65" s="15" t="n">
        <f aca="false">ROUND(Annahmen!$K$37*(1+Annahmen!$B$20*D65/1000),0)</f>
        <v>1166</v>
      </c>
      <c r="M65" s="15" t="n">
        <f aca="false">ROUND(Annahmen!$K$38*(1+Annahmen!$B$20*D65/1000),0)</f>
        <v>1166</v>
      </c>
      <c r="N65" s="16" t="s">
        <v>204</v>
      </c>
    </row>
    <row r="66" customFormat="false" ht="15" hidden="false" customHeight="false" outlineLevel="0" collapsed="false">
      <c r="A66" s="13" t="s">
        <v>205</v>
      </c>
      <c r="B66" s="14" t="s">
        <v>206</v>
      </c>
      <c r="C66" s="15" t="n">
        <v>2983</v>
      </c>
      <c r="D66" s="15" t="n">
        <v>408</v>
      </c>
      <c r="E66" s="13" t="s">
        <v>82</v>
      </c>
      <c r="F66" s="15" t="str">
        <f aca="false">IF(C66&gt;=J66,"ja","nein")</f>
        <v>ja</v>
      </c>
      <c r="G66" s="15" t="str">
        <f aca="false">IF(C66&gt;=K66,"ja","nein")</f>
        <v>ja</v>
      </c>
      <c r="H66" s="15" t="str">
        <f aca="false">IF(C66&gt;=L66,"ja","nein")</f>
        <v>ja</v>
      </c>
      <c r="I66" s="15" t="str">
        <f aca="false">IF(C66&gt;=M66,"ja","nein")</f>
        <v>ja</v>
      </c>
      <c r="J66" s="15" t="n">
        <f aca="false">ROUND(Annahmen!$K$35*(1+Annahmen!$B$20*D66/1000),0)</f>
        <v>871</v>
      </c>
      <c r="K66" s="15" t="n">
        <f aca="false">ROUND(Annahmen!$K$36*(1+Annahmen!$B$20*D66/1000),0)</f>
        <v>1131</v>
      </c>
      <c r="L66" s="15" t="n">
        <f aca="false">ROUND(Annahmen!$K$37*(1+Annahmen!$B$20*D66/1000),0)</f>
        <v>1156</v>
      </c>
      <c r="M66" s="15" t="n">
        <f aca="false">ROUND(Annahmen!$K$38*(1+Annahmen!$B$20*D66/1000),0)</f>
        <v>1156</v>
      </c>
      <c r="N66" s="16" t="s">
        <v>83</v>
      </c>
    </row>
    <row r="67" customFormat="false" ht="15" hidden="false" customHeight="false" outlineLevel="0" collapsed="false">
      <c r="A67" s="13" t="s">
        <v>207</v>
      </c>
      <c r="B67" s="14" t="s">
        <v>208</v>
      </c>
      <c r="C67" s="15" t="n">
        <v>2940</v>
      </c>
      <c r="D67" s="15" t="n">
        <v>1202</v>
      </c>
      <c r="E67" s="13" t="s">
        <v>82</v>
      </c>
      <c r="F67" s="15" t="str">
        <f aca="false">IF(C67&gt;=J67,"ja","nein")</f>
        <v>ja</v>
      </c>
      <c r="G67" s="15" t="str">
        <f aca="false">IF(C67&gt;=K67,"ja","nein")</f>
        <v>ja</v>
      </c>
      <c r="H67" s="15" t="str">
        <f aca="false">IF(C67&gt;=L67,"ja","nein")</f>
        <v>ja</v>
      </c>
      <c r="I67" s="15" t="str">
        <f aca="false">IF(C67&gt;=M67,"ja","nein")</f>
        <v>ja</v>
      </c>
      <c r="J67" s="15" t="n">
        <f aca="false">ROUND(Annahmen!$K$35*(1+Annahmen!$B$20*D67/1000),0)</f>
        <v>931</v>
      </c>
      <c r="K67" s="15" t="n">
        <f aca="false">ROUND(Annahmen!$K$36*(1+Annahmen!$B$20*D67/1000),0)</f>
        <v>1209</v>
      </c>
      <c r="L67" s="15" t="n">
        <f aca="false">ROUND(Annahmen!$K$37*(1+Annahmen!$B$20*D67/1000),0)</f>
        <v>1236</v>
      </c>
      <c r="M67" s="15" t="n">
        <f aca="false">ROUND(Annahmen!$K$38*(1+Annahmen!$B$20*D67/1000),0)</f>
        <v>1236</v>
      </c>
      <c r="N67" s="16" t="s">
        <v>86</v>
      </c>
    </row>
    <row r="68" customFormat="false" ht="15" hidden="false" customHeight="false" outlineLevel="0" collapsed="false">
      <c r="A68" s="13" t="s">
        <v>209</v>
      </c>
      <c r="B68" s="14" t="s">
        <v>210</v>
      </c>
      <c r="C68" s="15" t="n">
        <v>2850</v>
      </c>
      <c r="D68" s="15" t="n">
        <v>755</v>
      </c>
      <c r="E68" s="13" t="s">
        <v>82</v>
      </c>
      <c r="F68" s="15" t="str">
        <f aca="false">IF(C68&gt;=J68,"ja","nein")</f>
        <v>ja</v>
      </c>
      <c r="G68" s="15" t="str">
        <f aca="false">IF(C68&gt;=K68,"ja","nein")</f>
        <v>ja</v>
      </c>
      <c r="H68" s="15" t="str">
        <f aca="false">IF(C68&gt;=L68,"ja","nein")</f>
        <v>ja</v>
      </c>
      <c r="I68" s="15" t="str">
        <f aca="false">IF(C68&gt;=M68,"ja","nein")</f>
        <v>ja</v>
      </c>
      <c r="J68" s="15" t="n">
        <f aca="false">ROUND(Annahmen!$K$35*(1+Annahmen!$B$20*D68/1000),0)</f>
        <v>897</v>
      </c>
      <c r="K68" s="15" t="n">
        <f aca="false">ROUND(Annahmen!$K$36*(1+Annahmen!$B$20*D68/1000),0)</f>
        <v>1165</v>
      </c>
      <c r="L68" s="15" t="n">
        <f aca="false">ROUND(Annahmen!$K$37*(1+Annahmen!$B$20*D68/1000),0)</f>
        <v>1191</v>
      </c>
      <c r="M68" s="15" t="n">
        <f aca="false">ROUND(Annahmen!$K$38*(1+Annahmen!$B$20*D68/1000),0)</f>
        <v>1191</v>
      </c>
      <c r="N68" s="16" t="s">
        <v>83</v>
      </c>
    </row>
    <row r="69" customFormat="false" ht="15" hidden="false" customHeight="false" outlineLevel="0" collapsed="false">
      <c r="A69" s="13" t="s">
        <v>211</v>
      </c>
      <c r="B69" s="14" t="s">
        <v>212</v>
      </c>
      <c r="C69" s="15" t="n">
        <v>2700</v>
      </c>
      <c r="D69" s="15" t="n">
        <v>1046</v>
      </c>
      <c r="E69" s="13" t="s">
        <v>82</v>
      </c>
      <c r="F69" s="15" t="str">
        <f aca="false">IF(C69&gt;=J69,"ja","nein")</f>
        <v>ja</v>
      </c>
      <c r="G69" s="15" t="str">
        <f aca="false">IF(C69&gt;=K69,"ja","nein")</f>
        <v>ja</v>
      </c>
      <c r="H69" s="15" t="str">
        <f aca="false">IF(C69&gt;=L69,"ja","nein")</f>
        <v>ja</v>
      </c>
      <c r="I69" s="15" t="str">
        <f aca="false">IF(C69&gt;=M69,"ja","nein")</f>
        <v>ja</v>
      </c>
      <c r="J69" s="15" t="n">
        <f aca="false">ROUND(Annahmen!$K$35*(1+Annahmen!$B$20*D69/1000),0)</f>
        <v>919</v>
      </c>
      <c r="K69" s="15" t="n">
        <f aca="false">ROUND(Annahmen!$K$36*(1+Annahmen!$B$20*D69/1000),0)</f>
        <v>1194</v>
      </c>
      <c r="L69" s="15" t="n">
        <f aca="false">ROUND(Annahmen!$K$37*(1+Annahmen!$B$20*D69/1000),0)</f>
        <v>1220</v>
      </c>
      <c r="M69" s="15" t="n">
        <f aca="false">ROUND(Annahmen!$K$38*(1+Annahmen!$B$20*D69/1000),0)</f>
        <v>1220</v>
      </c>
      <c r="N69" s="16" t="s">
        <v>83</v>
      </c>
    </row>
    <row r="70" customFormat="false" ht="15" hidden="false" customHeight="false" outlineLevel="0" collapsed="false">
      <c r="A70" s="13" t="s">
        <v>213</v>
      </c>
      <c r="B70" s="14" t="s">
        <v>214</v>
      </c>
      <c r="C70" s="15" t="n">
        <v>2675</v>
      </c>
      <c r="D70" s="15" t="n">
        <v>1132</v>
      </c>
      <c r="E70" s="13" t="s">
        <v>82</v>
      </c>
      <c r="F70" s="15" t="str">
        <f aca="false">IF(C70&gt;=J70,"ja","nein")</f>
        <v>ja</v>
      </c>
      <c r="G70" s="15" t="str">
        <f aca="false">IF(C70&gt;=K70,"ja","nein")</f>
        <v>ja</v>
      </c>
      <c r="H70" s="15" t="str">
        <f aca="false">IF(C70&gt;=L70,"ja","nein")</f>
        <v>ja</v>
      </c>
      <c r="I70" s="15" t="str">
        <f aca="false">IF(C70&gt;=M70,"ja","nein")</f>
        <v>ja</v>
      </c>
      <c r="J70" s="15" t="n">
        <f aca="false">ROUND(Annahmen!$K$35*(1+Annahmen!$B$20*D70/1000),0)</f>
        <v>926</v>
      </c>
      <c r="K70" s="15" t="n">
        <f aca="false">ROUND(Annahmen!$K$36*(1+Annahmen!$B$20*D70/1000),0)</f>
        <v>1202</v>
      </c>
      <c r="L70" s="15" t="n">
        <f aca="false">ROUND(Annahmen!$K$37*(1+Annahmen!$B$20*D70/1000),0)</f>
        <v>1229</v>
      </c>
      <c r="M70" s="15" t="n">
        <f aca="false">ROUND(Annahmen!$K$38*(1+Annahmen!$B$20*D70/1000),0)</f>
        <v>1229</v>
      </c>
      <c r="N70" s="16" t="s">
        <v>215</v>
      </c>
    </row>
    <row r="71" customFormat="false" ht="15" hidden="false" customHeight="false" outlineLevel="0" collapsed="false">
      <c r="A71" s="13" t="s">
        <v>216</v>
      </c>
      <c r="B71" s="14" t="s">
        <v>217</v>
      </c>
      <c r="C71" s="15" t="n">
        <v>2634</v>
      </c>
      <c r="D71" s="15" t="n">
        <v>14</v>
      </c>
      <c r="E71" s="13" t="s">
        <v>82</v>
      </c>
      <c r="F71" s="15" t="str">
        <f aca="false">IF(C71&gt;=J71,"ja","nein")</f>
        <v>ja</v>
      </c>
      <c r="G71" s="15" t="str">
        <f aca="false">IF(C71&gt;=K71,"ja","nein")</f>
        <v>ja</v>
      </c>
      <c r="H71" s="15" t="str">
        <f aca="false">IF(C71&gt;=L71,"ja","nein")</f>
        <v>ja</v>
      </c>
      <c r="I71" s="15" t="str">
        <f aca="false">IF(C71&gt;=M71,"ja","nein")</f>
        <v>ja</v>
      </c>
      <c r="J71" s="15" t="n">
        <f aca="false">ROUND(Annahmen!$K$35*(1+Annahmen!$B$20*D71/1000),0)</f>
        <v>841</v>
      </c>
      <c r="K71" s="15" t="n">
        <f aca="false">ROUND(Annahmen!$K$36*(1+Annahmen!$B$20*D71/1000),0)</f>
        <v>1092</v>
      </c>
      <c r="L71" s="15" t="n">
        <f aca="false">ROUND(Annahmen!$K$37*(1+Annahmen!$B$20*D71/1000),0)</f>
        <v>1116</v>
      </c>
      <c r="M71" s="15" t="n">
        <f aca="false">ROUND(Annahmen!$K$38*(1+Annahmen!$B$20*D71/1000),0)</f>
        <v>1116</v>
      </c>
      <c r="N71" s="16" t="s">
        <v>83</v>
      </c>
    </row>
    <row r="72" customFormat="false" ht="15" hidden="false" customHeight="false" outlineLevel="0" collapsed="false">
      <c r="A72" s="13" t="s">
        <v>218</v>
      </c>
      <c r="B72" s="14" t="s">
        <v>219</v>
      </c>
      <c r="C72" s="15" t="n">
        <v>2630</v>
      </c>
      <c r="D72" s="15" t="n">
        <v>23</v>
      </c>
      <c r="E72" s="13" t="s">
        <v>82</v>
      </c>
      <c r="F72" s="15" t="str">
        <f aca="false">IF(C72&gt;=J72,"ja","nein")</f>
        <v>ja</v>
      </c>
      <c r="G72" s="15" t="str">
        <f aca="false">IF(C72&gt;=K72,"ja","nein")</f>
        <v>ja</v>
      </c>
      <c r="H72" s="15" t="str">
        <f aca="false">IF(C72&gt;=L72,"ja","nein")</f>
        <v>ja</v>
      </c>
      <c r="I72" s="15" t="str">
        <f aca="false">IF(C72&gt;=M72,"ja","nein")</f>
        <v>ja</v>
      </c>
      <c r="J72" s="15" t="n">
        <f aca="false">ROUND(Annahmen!$K$35*(1+Annahmen!$B$20*D72/1000),0)</f>
        <v>842</v>
      </c>
      <c r="K72" s="15" t="n">
        <f aca="false">ROUND(Annahmen!$K$36*(1+Annahmen!$B$20*D72/1000),0)</f>
        <v>1093</v>
      </c>
      <c r="L72" s="15" t="n">
        <f aca="false">ROUND(Annahmen!$K$37*(1+Annahmen!$B$20*D72/1000),0)</f>
        <v>1117</v>
      </c>
      <c r="M72" s="15" t="n">
        <f aca="false">ROUND(Annahmen!$K$38*(1+Annahmen!$B$20*D72/1000),0)</f>
        <v>1117</v>
      </c>
      <c r="N72" s="16" t="s">
        <v>86</v>
      </c>
    </row>
    <row r="73" customFormat="false" ht="15" hidden="false" customHeight="false" outlineLevel="0" collapsed="false">
      <c r="A73" s="13" t="s">
        <v>220</v>
      </c>
      <c r="B73" s="14" t="s">
        <v>221</v>
      </c>
      <c r="C73" s="15" t="n">
        <v>2630</v>
      </c>
      <c r="D73" s="15" t="n">
        <v>2077</v>
      </c>
      <c r="E73" s="13" t="s">
        <v>82</v>
      </c>
      <c r="F73" s="15" t="str">
        <f aca="false">IF(C73&gt;=J73,"ja","nein")</f>
        <v>ja</v>
      </c>
      <c r="G73" s="15" t="str">
        <f aca="false">IF(C73&gt;=K73,"ja","nein")</f>
        <v>ja</v>
      </c>
      <c r="H73" s="15" t="str">
        <f aca="false">IF(C73&gt;=L73,"ja","nein")</f>
        <v>ja</v>
      </c>
      <c r="I73" s="15" t="str">
        <f aca="false">IF(C73&gt;=M73,"ja","nein")</f>
        <v>ja</v>
      </c>
      <c r="J73" s="15" t="n">
        <f aca="false">ROUND(Annahmen!$K$35*(1+Annahmen!$B$20*D73/1000),0)</f>
        <v>997</v>
      </c>
      <c r="K73" s="15" t="n">
        <f aca="false">ROUND(Annahmen!$K$36*(1+Annahmen!$B$20*D73/1000),0)</f>
        <v>1295</v>
      </c>
      <c r="L73" s="15" t="n">
        <f aca="false">ROUND(Annahmen!$K$37*(1+Annahmen!$B$20*D73/1000),0)</f>
        <v>1323</v>
      </c>
      <c r="M73" s="15" t="n">
        <f aca="false">ROUND(Annahmen!$K$38*(1+Annahmen!$B$20*D73/1000),0)</f>
        <v>1323</v>
      </c>
      <c r="N73" s="16" t="s">
        <v>83</v>
      </c>
    </row>
    <row r="74" customFormat="false" ht="15" hidden="false" customHeight="false" outlineLevel="0" collapsed="false">
      <c r="A74" s="13" t="s">
        <v>222</v>
      </c>
      <c r="B74" s="14" t="s">
        <v>223</v>
      </c>
      <c r="C74" s="15" t="n">
        <v>2600</v>
      </c>
      <c r="D74" s="15" t="n">
        <v>1036</v>
      </c>
      <c r="E74" s="13" t="s">
        <v>82</v>
      </c>
      <c r="F74" s="15" t="str">
        <f aca="false">IF(C74&gt;=J74,"ja","nein")</f>
        <v>ja</v>
      </c>
      <c r="G74" s="15" t="str">
        <f aca="false">IF(C74&gt;=K74,"ja","nein")</f>
        <v>ja</v>
      </c>
      <c r="H74" s="15" t="str">
        <f aca="false">IF(C74&gt;=L74,"ja","nein")</f>
        <v>ja</v>
      </c>
      <c r="I74" s="15" t="str">
        <f aca="false">IF(C74&gt;=M74,"ja","nein")</f>
        <v>ja</v>
      </c>
      <c r="J74" s="15" t="n">
        <f aca="false">ROUND(Annahmen!$K$35*(1+Annahmen!$B$20*D74/1000),0)</f>
        <v>918</v>
      </c>
      <c r="K74" s="15" t="n">
        <f aca="false">ROUND(Annahmen!$K$36*(1+Annahmen!$B$20*D74/1000),0)</f>
        <v>1193</v>
      </c>
      <c r="L74" s="15" t="n">
        <f aca="false">ROUND(Annahmen!$K$37*(1+Annahmen!$B$20*D74/1000),0)</f>
        <v>1219</v>
      </c>
      <c r="M74" s="15" t="n">
        <f aca="false">ROUND(Annahmen!$K$38*(1+Annahmen!$B$20*D74/1000),0)</f>
        <v>1219</v>
      </c>
      <c r="N74" s="16" t="s">
        <v>83</v>
      </c>
    </row>
    <row r="75" customFormat="false" ht="15" hidden="false" customHeight="false" outlineLevel="0" collapsed="false">
      <c r="A75" s="13" t="s">
        <v>224</v>
      </c>
      <c r="B75" s="14" t="s">
        <v>225</v>
      </c>
      <c r="C75" s="15" t="n">
        <v>2500</v>
      </c>
      <c r="D75" s="15" t="n">
        <v>599</v>
      </c>
      <c r="E75" s="13" t="s">
        <v>82</v>
      </c>
      <c r="F75" s="15" t="str">
        <f aca="false">IF(C75&gt;=J75,"ja","nein")</f>
        <v>ja</v>
      </c>
      <c r="G75" s="15" t="str">
        <f aca="false">IF(C75&gt;=K75,"ja","nein")</f>
        <v>ja</v>
      </c>
      <c r="H75" s="15" t="str">
        <f aca="false">IF(C75&gt;=L75,"ja","nein")</f>
        <v>ja</v>
      </c>
      <c r="I75" s="15" t="str">
        <f aca="false">IF(C75&gt;=M75,"ja","nein")</f>
        <v>ja</v>
      </c>
      <c r="J75" s="15" t="n">
        <f aca="false">ROUND(Annahmen!$K$35*(1+Annahmen!$B$20*D75/1000),0)</f>
        <v>885</v>
      </c>
      <c r="K75" s="15" t="n">
        <f aca="false">ROUND(Annahmen!$K$36*(1+Annahmen!$B$20*D75/1000),0)</f>
        <v>1150</v>
      </c>
      <c r="L75" s="15" t="n">
        <f aca="false">ROUND(Annahmen!$K$37*(1+Annahmen!$B$20*D75/1000),0)</f>
        <v>1175</v>
      </c>
      <c r="M75" s="15" t="n">
        <f aca="false">ROUND(Annahmen!$K$38*(1+Annahmen!$B$20*D75/1000),0)</f>
        <v>1175</v>
      </c>
      <c r="N75" s="16" t="s">
        <v>226</v>
      </c>
    </row>
    <row r="76" customFormat="false" ht="15" hidden="false" customHeight="false" outlineLevel="0" collapsed="false">
      <c r="A76" s="13" t="s">
        <v>227</v>
      </c>
      <c r="B76" s="14" t="s">
        <v>228</v>
      </c>
      <c r="C76" s="15" t="n">
        <v>2500</v>
      </c>
      <c r="D76" s="15" t="n">
        <v>820</v>
      </c>
      <c r="E76" s="13" t="s">
        <v>82</v>
      </c>
      <c r="F76" s="15" t="str">
        <f aca="false">IF(C76&gt;=J76,"ja","nein")</f>
        <v>ja</v>
      </c>
      <c r="G76" s="15" t="str">
        <f aca="false">IF(C76&gt;=K76,"ja","nein")</f>
        <v>ja</v>
      </c>
      <c r="H76" s="15" t="str">
        <f aca="false">IF(C76&gt;=L76,"ja","nein")</f>
        <v>ja</v>
      </c>
      <c r="I76" s="15" t="str">
        <f aca="false">IF(C76&gt;=M76,"ja","nein")</f>
        <v>ja</v>
      </c>
      <c r="J76" s="15" t="n">
        <f aca="false">ROUND(Annahmen!$K$35*(1+Annahmen!$B$20*D76/1000),0)</f>
        <v>902</v>
      </c>
      <c r="K76" s="15" t="n">
        <f aca="false">ROUND(Annahmen!$K$36*(1+Annahmen!$B$20*D76/1000),0)</f>
        <v>1172</v>
      </c>
      <c r="L76" s="15" t="n">
        <f aca="false">ROUND(Annahmen!$K$37*(1+Annahmen!$B$20*D76/1000),0)</f>
        <v>1197</v>
      </c>
      <c r="M76" s="15" t="n">
        <f aca="false">ROUND(Annahmen!$K$38*(1+Annahmen!$B$20*D76/1000),0)</f>
        <v>1197</v>
      </c>
      <c r="N76" s="16" t="s">
        <v>83</v>
      </c>
    </row>
    <row r="77" customFormat="false" ht="15" hidden="false" customHeight="false" outlineLevel="0" collapsed="false">
      <c r="A77" s="13" t="s">
        <v>229</v>
      </c>
      <c r="B77" s="14" t="s">
        <v>230</v>
      </c>
      <c r="C77" s="15" t="n">
        <v>2500</v>
      </c>
      <c r="D77" s="15" t="n">
        <v>138</v>
      </c>
      <c r="E77" s="13" t="s">
        <v>82</v>
      </c>
      <c r="F77" s="15" t="str">
        <f aca="false">IF(C77&gt;=J77,"ja","nein")</f>
        <v>ja</v>
      </c>
      <c r="G77" s="15" t="str">
        <f aca="false">IF(C77&gt;=K77,"ja","nein")</f>
        <v>ja</v>
      </c>
      <c r="H77" s="15" t="str">
        <f aca="false">IF(C77&gt;=L77,"ja","nein")</f>
        <v>ja</v>
      </c>
      <c r="I77" s="15" t="str">
        <f aca="false">IF(C77&gt;=M77,"ja","nein")</f>
        <v>ja</v>
      </c>
      <c r="J77" s="15" t="n">
        <f aca="false">ROUND(Annahmen!$K$35*(1+Annahmen!$B$20*D77/1000),0)</f>
        <v>850</v>
      </c>
      <c r="K77" s="15" t="n">
        <f aca="false">ROUND(Annahmen!$K$36*(1+Annahmen!$B$20*D77/1000),0)</f>
        <v>1105</v>
      </c>
      <c r="L77" s="15" t="n">
        <f aca="false">ROUND(Annahmen!$K$37*(1+Annahmen!$B$20*D77/1000),0)</f>
        <v>1129</v>
      </c>
      <c r="M77" s="15" t="n">
        <f aca="false">ROUND(Annahmen!$K$38*(1+Annahmen!$B$20*D77/1000),0)</f>
        <v>1129</v>
      </c>
      <c r="N77" s="16" t="s">
        <v>231</v>
      </c>
    </row>
    <row r="78" customFormat="false" ht="15" hidden="false" customHeight="false" outlineLevel="0" collapsed="false">
      <c r="A78" s="13" t="s">
        <v>232</v>
      </c>
      <c r="B78" s="14" t="s">
        <v>233</v>
      </c>
      <c r="C78" s="15" t="n">
        <v>2440</v>
      </c>
      <c r="D78" s="15" t="n">
        <v>106</v>
      </c>
      <c r="E78" s="13" t="s">
        <v>82</v>
      </c>
      <c r="F78" s="15" t="str">
        <f aca="false">IF(C78&gt;=J78,"ja","nein")</f>
        <v>ja</v>
      </c>
      <c r="G78" s="15" t="str">
        <f aca="false">IF(C78&gt;=K78,"ja","nein")</f>
        <v>ja</v>
      </c>
      <c r="H78" s="15" t="str">
        <f aca="false">IF(C78&gt;=L78,"ja","nein")</f>
        <v>ja</v>
      </c>
      <c r="I78" s="15" t="str">
        <f aca="false">IF(C78&gt;=M78,"ja","nein")</f>
        <v>ja</v>
      </c>
      <c r="J78" s="15" t="n">
        <f aca="false">ROUND(Annahmen!$K$35*(1+Annahmen!$B$20*D78/1000),0)</f>
        <v>848</v>
      </c>
      <c r="K78" s="15" t="n">
        <f aca="false">ROUND(Annahmen!$K$36*(1+Annahmen!$B$20*D78/1000),0)</f>
        <v>1101</v>
      </c>
      <c r="L78" s="15" t="n">
        <f aca="false">ROUND(Annahmen!$K$37*(1+Annahmen!$B$20*D78/1000),0)</f>
        <v>1126</v>
      </c>
      <c r="M78" s="15" t="n">
        <f aca="false">ROUND(Annahmen!$K$38*(1+Annahmen!$B$20*D78/1000),0)</f>
        <v>1126</v>
      </c>
      <c r="N78" s="16" t="s">
        <v>83</v>
      </c>
    </row>
    <row r="79" customFormat="false" ht="15" hidden="false" customHeight="false" outlineLevel="0" collapsed="false">
      <c r="A79" s="13" t="s">
        <v>234</v>
      </c>
      <c r="B79" s="14" t="s">
        <v>235</v>
      </c>
      <c r="C79" s="15" t="n">
        <v>2439</v>
      </c>
      <c r="D79" s="15" t="n">
        <v>74</v>
      </c>
      <c r="E79" s="13" t="s">
        <v>82</v>
      </c>
      <c r="F79" s="15" t="str">
        <f aca="false">IF(C79&gt;=J79,"ja","nein")</f>
        <v>ja</v>
      </c>
      <c r="G79" s="15" t="str">
        <f aca="false">IF(C79&gt;=K79,"ja","nein")</f>
        <v>ja</v>
      </c>
      <c r="H79" s="15" t="str">
        <f aca="false">IF(C79&gt;=L79,"ja","nein")</f>
        <v>ja</v>
      </c>
      <c r="I79" s="15" t="str">
        <f aca="false">IF(C79&gt;=M79,"ja","nein")</f>
        <v>ja</v>
      </c>
      <c r="J79" s="15" t="n">
        <f aca="false">ROUND(Annahmen!$K$35*(1+Annahmen!$B$20*D79/1000),0)</f>
        <v>846</v>
      </c>
      <c r="K79" s="15" t="n">
        <f aca="false">ROUND(Annahmen!$K$36*(1+Annahmen!$B$20*D79/1000),0)</f>
        <v>1098</v>
      </c>
      <c r="L79" s="15" t="n">
        <f aca="false">ROUND(Annahmen!$K$37*(1+Annahmen!$B$20*D79/1000),0)</f>
        <v>1122</v>
      </c>
      <c r="M79" s="15" t="n">
        <f aca="false">ROUND(Annahmen!$K$38*(1+Annahmen!$B$20*D79/1000),0)</f>
        <v>1122</v>
      </c>
      <c r="N79" s="16" t="s">
        <v>231</v>
      </c>
    </row>
    <row r="80" customFormat="false" ht="15" hidden="false" customHeight="false" outlineLevel="0" collapsed="false">
      <c r="A80" s="13" t="s">
        <v>236</v>
      </c>
      <c r="B80" s="14" t="s">
        <v>237</v>
      </c>
      <c r="C80" s="15" t="n">
        <v>2435</v>
      </c>
      <c r="D80" s="15" t="n">
        <v>640</v>
      </c>
      <c r="E80" s="13" t="s">
        <v>82</v>
      </c>
      <c r="F80" s="15" t="str">
        <f aca="false">IF(C80&gt;=J80,"ja","nein")</f>
        <v>ja</v>
      </c>
      <c r="G80" s="15" t="str">
        <f aca="false">IF(C80&gt;=K80,"ja","nein")</f>
        <v>ja</v>
      </c>
      <c r="H80" s="15" t="str">
        <f aca="false">IF(C80&gt;=L80,"ja","nein")</f>
        <v>ja</v>
      </c>
      <c r="I80" s="15" t="str">
        <f aca="false">IF(C80&gt;=M80,"ja","nein")</f>
        <v>ja</v>
      </c>
      <c r="J80" s="15" t="n">
        <f aca="false">ROUND(Annahmen!$K$35*(1+Annahmen!$B$20*D80/1000),0)</f>
        <v>888</v>
      </c>
      <c r="K80" s="15" t="n">
        <f aca="false">ROUND(Annahmen!$K$36*(1+Annahmen!$B$20*D80/1000),0)</f>
        <v>1154</v>
      </c>
      <c r="L80" s="15" t="n">
        <f aca="false">ROUND(Annahmen!$K$37*(1+Annahmen!$B$20*D80/1000),0)</f>
        <v>1179</v>
      </c>
      <c r="M80" s="15" t="n">
        <f aca="false">ROUND(Annahmen!$K$38*(1+Annahmen!$B$20*D80/1000),0)</f>
        <v>1179</v>
      </c>
      <c r="N80" s="16" t="s">
        <v>86</v>
      </c>
    </row>
    <row r="81" customFormat="false" ht="15" hidden="false" customHeight="false" outlineLevel="0" collapsed="false">
      <c r="A81" s="13" t="s">
        <v>238</v>
      </c>
      <c r="B81" s="14" t="s">
        <v>239</v>
      </c>
      <c r="C81" s="15" t="n">
        <v>2400</v>
      </c>
      <c r="D81" s="15" t="n">
        <v>7</v>
      </c>
      <c r="E81" s="13" t="s">
        <v>82</v>
      </c>
      <c r="F81" s="15" t="str">
        <f aca="false">IF(C81&gt;=J81,"ja","nein")</f>
        <v>ja</v>
      </c>
      <c r="G81" s="15" t="str">
        <f aca="false">IF(C81&gt;=K81,"ja","nein")</f>
        <v>ja</v>
      </c>
      <c r="H81" s="15" t="str">
        <f aca="false">IF(C81&gt;=L81,"ja","nein")</f>
        <v>ja</v>
      </c>
      <c r="I81" s="15" t="str">
        <f aca="false">IF(C81&gt;=M81,"ja","nein")</f>
        <v>ja</v>
      </c>
      <c r="J81" s="15" t="n">
        <f aca="false">ROUND(Annahmen!$K$35*(1+Annahmen!$B$20*D81/1000),0)</f>
        <v>841</v>
      </c>
      <c r="K81" s="15" t="n">
        <f aca="false">ROUND(Annahmen!$K$36*(1+Annahmen!$B$20*D81/1000),0)</f>
        <v>1092</v>
      </c>
      <c r="L81" s="15" t="n">
        <f aca="false">ROUND(Annahmen!$K$37*(1+Annahmen!$B$20*D81/1000),0)</f>
        <v>1116</v>
      </c>
      <c r="M81" s="15" t="n">
        <f aca="false">ROUND(Annahmen!$K$38*(1+Annahmen!$B$20*D81/1000),0)</f>
        <v>1116</v>
      </c>
      <c r="N81" s="16" t="s">
        <v>102</v>
      </c>
    </row>
    <row r="82" customFormat="false" ht="15" hidden="false" customHeight="false" outlineLevel="0" collapsed="false">
      <c r="A82" s="13" t="s">
        <v>240</v>
      </c>
      <c r="B82" s="14" t="s">
        <v>241</v>
      </c>
      <c r="C82" s="15" t="n">
        <v>2400</v>
      </c>
      <c r="D82" s="15" t="n">
        <v>39</v>
      </c>
      <c r="E82" s="13" t="s">
        <v>82</v>
      </c>
      <c r="F82" s="15" t="str">
        <f aca="false">IF(C82&gt;=J82,"ja","nein")</f>
        <v>ja</v>
      </c>
      <c r="G82" s="15" t="str">
        <f aca="false">IF(C82&gt;=K82,"ja","nein")</f>
        <v>ja</v>
      </c>
      <c r="H82" s="15" t="str">
        <f aca="false">IF(C82&gt;=L82,"ja","nein")</f>
        <v>ja</v>
      </c>
      <c r="I82" s="15" t="str">
        <f aca="false">IF(C82&gt;=M82,"ja","nein")</f>
        <v>ja</v>
      </c>
      <c r="J82" s="15" t="n">
        <f aca="false">ROUND(Annahmen!$K$35*(1+Annahmen!$B$20*D82/1000),0)</f>
        <v>843</v>
      </c>
      <c r="K82" s="15" t="n">
        <f aca="false">ROUND(Annahmen!$K$36*(1+Annahmen!$B$20*D82/1000),0)</f>
        <v>1095</v>
      </c>
      <c r="L82" s="15" t="n">
        <f aca="false">ROUND(Annahmen!$K$37*(1+Annahmen!$B$20*D82/1000),0)</f>
        <v>1119</v>
      </c>
      <c r="M82" s="15" t="n">
        <f aca="false">ROUND(Annahmen!$K$38*(1+Annahmen!$B$20*D82/1000),0)</f>
        <v>1119</v>
      </c>
      <c r="N82" s="16" t="s">
        <v>102</v>
      </c>
    </row>
    <row r="83" customFormat="false" ht="15" hidden="false" customHeight="false" outlineLevel="0" collapsed="false">
      <c r="A83" s="13" t="s">
        <v>242</v>
      </c>
      <c r="B83" s="14" t="s">
        <v>243</v>
      </c>
      <c r="C83" s="15" t="n">
        <v>2380</v>
      </c>
      <c r="D83" s="15" t="n">
        <v>220</v>
      </c>
      <c r="E83" s="13" t="s">
        <v>82</v>
      </c>
      <c r="F83" s="15" t="str">
        <f aca="false">IF(C83&gt;=J83,"ja","nein")</f>
        <v>ja</v>
      </c>
      <c r="G83" s="15" t="str">
        <f aca="false">IF(C83&gt;=K83,"ja","nein")</f>
        <v>ja</v>
      </c>
      <c r="H83" s="15" t="str">
        <f aca="false">IF(C83&gt;=L83,"ja","nein")</f>
        <v>ja</v>
      </c>
      <c r="I83" s="15" t="str">
        <f aca="false">IF(C83&gt;=M83,"ja","nein")</f>
        <v>ja</v>
      </c>
      <c r="J83" s="15" t="n">
        <f aca="false">ROUND(Annahmen!$K$35*(1+Annahmen!$B$20*D83/1000),0)</f>
        <v>857</v>
      </c>
      <c r="K83" s="15" t="n">
        <f aca="false">ROUND(Annahmen!$K$36*(1+Annahmen!$B$20*D83/1000),0)</f>
        <v>1113</v>
      </c>
      <c r="L83" s="15" t="n">
        <f aca="false">ROUND(Annahmen!$K$37*(1+Annahmen!$B$20*D83/1000),0)</f>
        <v>1137</v>
      </c>
      <c r="M83" s="15" t="n">
        <f aca="false">ROUND(Annahmen!$K$38*(1+Annahmen!$B$20*D83/1000),0)</f>
        <v>1137</v>
      </c>
      <c r="N83" s="16" t="s">
        <v>102</v>
      </c>
    </row>
    <row r="84" customFormat="false" ht="15" hidden="false" customHeight="false" outlineLevel="0" collapsed="false">
      <c r="A84" s="13" t="s">
        <v>244</v>
      </c>
      <c r="B84" s="14" t="s">
        <v>245</v>
      </c>
      <c r="C84" s="15" t="n">
        <v>2356</v>
      </c>
      <c r="D84" s="15" t="n">
        <v>1367</v>
      </c>
      <c r="E84" s="13" t="s">
        <v>82</v>
      </c>
      <c r="F84" s="15" t="str">
        <f aca="false">IF(C84&gt;=J84,"ja","nein")</f>
        <v>ja</v>
      </c>
      <c r="G84" s="15" t="str">
        <f aca="false">IF(C84&gt;=K84,"ja","nein")</f>
        <v>ja</v>
      </c>
      <c r="H84" s="15" t="str">
        <f aca="false">IF(C84&gt;=L84,"ja","nein")</f>
        <v>ja</v>
      </c>
      <c r="I84" s="15" t="str">
        <f aca="false">IF(C84&gt;=M84,"ja","nein")</f>
        <v>ja</v>
      </c>
      <c r="J84" s="15" t="n">
        <f aca="false">ROUND(Annahmen!$K$35*(1+Annahmen!$B$20*D84/1000),0)</f>
        <v>943</v>
      </c>
      <c r="K84" s="15" t="n">
        <f aca="false">ROUND(Annahmen!$K$36*(1+Annahmen!$B$20*D84/1000),0)</f>
        <v>1225</v>
      </c>
      <c r="L84" s="15" t="n">
        <f aca="false">ROUND(Annahmen!$K$37*(1+Annahmen!$B$20*D84/1000),0)</f>
        <v>1252</v>
      </c>
      <c r="M84" s="15" t="n">
        <f aca="false">ROUND(Annahmen!$K$38*(1+Annahmen!$B$20*D84/1000),0)</f>
        <v>1252</v>
      </c>
      <c r="N84" s="16" t="s">
        <v>83</v>
      </c>
    </row>
    <row r="85" customFormat="false" ht="15" hidden="false" customHeight="false" outlineLevel="0" collapsed="false">
      <c r="A85" s="13" t="s">
        <v>246</v>
      </c>
      <c r="B85" s="14" t="s">
        <v>247</v>
      </c>
      <c r="C85" s="15" t="n">
        <v>2305</v>
      </c>
      <c r="D85" s="15" t="n">
        <v>94</v>
      </c>
      <c r="E85" s="13" t="s">
        <v>82</v>
      </c>
      <c r="F85" s="15" t="str">
        <f aca="false">IF(C85&gt;=J85,"ja","nein")</f>
        <v>ja</v>
      </c>
      <c r="G85" s="15" t="str">
        <f aca="false">IF(C85&gt;=K85,"ja","nein")</f>
        <v>ja</v>
      </c>
      <c r="H85" s="15" t="str">
        <f aca="false">IF(C85&gt;=L85,"ja","nein")</f>
        <v>ja</v>
      </c>
      <c r="I85" s="15" t="str">
        <f aca="false">IF(C85&gt;=M85,"ja","nein")</f>
        <v>ja</v>
      </c>
      <c r="J85" s="15" t="n">
        <f aca="false">ROUND(Annahmen!$K$35*(1+Annahmen!$B$20*D85/1000),0)</f>
        <v>847</v>
      </c>
      <c r="K85" s="15" t="n">
        <f aca="false">ROUND(Annahmen!$K$36*(1+Annahmen!$B$20*D85/1000),0)</f>
        <v>1100</v>
      </c>
      <c r="L85" s="15" t="n">
        <f aca="false">ROUND(Annahmen!$K$37*(1+Annahmen!$B$20*D85/1000),0)</f>
        <v>1124</v>
      </c>
      <c r="M85" s="15" t="n">
        <f aca="false">ROUND(Annahmen!$K$38*(1+Annahmen!$B$20*D85/1000),0)</f>
        <v>1124</v>
      </c>
      <c r="N85" s="16" t="s">
        <v>86</v>
      </c>
    </row>
    <row r="86" customFormat="false" ht="15" hidden="false" customHeight="false" outlineLevel="0" collapsed="false">
      <c r="A86" s="13" t="s">
        <v>248</v>
      </c>
      <c r="B86" s="14" t="s">
        <v>249</v>
      </c>
      <c r="C86" s="15" t="n">
        <v>2300</v>
      </c>
      <c r="D86" s="15" t="n">
        <v>295</v>
      </c>
      <c r="E86" s="13" t="s">
        <v>82</v>
      </c>
      <c r="F86" s="15" t="str">
        <f aca="false">IF(C86&gt;=J86,"ja","nein")</f>
        <v>ja</v>
      </c>
      <c r="G86" s="15" t="str">
        <f aca="false">IF(C86&gt;=K86,"ja","nein")</f>
        <v>ja</v>
      </c>
      <c r="H86" s="15" t="str">
        <f aca="false">IF(C86&gt;=L86,"ja","nein")</f>
        <v>ja</v>
      </c>
      <c r="I86" s="15" t="str">
        <f aca="false">IF(C86&gt;=M86,"ja","nein")</f>
        <v>ja</v>
      </c>
      <c r="J86" s="15" t="n">
        <f aca="false">ROUND(Annahmen!$K$35*(1+Annahmen!$B$20*D86/1000),0)</f>
        <v>862</v>
      </c>
      <c r="K86" s="15" t="n">
        <f aca="false">ROUND(Annahmen!$K$36*(1+Annahmen!$B$20*D86/1000),0)</f>
        <v>1120</v>
      </c>
      <c r="L86" s="15" t="n">
        <f aca="false">ROUND(Annahmen!$K$37*(1+Annahmen!$B$20*D86/1000),0)</f>
        <v>1145</v>
      </c>
      <c r="M86" s="15" t="n">
        <f aca="false">ROUND(Annahmen!$K$38*(1+Annahmen!$B$20*D86/1000),0)</f>
        <v>1145</v>
      </c>
      <c r="N86" s="16" t="s">
        <v>86</v>
      </c>
    </row>
    <row r="87" customFormat="false" ht="15" hidden="false" customHeight="false" outlineLevel="0" collapsed="false">
      <c r="A87" s="13" t="s">
        <v>250</v>
      </c>
      <c r="B87" s="14" t="s">
        <v>251</v>
      </c>
      <c r="C87" s="15" t="n">
        <v>2293</v>
      </c>
      <c r="D87" s="15" t="n">
        <v>228</v>
      </c>
      <c r="E87" s="13" t="s">
        <v>82</v>
      </c>
      <c r="F87" s="15" t="str">
        <f aca="false">IF(C87&gt;=J87,"ja","nein")</f>
        <v>ja</v>
      </c>
      <c r="G87" s="15" t="str">
        <f aca="false">IF(C87&gt;=K87,"ja","nein")</f>
        <v>ja</v>
      </c>
      <c r="H87" s="15" t="str">
        <f aca="false">IF(C87&gt;=L87,"ja","nein")</f>
        <v>ja</v>
      </c>
      <c r="I87" s="15" t="str">
        <f aca="false">IF(C87&gt;=M87,"ja","nein")</f>
        <v>ja</v>
      </c>
      <c r="J87" s="15" t="n">
        <f aca="false">ROUND(Annahmen!$K$35*(1+Annahmen!$B$20*D87/1000),0)</f>
        <v>857</v>
      </c>
      <c r="K87" s="15" t="n">
        <f aca="false">ROUND(Annahmen!$K$36*(1+Annahmen!$B$20*D87/1000),0)</f>
        <v>1113</v>
      </c>
      <c r="L87" s="15" t="n">
        <f aca="false">ROUND(Annahmen!$K$37*(1+Annahmen!$B$20*D87/1000),0)</f>
        <v>1138</v>
      </c>
      <c r="M87" s="15" t="n">
        <f aca="false">ROUND(Annahmen!$K$38*(1+Annahmen!$B$20*D87/1000),0)</f>
        <v>1138</v>
      </c>
      <c r="N87" s="16" t="s">
        <v>86</v>
      </c>
    </row>
    <row r="88" customFormat="false" ht="15" hidden="false" customHeight="false" outlineLevel="0" collapsed="false">
      <c r="A88" s="13" t="s">
        <v>252</v>
      </c>
      <c r="B88" s="14" t="s">
        <v>253</v>
      </c>
      <c r="C88" s="15" t="n">
        <v>2286</v>
      </c>
      <c r="D88" s="15" t="n">
        <v>1947</v>
      </c>
      <c r="E88" s="13" t="s">
        <v>82</v>
      </c>
      <c r="F88" s="15" t="str">
        <f aca="false">IF(C88&gt;=J88,"ja","nein")</f>
        <v>ja</v>
      </c>
      <c r="G88" s="15" t="str">
        <f aca="false">IF(C88&gt;=K88,"ja","nein")</f>
        <v>ja</v>
      </c>
      <c r="H88" s="15" t="str">
        <f aca="false">IF(C88&gt;=L88,"ja","nein")</f>
        <v>ja</v>
      </c>
      <c r="I88" s="15" t="str">
        <f aca="false">IF(C88&gt;=M88,"ja","nein")</f>
        <v>ja</v>
      </c>
      <c r="J88" s="15" t="n">
        <f aca="false">ROUND(Annahmen!$K$35*(1+Annahmen!$B$20*D88/1000),0)</f>
        <v>987</v>
      </c>
      <c r="K88" s="15" t="n">
        <f aca="false">ROUND(Annahmen!$K$36*(1+Annahmen!$B$20*D88/1000),0)</f>
        <v>1282</v>
      </c>
      <c r="L88" s="15" t="n">
        <f aca="false">ROUND(Annahmen!$K$37*(1+Annahmen!$B$20*D88/1000),0)</f>
        <v>1310</v>
      </c>
      <c r="M88" s="15" t="n">
        <f aca="false">ROUND(Annahmen!$K$38*(1+Annahmen!$B$20*D88/1000),0)</f>
        <v>1310</v>
      </c>
      <c r="N88" s="16" t="s">
        <v>254</v>
      </c>
    </row>
    <row r="89" customFormat="false" ht="15" hidden="false" customHeight="false" outlineLevel="0" collapsed="false">
      <c r="A89" s="13" t="s">
        <v>255</v>
      </c>
      <c r="B89" s="14" t="s">
        <v>256</v>
      </c>
      <c r="C89" s="15" t="n">
        <v>2200</v>
      </c>
      <c r="D89" s="15" t="n">
        <v>568</v>
      </c>
      <c r="E89" s="13" t="s">
        <v>82</v>
      </c>
      <c r="F89" s="15" t="str">
        <f aca="false">IF(C89&gt;=J89,"ja","nein")</f>
        <v>ja</v>
      </c>
      <c r="G89" s="15" t="str">
        <f aca="false">IF(C89&gt;=K89,"ja","nein")</f>
        <v>ja</v>
      </c>
      <c r="H89" s="15" t="str">
        <f aca="false">IF(C89&gt;=L89,"ja","nein")</f>
        <v>ja</v>
      </c>
      <c r="I89" s="15" t="str">
        <f aca="false">IF(C89&gt;=M89,"ja","nein")</f>
        <v>ja</v>
      </c>
      <c r="J89" s="15" t="n">
        <f aca="false">ROUND(Annahmen!$K$35*(1+Annahmen!$B$20*D89/1000),0)</f>
        <v>883</v>
      </c>
      <c r="K89" s="15" t="n">
        <f aca="false">ROUND(Annahmen!$K$36*(1+Annahmen!$B$20*D89/1000),0)</f>
        <v>1147</v>
      </c>
      <c r="L89" s="15" t="n">
        <f aca="false">ROUND(Annahmen!$K$37*(1+Annahmen!$B$20*D89/1000),0)</f>
        <v>1172</v>
      </c>
      <c r="M89" s="15" t="n">
        <f aca="false">ROUND(Annahmen!$K$38*(1+Annahmen!$B$20*D89/1000),0)</f>
        <v>1172</v>
      </c>
      <c r="N89" s="16" t="s">
        <v>102</v>
      </c>
    </row>
    <row r="90" customFormat="false" ht="15" hidden="false" customHeight="false" outlineLevel="0" collapsed="false">
      <c r="A90" s="13" t="s">
        <v>257</v>
      </c>
      <c r="B90" s="14" t="s">
        <v>258</v>
      </c>
      <c r="C90" s="15" t="n">
        <v>2180</v>
      </c>
      <c r="D90" s="15" t="n">
        <v>699</v>
      </c>
      <c r="E90" s="13" t="s">
        <v>82</v>
      </c>
      <c r="F90" s="15" t="str">
        <f aca="false">IF(C90&gt;=J90,"ja","nein")</f>
        <v>ja</v>
      </c>
      <c r="G90" s="15" t="str">
        <f aca="false">IF(C90&gt;=K90,"ja","nein")</f>
        <v>ja</v>
      </c>
      <c r="H90" s="15" t="str">
        <f aca="false">IF(C90&gt;=L90,"ja","nein")</f>
        <v>ja</v>
      </c>
      <c r="I90" s="15" t="str">
        <f aca="false">IF(C90&gt;=M90,"ja","nein")</f>
        <v>ja</v>
      </c>
      <c r="J90" s="15" t="n">
        <f aca="false">ROUND(Annahmen!$K$35*(1+Annahmen!$B$20*D90/1000),0)</f>
        <v>893</v>
      </c>
      <c r="K90" s="15" t="n">
        <f aca="false">ROUND(Annahmen!$K$36*(1+Annahmen!$B$20*D90/1000),0)</f>
        <v>1160</v>
      </c>
      <c r="L90" s="15" t="n">
        <f aca="false">ROUND(Annahmen!$K$37*(1+Annahmen!$B$20*D90/1000),0)</f>
        <v>1185</v>
      </c>
      <c r="M90" s="15" t="n">
        <f aca="false">ROUND(Annahmen!$K$38*(1+Annahmen!$B$20*D90/1000),0)</f>
        <v>1185</v>
      </c>
      <c r="N90" s="16" t="s">
        <v>83</v>
      </c>
    </row>
    <row r="91" customFormat="false" ht="15" hidden="false" customHeight="false" outlineLevel="0" collapsed="false">
      <c r="A91" s="13" t="s">
        <v>259</v>
      </c>
      <c r="B91" s="14" t="s">
        <v>260</v>
      </c>
      <c r="C91" s="15" t="n">
        <v>2170</v>
      </c>
      <c r="D91" s="15" t="n">
        <v>160</v>
      </c>
      <c r="E91" s="13" t="s">
        <v>82</v>
      </c>
      <c r="F91" s="15" t="str">
        <f aca="false">IF(C91&gt;=J91,"ja","nein")</f>
        <v>ja</v>
      </c>
      <c r="G91" s="15" t="str">
        <f aca="false">IF(C91&gt;=K91,"ja","nein")</f>
        <v>ja</v>
      </c>
      <c r="H91" s="15" t="str">
        <f aca="false">IF(C91&gt;=L91,"ja","nein")</f>
        <v>ja</v>
      </c>
      <c r="I91" s="15" t="str">
        <f aca="false">IF(C91&gt;=M91,"ja","nein")</f>
        <v>ja</v>
      </c>
      <c r="J91" s="15" t="n">
        <f aca="false">ROUND(Annahmen!$K$35*(1+Annahmen!$B$20*D91/1000),0)</f>
        <v>852</v>
      </c>
      <c r="K91" s="15" t="n">
        <f aca="false">ROUND(Annahmen!$K$36*(1+Annahmen!$B$20*D91/1000),0)</f>
        <v>1107</v>
      </c>
      <c r="L91" s="15" t="n">
        <f aca="false">ROUND(Annahmen!$K$37*(1+Annahmen!$B$20*D91/1000),0)</f>
        <v>1131</v>
      </c>
      <c r="M91" s="15" t="n">
        <f aca="false">ROUND(Annahmen!$K$38*(1+Annahmen!$B$20*D91/1000),0)</f>
        <v>1131</v>
      </c>
      <c r="N91" s="16" t="s">
        <v>83</v>
      </c>
    </row>
    <row r="92" customFormat="false" ht="15" hidden="false" customHeight="false" outlineLevel="0" collapsed="false">
      <c r="A92" s="13" t="s">
        <v>261</v>
      </c>
      <c r="B92" s="14" t="s">
        <v>262</v>
      </c>
      <c r="C92" s="15" t="n">
        <v>2120</v>
      </c>
      <c r="D92" s="15" t="n">
        <v>51</v>
      </c>
      <c r="E92" s="13" t="s">
        <v>82</v>
      </c>
      <c r="F92" s="15" t="str">
        <f aca="false">IF(C92&gt;=J92,"ja","nein")</f>
        <v>ja</v>
      </c>
      <c r="G92" s="15" t="str">
        <f aca="false">IF(C92&gt;=K92,"ja","nein")</f>
        <v>ja</v>
      </c>
      <c r="H92" s="15" t="str">
        <f aca="false">IF(C92&gt;=L92,"ja","nein")</f>
        <v>ja</v>
      </c>
      <c r="I92" s="15" t="str">
        <f aca="false">IF(C92&gt;=M92,"ja","nein")</f>
        <v>ja</v>
      </c>
      <c r="J92" s="15" t="n">
        <f aca="false">ROUND(Annahmen!$K$35*(1+Annahmen!$B$20*D92/1000),0)</f>
        <v>844</v>
      </c>
      <c r="K92" s="15" t="n">
        <f aca="false">ROUND(Annahmen!$K$36*(1+Annahmen!$B$20*D92/1000),0)</f>
        <v>1096</v>
      </c>
      <c r="L92" s="15" t="n">
        <f aca="false">ROUND(Annahmen!$K$37*(1+Annahmen!$B$20*D92/1000),0)</f>
        <v>1120</v>
      </c>
      <c r="M92" s="15" t="n">
        <f aca="false">ROUND(Annahmen!$K$38*(1+Annahmen!$B$20*D92/1000),0)</f>
        <v>1120</v>
      </c>
      <c r="N92" s="16" t="s">
        <v>86</v>
      </c>
    </row>
    <row r="93" customFormat="false" ht="15" hidden="false" customHeight="false" outlineLevel="0" collapsed="false">
      <c r="A93" s="13" t="s">
        <v>263</v>
      </c>
      <c r="B93" s="14" t="s">
        <v>264</v>
      </c>
      <c r="C93" s="15" t="n">
        <v>2102</v>
      </c>
      <c r="D93" s="15" t="n">
        <v>53</v>
      </c>
      <c r="E93" s="13" t="s">
        <v>82</v>
      </c>
      <c r="F93" s="15" t="str">
        <f aca="false">IF(C93&gt;=J93,"ja","nein")</f>
        <v>ja</v>
      </c>
      <c r="G93" s="15" t="str">
        <f aca="false">IF(C93&gt;=K93,"ja","nein")</f>
        <v>ja</v>
      </c>
      <c r="H93" s="15" t="str">
        <f aca="false">IF(C93&gt;=L93,"ja","nein")</f>
        <v>ja</v>
      </c>
      <c r="I93" s="15" t="str">
        <f aca="false">IF(C93&gt;=M93,"ja","nein")</f>
        <v>ja</v>
      </c>
      <c r="J93" s="15" t="n">
        <f aca="false">ROUND(Annahmen!$K$35*(1+Annahmen!$B$20*D93/1000),0)</f>
        <v>844</v>
      </c>
      <c r="K93" s="15" t="n">
        <f aca="false">ROUND(Annahmen!$K$36*(1+Annahmen!$B$20*D93/1000),0)</f>
        <v>1096</v>
      </c>
      <c r="L93" s="15" t="n">
        <f aca="false">ROUND(Annahmen!$K$37*(1+Annahmen!$B$20*D93/1000),0)</f>
        <v>1120</v>
      </c>
      <c r="M93" s="15" t="n">
        <f aca="false">ROUND(Annahmen!$K$38*(1+Annahmen!$B$20*D93/1000),0)</f>
        <v>1120</v>
      </c>
      <c r="N93" s="16" t="s">
        <v>86</v>
      </c>
    </row>
    <row r="94" customFormat="false" ht="15" hidden="false" customHeight="false" outlineLevel="0" collapsed="false">
      <c r="A94" s="13" t="s">
        <v>265</v>
      </c>
      <c r="B94" s="14" t="s">
        <v>266</v>
      </c>
      <c r="C94" s="15" t="n">
        <v>2000</v>
      </c>
      <c r="D94" s="15" t="n">
        <v>515</v>
      </c>
      <c r="E94" s="13" t="s">
        <v>82</v>
      </c>
      <c r="F94" s="15" t="str">
        <f aca="false">IF(C94&gt;=J94,"ja","nein")</f>
        <v>ja</v>
      </c>
      <c r="G94" s="15" t="str">
        <f aca="false">IF(C94&gt;=K94,"ja","nein")</f>
        <v>ja</v>
      </c>
      <c r="H94" s="15" t="str">
        <f aca="false">IF(C94&gt;=L94,"ja","nein")</f>
        <v>ja</v>
      </c>
      <c r="I94" s="15" t="str">
        <f aca="false">IF(C94&gt;=M94,"ja","nein")</f>
        <v>ja</v>
      </c>
      <c r="J94" s="15" t="n">
        <f aca="false">ROUND(Annahmen!$K$35*(1+Annahmen!$B$20*D94/1000),0)</f>
        <v>879</v>
      </c>
      <c r="K94" s="15" t="n">
        <f aca="false">ROUND(Annahmen!$K$36*(1+Annahmen!$B$20*D94/1000),0)</f>
        <v>1142</v>
      </c>
      <c r="L94" s="15" t="n">
        <f aca="false">ROUND(Annahmen!$K$37*(1+Annahmen!$B$20*D94/1000),0)</f>
        <v>1167</v>
      </c>
      <c r="M94" s="15" t="n">
        <f aca="false">ROUND(Annahmen!$K$38*(1+Annahmen!$B$20*D94/1000),0)</f>
        <v>1167</v>
      </c>
      <c r="N94" s="16" t="s">
        <v>86</v>
      </c>
    </row>
    <row r="95" customFormat="false" ht="15" hidden="false" customHeight="false" outlineLevel="0" collapsed="false">
      <c r="A95" s="13" t="s">
        <v>267</v>
      </c>
      <c r="B95" s="14" t="s">
        <v>268</v>
      </c>
      <c r="C95" s="15" t="n">
        <v>2000</v>
      </c>
      <c r="D95" s="15" t="n">
        <v>375</v>
      </c>
      <c r="E95" s="13" t="s">
        <v>82</v>
      </c>
      <c r="F95" s="15" t="str">
        <f aca="false">IF(C95&gt;=J95,"ja","nein")</f>
        <v>ja</v>
      </c>
      <c r="G95" s="15" t="str">
        <f aca="false">IF(C95&gt;=K95,"ja","nein")</f>
        <v>ja</v>
      </c>
      <c r="H95" s="15" t="str">
        <f aca="false">IF(C95&gt;=L95,"ja","nein")</f>
        <v>ja</v>
      </c>
      <c r="I95" s="15" t="str">
        <f aca="false">IF(C95&gt;=M95,"ja","nein")</f>
        <v>ja</v>
      </c>
      <c r="J95" s="15" t="n">
        <f aca="false">ROUND(Annahmen!$K$35*(1+Annahmen!$B$20*D95/1000),0)</f>
        <v>868</v>
      </c>
      <c r="K95" s="15" t="n">
        <f aca="false">ROUND(Annahmen!$K$36*(1+Annahmen!$B$20*D95/1000),0)</f>
        <v>1128</v>
      </c>
      <c r="L95" s="15" t="n">
        <f aca="false">ROUND(Annahmen!$K$37*(1+Annahmen!$B$20*D95/1000),0)</f>
        <v>1153</v>
      </c>
      <c r="M95" s="15" t="n">
        <f aca="false">ROUND(Annahmen!$K$38*(1+Annahmen!$B$20*D95/1000),0)</f>
        <v>1153</v>
      </c>
      <c r="N95" s="16" t="s">
        <v>102</v>
      </c>
    </row>
    <row r="96" customFormat="false" ht="15" hidden="false" customHeight="false" outlineLevel="0" collapsed="false">
      <c r="A96" s="13" t="s">
        <v>269</v>
      </c>
      <c r="B96" s="14" t="s">
        <v>270</v>
      </c>
      <c r="C96" s="15" t="n">
        <v>2000</v>
      </c>
      <c r="D96" s="15" t="n">
        <v>1058</v>
      </c>
      <c r="E96" s="13" t="s">
        <v>82</v>
      </c>
      <c r="F96" s="15" t="str">
        <f aca="false">IF(C96&gt;=J96,"ja","nein")</f>
        <v>ja</v>
      </c>
      <c r="G96" s="15" t="str">
        <f aca="false">IF(C96&gt;=K96,"ja","nein")</f>
        <v>ja</v>
      </c>
      <c r="H96" s="15" t="str">
        <f aca="false">IF(C96&gt;=L96,"ja","nein")</f>
        <v>ja</v>
      </c>
      <c r="I96" s="15" t="str">
        <f aca="false">IF(C96&gt;=M96,"ja","nein")</f>
        <v>ja</v>
      </c>
      <c r="J96" s="15" t="n">
        <f aca="false">ROUND(Annahmen!$K$35*(1+Annahmen!$B$20*D96/1000),0)</f>
        <v>920</v>
      </c>
      <c r="K96" s="15" t="n">
        <f aca="false">ROUND(Annahmen!$K$36*(1+Annahmen!$B$20*D96/1000),0)</f>
        <v>1195</v>
      </c>
      <c r="L96" s="15" t="n">
        <f aca="false">ROUND(Annahmen!$K$37*(1+Annahmen!$B$20*D96/1000),0)</f>
        <v>1221</v>
      </c>
      <c r="M96" s="15" t="n">
        <f aca="false">ROUND(Annahmen!$K$38*(1+Annahmen!$B$20*D96/1000),0)</f>
        <v>1221</v>
      </c>
      <c r="N96" s="16" t="s">
        <v>86</v>
      </c>
    </row>
    <row r="97" customFormat="false" ht="15" hidden="false" customHeight="false" outlineLevel="0" collapsed="false">
      <c r="A97" s="13" t="s">
        <v>271</v>
      </c>
      <c r="B97" s="14" t="s">
        <v>272</v>
      </c>
      <c r="C97" s="15" t="n">
        <v>2000</v>
      </c>
      <c r="D97" s="15" t="n">
        <v>425</v>
      </c>
      <c r="E97" s="13" t="s">
        <v>82</v>
      </c>
      <c r="F97" s="15" t="str">
        <f aca="false">IF(C97&gt;=J97,"ja","nein")</f>
        <v>ja</v>
      </c>
      <c r="G97" s="15" t="str">
        <f aca="false">IF(C97&gt;=K97,"ja","nein")</f>
        <v>ja</v>
      </c>
      <c r="H97" s="15" t="str">
        <f aca="false">IF(C97&gt;=L97,"ja","nein")</f>
        <v>ja</v>
      </c>
      <c r="I97" s="15" t="str">
        <f aca="false">IF(C97&gt;=M97,"ja","nein")</f>
        <v>ja</v>
      </c>
      <c r="J97" s="15" t="n">
        <f aca="false">ROUND(Annahmen!$K$35*(1+Annahmen!$B$20*D97/1000),0)</f>
        <v>872</v>
      </c>
      <c r="K97" s="15" t="n">
        <f aca="false">ROUND(Annahmen!$K$36*(1+Annahmen!$B$20*D97/1000),0)</f>
        <v>1133</v>
      </c>
      <c r="L97" s="15" t="n">
        <f aca="false">ROUND(Annahmen!$K$37*(1+Annahmen!$B$20*D97/1000),0)</f>
        <v>1158</v>
      </c>
      <c r="M97" s="15" t="n">
        <f aca="false">ROUND(Annahmen!$K$38*(1+Annahmen!$B$20*D97/1000),0)</f>
        <v>1158</v>
      </c>
      <c r="N97" s="16" t="s">
        <v>83</v>
      </c>
    </row>
    <row r="98" customFormat="false" ht="15" hidden="false" customHeight="false" outlineLevel="0" collapsed="false">
      <c r="A98" s="13" t="s">
        <v>273</v>
      </c>
      <c r="B98" s="14" t="s">
        <v>274</v>
      </c>
      <c r="C98" s="15" t="n">
        <v>1997</v>
      </c>
      <c r="D98" s="15" t="n">
        <v>184</v>
      </c>
      <c r="E98" s="13" t="s">
        <v>82</v>
      </c>
      <c r="F98" s="15" t="str">
        <f aca="false">IF(C98&gt;=J98,"ja","nein")</f>
        <v>ja</v>
      </c>
      <c r="G98" s="15" t="str">
        <f aca="false">IF(C98&gt;=K98,"ja","nein")</f>
        <v>ja</v>
      </c>
      <c r="H98" s="15" t="str">
        <f aca="false">IF(C98&gt;=L98,"ja","nein")</f>
        <v>ja</v>
      </c>
      <c r="I98" s="15" t="str">
        <f aca="false">IF(C98&gt;=M98,"ja","nein")</f>
        <v>ja</v>
      </c>
      <c r="J98" s="15" t="n">
        <f aca="false">ROUND(Annahmen!$K$35*(1+Annahmen!$B$20*D98/1000),0)</f>
        <v>854</v>
      </c>
      <c r="K98" s="15" t="n">
        <f aca="false">ROUND(Annahmen!$K$36*(1+Annahmen!$B$20*D98/1000),0)</f>
        <v>1109</v>
      </c>
      <c r="L98" s="15" t="n">
        <f aca="false">ROUND(Annahmen!$K$37*(1+Annahmen!$B$20*D98/1000),0)</f>
        <v>1133</v>
      </c>
      <c r="M98" s="15" t="n">
        <f aca="false">ROUND(Annahmen!$K$38*(1+Annahmen!$B$20*D98/1000),0)</f>
        <v>1133</v>
      </c>
      <c r="N98" s="16" t="s">
        <v>102</v>
      </c>
    </row>
    <row r="99" customFormat="false" ht="15" hidden="false" customHeight="false" outlineLevel="0" collapsed="false">
      <c r="A99" s="13" t="s">
        <v>275</v>
      </c>
      <c r="B99" s="14" t="s">
        <v>276</v>
      </c>
      <c r="C99" s="15" t="n">
        <v>1982</v>
      </c>
      <c r="D99" s="15" t="n">
        <v>981</v>
      </c>
      <c r="E99" s="13" t="s">
        <v>82</v>
      </c>
      <c r="F99" s="15" t="str">
        <f aca="false">IF(C99&gt;=J99,"ja","nein")</f>
        <v>ja</v>
      </c>
      <c r="G99" s="15" t="str">
        <f aca="false">IF(C99&gt;=K99,"ja","nein")</f>
        <v>ja</v>
      </c>
      <c r="H99" s="15" t="str">
        <f aca="false">IF(C99&gt;=L99,"ja","nein")</f>
        <v>ja</v>
      </c>
      <c r="I99" s="15" t="str">
        <f aca="false">IF(C99&gt;=M99,"ja","nein")</f>
        <v>ja</v>
      </c>
      <c r="J99" s="15" t="n">
        <f aca="false">ROUND(Annahmen!$K$35*(1+Annahmen!$B$20*D99/1000),0)</f>
        <v>914</v>
      </c>
      <c r="K99" s="15" t="n">
        <f aca="false">ROUND(Annahmen!$K$36*(1+Annahmen!$B$20*D99/1000),0)</f>
        <v>1187</v>
      </c>
      <c r="L99" s="15" t="n">
        <f aca="false">ROUND(Annahmen!$K$37*(1+Annahmen!$B$20*D99/1000),0)</f>
        <v>1213</v>
      </c>
      <c r="M99" s="15" t="n">
        <f aca="false">ROUND(Annahmen!$K$38*(1+Annahmen!$B$20*D99/1000),0)</f>
        <v>1213</v>
      </c>
      <c r="N99" s="16" t="s">
        <v>102</v>
      </c>
    </row>
    <row r="100" customFormat="false" ht="15" hidden="false" customHeight="false" outlineLevel="0" collapsed="false">
      <c r="A100" s="13" t="s">
        <v>277</v>
      </c>
      <c r="B100" s="14" t="s">
        <v>278</v>
      </c>
      <c r="C100" s="15" t="n">
        <v>1720</v>
      </c>
      <c r="D100" s="15" t="n">
        <v>1112</v>
      </c>
      <c r="E100" s="13" t="s">
        <v>82</v>
      </c>
      <c r="F100" s="15" t="str">
        <f aca="false">IF(C100&gt;=J100,"ja","nein")</f>
        <v>ja</v>
      </c>
      <c r="G100" s="15" t="str">
        <f aca="false">IF(C100&gt;=K100,"ja","nein")</f>
        <v>ja</v>
      </c>
      <c r="H100" s="15" t="str">
        <f aca="false">IF(C100&gt;=L100,"ja","nein")</f>
        <v>ja</v>
      </c>
      <c r="I100" s="15" t="str">
        <f aca="false">IF(C100&gt;=M100,"ja","nein")</f>
        <v>ja</v>
      </c>
      <c r="J100" s="15" t="n">
        <f aca="false">ROUND(Annahmen!$K$35*(1+Annahmen!$B$20*D100/1000),0)</f>
        <v>924</v>
      </c>
      <c r="K100" s="15" t="n">
        <f aca="false">ROUND(Annahmen!$K$36*(1+Annahmen!$B$20*D100/1000),0)</f>
        <v>1200</v>
      </c>
      <c r="L100" s="15" t="n">
        <f aca="false">ROUND(Annahmen!$K$37*(1+Annahmen!$B$20*D100/1000),0)</f>
        <v>1227</v>
      </c>
      <c r="M100" s="15" t="n">
        <f aca="false">ROUND(Annahmen!$K$38*(1+Annahmen!$B$20*D100/1000),0)</f>
        <v>1227</v>
      </c>
      <c r="N100" s="16" t="s">
        <v>86</v>
      </c>
    </row>
    <row r="101" customFormat="false" ht="15" hidden="false" customHeight="false" outlineLevel="0" collapsed="false">
      <c r="A101" s="13" t="s">
        <v>279</v>
      </c>
      <c r="B101" s="14" t="s">
        <v>280</v>
      </c>
      <c r="C101" s="15" t="n">
        <v>1685</v>
      </c>
      <c r="D101" s="15" t="n">
        <v>23</v>
      </c>
      <c r="E101" s="13" t="s">
        <v>82</v>
      </c>
      <c r="F101" s="15" t="str">
        <f aca="false">IF(C101&gt;=J101,"ja","nein")</f>
        <v>ja</v>
      </c>
      <c r="G101" s="15" t="str">
        <f aca="false">IF(C101&gt;=K101,"ja","nein")</f>
        <v>ja</v>
      </c>
      <c r="H101" s="15" t="str">
        <f aca="false">IF(C101&gt;=L101,"ja","nein")</f>
        <v>ja</v>
      </c>
      <c r="I101" s="15" t="str">
        <f aca="false">IF(C101&gt;=M101,"ja","nein")</f>
        <v>ja</v>
      </c>
      <c r="J101" s="15" t="n">
        <f aca="false">ROUND(Annahmen!$K$35*(1+Annahmen!$B$20*D101/1000),0)</f>
        <v>842</v>
      </c>
      <c r="K101" s="15" t="n">
        <f aca="false">ROUND(Annahmen!$K$36*(1+Annahmen!$B$20*D101/1000),0)</f>
        <v>1093</v>
      </c>
      <c r="L101" s="15" t="n">
        <f aca="false">ROUND(Annahmen!$K$37*(1+Annahmen!$B$20*D101/1000),0)</f>
        <v>1117</v>
      </c>
      <c r="M101" s="15" t="n">
        <f aca="false">ROUND(Annahmen!$K$38*(1+Annahmen!$B$20*D101/1000),0)</f>
        <v>1117</v>
      </c>
      <c r="N101" s="16" t="s">
        <v>102</v>
      </c>
    </row>
    <row r="102" customFormat="false" ht="15" hidden="false" customHeight="false" outlineLevel="0" collapsed="false">
      <c r="A102" s="13" t="s">
        <v>281</v>
      </c>
      <c r="B102" s="14" t="s">
        <v>282</v>
      </c>
      <c r="C102" s="15" t="n">
        <v>1677</v>
      </c>
      <c r="D102" s="15" t="n">
        <v>312</v>
      </c>
      <c r="E102" s="13" t="s">
        <v>82</v>
      </c>
      <c r="F102" s="15" t="str">
        <f aca="false">IF(C102&gt;=J102,"ja","nein")</f>
        <v>ja</v>
      </c>
      <c r="G102" s="15" t="str">
        <f aca="false">IF(C102&gt;=K102,"ja","nein")</f>
        <v>ja</v>
      </c>
      <c r="H102" s="15" t="str">
        <f aca="false">IF(C102&gt;=L102,"ja","nein")</f>
        <v>ja</v>
      </c>
      <c r="I102" s="15" t="str">
        <f aca="false">IF(C102&gt;=M102,"ja","nein")</f>
        <v>ja</v>
      </c>
      <c r="J102" s="15" t="n">
        <f aca="false">ROUND(Annahmen!$K$35*(1+Annahmen!$B$20*D102/1000),0)</f>
        <v>864</v>
      </c>
      <c r="K102" s="15" t="n">
        <f aca="false">ROUND(Annahmen!$K$36*(1+Annahmen!$B$20*D102/1000),0)</f>
        <v>1122</v>
      </c>
      <c r="L102" s="15" t="n">
        <f aca="false">ROUND(Annahmen!$K$37*(1+Annahmen!$B$20*D102/1000),0)</f>
        <v>1146</v>
      </c>
      <c r="M102" s="15" t="n">
        <f aca="false">ROUND(Annahmen!$K$38*(1+Annahmen!$B$20*D102/1000),0)</f>
        <v>1146</v>
      </c>
      <c r="N102" s="16" t="s">
        <v>283</v>
      </c>
    </row>
    <row r="103" customFormat="false" ht="15" hidden="false" customHeight="false" outlineLevel="0" collapsed="false">
      <c r="A103" s="13" t="s">
        <v>284</v>
      </c>
      <c r="B103" s="14" t="s">
        <v>285</v>
      </c>
      <c r="C103" s="15" t="n">
        <v>1650</v>
      </c>
      <c r="D103" s="15" t="n">
        <v>696</v>
      </c>
      <c r="E103" s="13" t="s">
        <v>82</v>
      </c>
      <c r="F103" s="15" t="str">
        <f aca="false">IF(C103&gt;=J103,"ja","nein")</f>
        <v>ja</v>
      </c>
      <c r="G103" s="15" t="str">
        <f aca="false">IF(C103&gt;=K103,"ja","nein")</f>
        <v>ja</v>
      </c>
      <c r="H103" s="15" t="str">
        <f aca="false">IF(C103&gt;=L103,"ja","nein")</f>
        <v>ja</v>
      </c>
      <c r="I103" s="15" t="str">
        <f aca="false">IF(C103&gt;=M103,"ja","nein")</f>
        <v>ja</v>
      </c>
      <c r="J103" s="15" t="n">
        <f aca="false">ROUND(Annahmen!$K$35*(1+Annahmen!$B$20*D103/1000),0)</f>
        <v>893</v>
      </c>
      <c r="K103" s="15" t="n">
        <f aca="false">ROUND(Annahmen!$K$36*(1+Annahmen!$B$20*D103/1000),0)</f>
        <v>1159</v>
      </c>
      <c r="L103" s="15" t="n">
        <f aca="false">ROUND(Annahmen!$K$37*(1+Annahmen!$B$20*D103/1000),0)</f>
        <v>1185</v>
      </c>
      <c r="M103" s="15" t="n">
        <f aca="false">ROUND(Annahmen!$K$38*(1+Annahmen!$B$20*D103/1000),0)</f>
        <v>1185</v>
      </c>
      <c r="N103" s="16" t="s">
        <v>102</v>
      </c>
    </row>
    <row r="104" customFormat="false" ht="15" hidden="false" customHeight="false" outlineLevel="0" collapsed="false">
      <c r="A104" s="13" t="s">
        <v>286</v>
      </c>
      <c r="B104" s="14" t="s">
        <v>287</v>
      </c>
      <c r="C104" s="15" t="n">
        <v>1628</v>
      </c>
      <c r="D104" s="15" t="n">
        <v>597</v>
      </c>
      <c r="E104" s="13" t="s">
        <v>82</v>
      </c>
      <c r="F104" s="15" t="str">
        <f aca="false">IF(C104&gt;=J104,"ja","nein")</f>
        <v>ja</v>
      </c>
      <c r="G104" s="15" t="str">
        <f aca="false">IF(C104&gt;=K104,"ja","nein")</f>
        <v>ja</v>
      </c>
      <c r="H104" s="15" t="str">
        <f aca="false">IF(C104&gt;=L104,"ja","nein")</f>
        <v>ja</v>
      </c>
      <c r="I104" s="15" t="str">
        <f aca="false">IF(C104&gt;=M104,"ja","nein")</f>
        <v>ja</v>
      </c>
      <c r="J104" s="15" t="n">
        <f aca="false">ROUND(Annahmen!$K$35*(1+Annahmen!$B$20*D104/1000),0)</f>
        <v>885</v>
      </c>
      <c r="K104" s="15" t="n">
        <f aca="false">ROUND(Annahmen!$K$36*(1+Annahmen!$B$20*D104/1000),0)</f>
        <v>1150</v>
      </c>
      <c r="L104" s="15" t="n">
        <f aca="false">ROUND(Annahmen!$K$37*(1+Annahmen!$B$20*D104/1000),0)</f>
        <v>1175</v>
      </c>
      <c r="M104" s="15" t="n">
        <f aca="false">ROUND(Annahmen!$K$38*(1+Annahmen!$B$20*D104/1000),0)</f>
        <v>1175</v>
      </c>
      <c r="N104" s="16" t="s">
        <v>288</v>
      </c>
    </row>
    <row r="105" customFormat="false" ht="15" hidden="false" customHeight="false" outlineLevel="0" collapsed="false">
      <c r="A105" s="13" t="s">
        <v>289</v>
      </c>
      <c r="B105" s="14" t="s">
        <v>290</v>
      </c>
      <c r="C105" s="15" t="n">
        <v>1620</v>
      </c>
      <c r="D105" s="15" t="n">
        <v>1966</v>
      </c>
      <c r="E105" s="13" t="s">
        <v>82</v>
      </c>
      <c r="F105" s="15" t="str">
        <f aca="false">IF(C105&gt;=J105,"ja","nein")</f>
        <v>ja</v>
      </c>
      <c r="G105" s="15" t="str">
        <f aca="false">IF(C105&gt;=K105,"ja","nein")</f>
        <v>ja</v>
      </c>
      <c r="H105" s="15" t="str">
        <f aca="false">IF(C105&gt;=L105,"ja","nein")</f>
        <v>ja</v>
      </c>
      <c r="I105" s="15" t="str">
        <f aca="false">IF(C105&gt;=M105,"ja","nein")</f>
        <v>ja</v>
      </c>
      <c r="J105" s="15" t="n">
        <f aca="false">ROUND(Annahmen!$K$35*(1+Annahmen!$B$20*D105/1000),0)</f>
        <v>989</v>
      </c>
      <c r="K105" s="15" t="n">
        <f aca="false">ROUND(Annahmen!$K$36*(1+Annahmen!$B$20*D105/1000),0)</f>
        <v>1284</v>
      </c>
      <c r="L105" s="15" t="n">
        <f aca="false">ROUND(Annahmen!$K$37*(1+Annahmen!$B$20*D105/1000),0)</f>
        <v>1312</v>
      </c>
      <c r="M105" s="15" t="n">
        <f aca="false">ROUND(Annahmen!$K$38*(1+Annahmen!$B$20*D105/1000),0)</f>
        <v>1312</v>
      </c>
      <c r="N105" s="16" t="s">
        <v>86</v>
      </c>
    </row>
    <row r="106" customFormat="false" ht="15" hidden="false" customHeight="false" outlineLevel="0" collapsed="false">
      <c r="A106" s="13" t="s">
        <v>291</v>
      </c>
      <c r="B106" s="14" t="s">
        <v>292</v>
      </c>
      <c r="C106" s="15" t="n">
        <v>1594</v>
      </c>
      <c r="D106" s="15" t="n">
        <v>1516</v>
      </c>
      <c r="E106" s="13" t="s">
        <v>82</v>
      </c>
      <c r="F106" s="15" t="str">
        <f aca="false">IF(C106&gt;=J106,"ja","nein")</f>
        <v>ja</v>
      </c>
      <c r="G106" s="15" t="str">
        <f aca="false">IF(C106&gt;=K106,"ja","nein")</f>
        <v>ja</v>
      </c>
      <c r="H106" s="15" t="str">
        <f aca="false">IF(C106&gt;=L106,"ja","nein")</f>
        <v>ja</v>
      </c>
      <c r="I106" s="15" t="str">
        <f aca="false">IF(C106&gt;=M106,"ja","nein")</f>
        <v>ja</v>
      </c>
      <c r="J106" s="15" t="n">
        <f aca="false">ROUND(Annahmen!$K$35*(1+Annahmen!$B$20*D106/1000),0)</f>
        <v>955</v>
      </c>
      <c r="K106" s="15" t="n">
        <f aca="false">ROUND(Annahmen!$K$36*(1+Annahmen!$B$20*D106/1000),0)</f>
        <v>1240</v>
      </c>
      <c r="L106" s="15" t="n">
        <f aca="false">ROUND(Annahmen!$K$37*(1+Annahmen!$B$20*D106/1000),0)</f>
        <v>1267</v>
      </c>
      <c r="M106" s="15" t="n">
        <f aca="false">ROUND(Annahmen!$K$38*(1+Annahmen!$B$20*D106/1000),0)</f>
        <v>1267</v>
      </c>
      <c r="N106" s="16" t="s">
        <v>86</v>
      </c>
    </row>
    <row r="107" customFormat="false" ht="15" hidden="false" customHeight="false" outlineLevel="0" collapsed="false">
      <c r="A107" s="13" t="s">
        <v>293</v>
      </c>
      <c r="B107" s="14" t="s">
        <v>294</v>
      </c>
      <c r="C107" s="15" t="n">
        <v>1566</v>
      </c>
      <c r="D107" s="15" t="n">
        <v>1818</v>
      </c>
      <c r="E107" s="13" t="s">
        <v>82</v>
      </c>
      <c r="F107" s="15" t="str">
        <f aca="false">IF(C107&gt;=J107,"ja","nein")</f>
        <v>ja</v>
      </c>
      <c r="G107" s="15" t="str">
        <f aca="false">IF(C107&gt;=K107,"ja","nein")</f>
        <v>ja</v>
      </c>
      <c r="H107" s="15" t="str">
        <f aca="false">IF(C107&gt;=L107,"ja","nein")</f>
        <v>ja</v>
      </c>
      <c r="I107" s="15" t="str">
        <f aca="false">IF(C107&gt;=M107,"ja","nein")</f>
        <v>ja</v>
      </c>
      <c r="J107" s="15" t="n">
        <f aca="false">ROUND(Annahmen!$K$35*(1+Annahmen!$B$20*D107/1000),0)</f>
        <v>977</v>
      </c>
      <c r="K107" s="15" t="n">
        <f aca="false">ROUND(Annahmen!$K$36*(1+Annahmen!$B$20*D107/1000),0)</f>
        <v>1270</v>
      </c>
      <c r="L107" s="15" t="n">
        <f aca="false">ROUND(Annahmen!$K$37*(1+Annahmen!$B$20*D107/1000),0)</f>
        <v>1297</v>
      </c>
      <c r="M107" s="15" t="n">
        <f aca="false">ROUND(Annahmen!$K$38*(1+Annahmen!$B$20*D107/1000),0)</f>
        <v>1297</v>
      </c>
      <c r="N107" s="16" t="s">
        <v>86</v>
      </c>
    </row>
    <row r="108" customFormat="false" ht="15" hidden="false" customHeight="false" outlineLevel="0" collapsed="false">
      <c r="A108" s="13" t="s">
        <v>295</v>
      </c>
      <c r="B108" s="14" t="s">
        <v>296</v>
      </c>
      <c r="C108" s="15" t="n">
        <v>1553</v>
      </c>
      <c r="D108" s="15" t="n">
        <v>424</v>
      </c>
      <c r="E108" s="13" t="s">
        <v>82</v>
      </c>
      <c r="F108" s="15" t="str">
        <f aca="false">IF(C108&gt;=J108,"ja","nein")</f>
        <v>ja</v>
      </c>
      <c r="G108" s="15" t="str">
        <f aca="false">IF(C108&gt;=K108,"ja","nein")</f>
        <v>ja</v>
      </c>
      <c r="H108" s="15" t="str">
        <f aca="false">IF(C108&gt;=L108,"ja","nein")</f>
        <v>ja</v>
      </c>
      <c r="I108" s="15" t="str">
        <f aca="false">IF(C108&gt;=M108,"ja","nein")</f>
        <v>ja</v>
      </c>
      <c r="J108" s="15" t="n">
        <f aca="false">ROUND(Annahmen!$K$35*(1+Annahmen!$B$20*D108/1000),0)</f>
        <v>872</v>
      </c>
      <c r="K108" s="15" t="n">
        <f aca="false">ROUND(Annahmen!$K$36*(1+Annahmen!$B$20*D108/1000),0)</f>
        <v>1133</v>
      </c>
      <c r="L108" s="15" t="n">
        <f aca="false">ROUND(Annahmen!$K$37*(1+Annahmen!$B$20*D108/1000),0)</f>
        <v>1158</v>
      </c>
      <c r="M108" s="15" t="n">
        <f aca="false">ROUND(Annahmen!$K$38*(1+Annahmen!$B$20*D108/1000),0)</f>
        <v>1158</v>
      </c>
      <c r="N108" s="16" t="s">
        <v>102</v>
      </c>
    </row>
    <row r="109" customFormat="false" ht="15" hidden="false" customHeight="false" outlineLevel="0" collapsed="false">
      <c r="A109" s="13" t="s">
        <v>297</v>
      </c>
      <c r="B109" s="14" t="s">
        <v>298</v>
      </c>
      <c r="C109" s="15" t="n">
        <v>1540</v>
      </c>
      <c r="D109" s="15" t="n">
        <v>1299</v>
      </c>
      <c r="E109" s="13" t="s">
        <v>82</v>
      </c>
      <c r="F109" s="15" t="str">
        <f aca="false">IF(C109&gt;=J109,"ja","nein")</f>
        <v>ja</v>
      </c>
      <c r="G109" s="15" t="str">
        <f aca="false">IF(C109&gt;=K109,"ja","nein")</f>
        <v>ja</v>
      </c>
      <c r="H109" s="15" t="str">
        <f aca="false">IF(C109&gt;=L109,"ja","nein")</f>
        <v>ja</v>
      </c>
      <c r="I109" s="15" t="str">
        <f aca="false">IF(C109&gt;=M109,"ja","nein")</f>
        <v>ja</v>
      </c>
      <c r="J109" s="15" t="n">
        <f aca="false">ROUND(Annahmen!$K$35*(1+Annahmen!$B$20*D109/1000),0)</f>
        <v>938</v>
      </c>
      <c r="K109" s="15" t="n">
        <f aca="false">ROUND(Annahmen!$K$36*(1+Annahmen!$B$20*D109/1000),0)</f>
        <v>1219</v>
      </c>
      <c r="L109" s="15" t="n">
        <f aca="false">ROUND(Annahmen!$K$37*(1+Annahmen!$B$20*D109/1000),0)</f>
        <v>1245</v>
      </c>
      <c r="M109" s="15" t="n">
        <f aca="false">ROUND(Annahmen!$K$38*(1+Annahmen!$B$20*D109/1000),0)</f>
        <v>1245</v>
      </c>
      <c r="N109" s="16" t="s">
        <v>86</v>
      </c>
    </row>
    <row r="110" customFormat="false" ht="15" hidden="false" customHeight="false" outlineLevel="0" collapsed="false">
      <c r="A110" s="13" t="s">
        <v>299</v>
      </c>
      <c r="B110" s="14" t="s">
        <v>300</v>
      </c>
      <c r="C110" s="15" t="n">
        <v>1538</v>
      </c>
      <c r="D110" s="15" t="n">
        <v>116</v>
      </c>
      <c r="E110" s="13" t="s">
        <v>82</v>
      </c>
      <c r="F110" s="15" t="str">
        <f aca="false">IF(C110&gt;=J110,"ja","nein")</f>
        <v>ja</v>
      </c>
      <c r="G110" s="15" t="str">
        <f aca="false">IF(C110&gt;=K110,"ja","nein")</f>
        <v>ja</v>
      </c>
      <c r="H110" s="15" t="str">
        <f aca="false">IF(C110&gt;=L110,"ja","nein")</f>
        <v>ja</v>
      </c>
      <c r="I110" s="15" t="str">
        <f aca="false">IF(C110&gt;=M110,"ja","nein")</f>
        <v>ja</v>
      </c>
      <c r="J110" s="15" t="n">
        <f aca="false">ROUND(Annahmen!$K$35*(1+Annahmen!$B$20*D110/1000),0)</f>
        <v>849</v>
      </c>
      <c r="K110" s="15" t="n">
        <f aca="false">ROUND(Annahmen!$K$36*(1+Annahmen!$B$20*D110/1000),0)</f>
        <v>1102</v>
      </c>
      <c r="L110" s="15" t="n">
        <f aca="false">ROUND(Annahmen!$K$37*(1+Annahmen!$B$20*D110/1000),0)</f>
        <v>1127</v>
      </c>
      <c r="M110" s="15" t="n">
        <f aca="false">ROUND(Annahmen!$K$38*(1+Annahmen!$B$20*D110/1000),0)</f>
        <v>1127</v>
      </c>
      <c r="N110" s="16" t="s">
        <v>102</v>
      </c>
    </row>
    <row r="111" customFormat="false" ht="15" hidden="false" customHeight="false" outlineLevel="0" collapsed="false">
      <c r="A111" s="13" t="s">
        <v>301</v>
      </c>
      <c r="B111" s="14" t="s">
        <v>302</v>
      </c>
      <c r="C111" s="15" t="n">
        <v>1510</v>
      </c>
      <c r="D111" s="15" t="n">
        <v>152</v>
      </c>
      <c r="E111" s="13" t="s">
        <v>82</v>
      </c>
      <c r="F111" s="15" t="str">
        <f aca="false">IF(C111&gt;=J111,"ja","nein")</f>
        <v>ja</v>
      </c>
      <c r="G111" s="15" t="str">
        <f aca="false">IF(C111&gt;=K111,"ja","nein")</f>
        <v>ja</v>
      </c>
      <c r="H111" s="15" t="str">
        <f aca="false">IF(C111&gt;=L111,"ja","nein")</f>
        <v>ja</v>
      </c>
      <c r="I111" s="15" t="str">
        <f aca="false">IF(C111&gt;=M111,"ja","nein")</f>
        <v>ja</v>
      </c>
      <c r="J111" s="15" t="n">
        <f aca="false">ROUND(Annahmen!$K$35*(1+Annahmen!$B$20*D111/1000),0)</f>
        <v>851</v>
      </c>
      <c r="K111" s="15" t="n">
        <f aca="false">ROUND(Annahmen!$K$36*(1+Annahmen!$B$20*D111/1000),0)</f>
        <v>1106</v>
      </c>
      <c r="L111" s="15" t="n">
        <f aca="false">ROUND(Annahmen!$K$37*(1+Annahmen!$B$20*D111/1000),0)</f>
        <v>1130</v>
      </c>
      <c r="M111" s="15" t="n">
        <f aca="false">ROUND(Annahmen!$K$38*(1+Annahmen!$B$20*D111/1000),0)</f>
        <v>1130</v>
      </c>
      <c r="N111" s="16" t="s">
        <v>303</v>
      </c>
    </row>
    <row r="112" customFormat="false" ht="15" hidden="false" customHeight="false" outlineLevel="0" collapsed="false">
      <c r="A112" s="13" t="s">
        <v>304</v>
      </c>
      <c r="B112" s="14" t="s">
        <v>305</v>
      </c>
      <c r="C112" s="15" t="n">
        <v>1500</v>
      </c>
      <c r="D112" s="15" t="n">
        <v>217</v>
      </c>
      <c r="E112" s="13" t="s">
        <v>82</v>
      </c>
      <c r="F112" s="15" t="str">
        <f aca="false">IF(C112&gt;=J112,"ja","nein")</f>
        <v>ja</v>
      </c>
      <c r="G112" s="15" t="str">
        <f aca="false">IF(C112&gt;=K112,"ja","nein")</f>
        <v>ja</v>
      </c>
      <c r="H112" s="15" t="str">
        <f aca="false">IF(C112&gt;=L112,"ja","nein")</f>
        <v>ja</v>
      </c>
      <c r="I112" s="15" t="str">
        <f aca="false">IF(C112&gt;=M112,"ja","nein")</f>
        <v>ja</v>
      </c>
      <c r="J112" s="15" t="n">
        <f aca="false">ROUND(Annahmen!$K$35*(1+Annahmen!$B$20*D112/1000),0)</f>
        <v>856</v>
      </c>
      <c r="K112" s="15" t="n">
        <f aca="false">ROUND(Annahmen!$K$36*(1+Annahmen!$B$20*D112/1000),0)</f>
        <v>1112</v>
      </c>
      <c r="L112" s="15" t="n">
        <f aca="false">ROUND(Annahmen!$K$37*(1+Annahmen!$B$20*D112/1000),0)</f>
        <v>1137</v>
      </c>
      <c r="M112" s="15" t="n">
        <f aca="false">ROUND(Annahmen!$K$38*(1+Annahmen!$B$20*D112/1000),0)</f>
        <v>1137</v>
      </c>
      <c r="N112" s="16" t="s">
        <v>102</v>
      </c>
    </row>
    <row r="113" customFormat="false" ht="15" hidden="false" customHeight="false" outlineLevel="0" collapsed="false">
      <c r="A113" s="13" t="s">
        <v>306</v>
      </c>
      <c r="B113" s="14" t="s">
        <v>307</v>
      </c>
      <c r="C113" s="15" t="n">
        <v>1480</v>
      </c>
      <c r="D113" s="15" t="n">
        <v>1959</v>
      </c>
      <c r="E113" s="13" t="s">
        <v>82</v>
      </c>
      <c r="F113" s="15" t="str">
        <f aca="false">IF(C113&gt;=J113,"ja","nein")</f>
        <v>ja</v>
      </c>
      <c r="G113" s="15" t="str">
        <f aca="false">IF(C113&gt;=K113,"ja","nein")</f>
        <v>ja</v>
      </c>
      <c r="H113" s="15" t="str">
        <f aca="false">IF(C113&gt;=L113,"ja","nein")</f>
        <v>ja</v>
      </c>
      <c r="I113" s="15" t="str">
        <f aca="false">IF(C113&gt;=M113,"ja","nein")</f>
        <v>ja</v>
      </c>
      <c r="J113" s="15" t="n">
        <f aca="false">ROUND(Annahmen!$K$35*(1+Annahmen!$B$20*D113/1000),0)</f>
        <v>988</v>
      </c>
      <c r="K113" s="15" t="n">
        <f aca="false">ROUND(Annahmen!$K$36*(1+Annahmen!$B$20*D113/1000),0)</f>
        <v>1283</v>
      </c>
      <c r="L113" s="15" t="n">
        <f aca="false">ROUND(Annahmen!$K$37*(1+Annahmen!$B$20*D113/1000),0)</f>
        <v>1312</v>
      </c>
      <c r="M113" s="15" t="n">
        <f aca="false">ROUND(Annahmen!$K$38*(1+Annahmen!$B$20*D113/1000),0)</f>
        <v>1312</v>
      </c>
      <c r="N113" s="16" t="s">
        <v>86</v>
      </c>
    </row>
    <row r="114" customFormat="false" ht="15" hidden="false" customHeight="false" outlineLevel="0" collapsed="false">
      <c r="A114" s="13" t="s">
        <v>308</v>
      </c>
      <c r="B114" s="14" t="s">
        <v>309</v>
      </c>
      <c r="C114" s="15" t="n">
        <v>1459</v>
      </c>
      <c r="D114" s="15" t="n">
        <v>19</v>
      </c>
      <c r="E114" s="13" t="s">
        <v>82</v>
      </c>
      <c r="F114" s="15" t="str">
        <f aca="false">IF(C114&gt;=J114,"ja","nein")</f>
        <v>ja</v>
      </c>
      <c r="G114" s="15" t="str">
        <f aca="false">IF(C114&gt;=K114,"ja","nein")</f>
        <v>ja</v>
      </c>
      <c r="H114" s="15" t="str">
        <f aca="false">IF(C114&gt;=L114,"ja","nein")</f>
        <v>ja</v>
      </c>
      <c r="I114" s="15" t="str">
        <f aca="false">IF(C114&gt;=M114,"ja","nein")</f>
        <v>ja</v>
      </c>
      <c r="J114" s="15" t="n">
        <f aca="false">ROUND(Annahmen!$K$35*(1+Annahmen!$B$20*D114/1000),0)</f>
        <v>841</v>
      </c>
      <c r="K114" s="15" t="n">
        <f aca="false">ROUND(Annahmen!$K$36*(1+Annahmen!$B$20*D114/1000),0)</f>
        <v>1093</v>
      </c>
      <c r="L114" s="15" t="n">
        <f aca="false">ROUND(Annahmen!$K$37*(1+Annahmen!$B$20*D114/1000),0)</f>
        <v>1117</v>
      </c>
      <c r="M114" s="15" t="n">
        <f aca="false">ROUND(Annahmen!$K$38*(1+Annahmen!$B$20*D114/1000),0)</f>
        <v>1117</v>
      </c>
      <c r="N114" s="16" t="s">
        <v>102</v>
      </c>
    </row>
    <row r="115" customFormat="false" ht="15" hidden="false" customHeight="false" outlineLevel="0" collapsed="false">
      <c r="A115" s="13" t="s">
        <v>310</v>
      </c>
      <c r="B115" s="14" t="s">
        <v>311</v>
      </c>
      <c r="C115" s="15" t="n">
        <v>1450</v>
      </c>
      <c r="D115" s="15" t="n">
        <v>909</v>
      </c>
      <c r="E115" s="13" t="s">
        <v>82</v>
      </c>
      <c r="F115" s="15" t="str">
        <f aca="false">IF(C115&gt;=J115,"ja","nein")</f>
        <v>ja</v>
      </c>
      <c r="G115" s="15" t="str">
        <f aca="false">IF(C115&gt;=K115,"ja","nein")</f>
        <v>ja</v>
      </c>
      <c r="H115" s="15" t="str">
        <f aca="false">IF(C115&gt;=L115,"ja","nein")</f>
        <v>ja</v>
      </c>
      <c r="I115" s="15" t="str">
        <f aca="false">IF(C115&gt;=M115,"ja","nein")</f>
        <v>ja</v>
      </c>
      <c r="J115" s="15" t="n">
        <f aca="false">ROUND(Annahmen!$K$35*(1+Annahmen!$B$20*D115/1000),0)</f>
        <v>909</v>
      </c>
      <c r="K115" s="15" t="n">
        <f aca="false">ROUND(Annahmen!$K$36*(1+Annahmen!$B$20*D115/1000),0)</f>
        <v>1180</v>
      </c>
      <c r="L115" s="15" t="n">
        <f aca="false">ROUND(Annahmen!$K$37*(1+Annahmen!$B$20*D115/1000),0)</f>
        <v>1206</v>
      </c>
      <c r="M115" s="15" t="n">
        <f aca="false">ROUND(Annahmen!$K$38*(1+Annahmen!$B$20*D115/1000),0)</f>
        <v>1206</v>
      </c>
      <c r="N115" s="16" t="s">
        <v>102</v>
      </c>
    </row>
    <row r="116" customFormat="false" ht="15" hidden="false" customHeight="false" outlineLevel="0" collapsed="false">
      <c r="A116" s="13" t="s">
        <v>312</v>
      </c>
      <c r="B116" s="14" t="s">
        <v>313</v>
      </c>
      <c r="C116" s="15" t="n">
        <v>1450</v>
      </c>
      <c r="D116" s="15" t="n">
        <v>62</v>
      </c>
      <c r="E116" s="13" t="s">
        <v>82</v>
      </c>
      <c r="F116" s="15" t="str">
        <f aca="false">IF(C116&gt;=J116,"ja","nein")</f>
        <v>ja</v>
      </c>
      <c r="G116" s="15" t="str">
        <f aca="false">IF(C116&gt;=K116,"ja","nein")</f>
        <v>ja</v>
      </c>
      <c r="H116" s="15" t="str">
        <f aca="false">IF(C116&gt;=L116,"ja","nein")</f>
        <v>ja</v>
      </c>
      <c r="I116" s="15" t="str">
        <f aca="false">IF(C116&gt;=M116,"ja","nein")</f>
        <v>ja</v>
      </c>
      <c r="J116" s="15" t="n">
        <f aca="false">ROUND(Annahmen!$K$35*(1+Annahmen!$B$20*D116/1000),0)</f>
        <v>845</v>
      </c>
      <c r="K116" s="15" t="n">
        <f aca="false">ROUND(Annahmen!$K$36*(1+Annahmen!$B$20*D116/1000),0)</f>
        <v>1097</v>
      </c>
      <c r="L116" s="15" t="n">
        <f aca="false">ROUND(Annahmen!$K$37*(1+Annahmen!$B$20*D116/1000),0)</f>
        <v>1121</v>
      </c>
      <c r="M116" s="15" t="n">
        <f aca="false">ROUND(Annahmen!$K$38*(1+Annahmen!$B$20*D116/1000),0)</f>
        <v>1121</v>
      </c>
      <c r="N116" s="16" t="s">
        <v>102</v>
      </c>
    </row>
    <row r="117" customFormat="false" ht="15" hidden="false" customHeight="false" outlineLevel="0" collapsed="false">
      <c r="A117" s="13" t="s">
        <v>314</v>
      </c>
      <c r="B117" s="14" t="s">
        <v>315</v>
      </c>
      <c r="C117" s="15" t="n">
        <v>1415</v>
      </c>
      <c r="D117" s="15" t="n">
        <v>417</v>
      </c>
      <c r="E117" s="13" t="s">
        <v>82</v>
      </c>
      <c r="F117" s="15" t="str">
        <f aca="false">IF(C117&gt;=J117,"ja","nein")</f>
        <v>ja</v>
      </c>
      <c r="G117" s="15" t="str">
        <f aca="false">IF(C117&gt;=K117,"ja","nein")</f>
        <v>ja</v>
      </c>
      <c r="H117" s="15" t="str">
        <f aca="false">IF(C117&gt;=L117,"ja","nein")</f>
        <v>ja</v>
      </c>
      <c r="I117" s="15" t="str">
        <f aca="false">IF(C117&gt;=M117,"ja","nein")</f>
        <v>ja</v>
      </c>
      <c r="J117" s="15" t="n">
        <f aca="false">ROUND(Annahmen!$K$35*(1+Annahmen!$B$20*D117/1000),0)</f>
        <v>872</v>
      </c>
      <c r="K117" s="15" t="n">
        <f aca="false">ROUND(Annahmen!$K$36*(1+Annahmen!$B$20*D117/1000),0)</f>
        <v>1132</v>
      </c>
      <c r="L117" s="15" t="n">
        <f aca="false">ROUND(Annahmen!$K$37*(1+Annahmen!$B$20*D117/1000),0)</f>
        <v>1157</v>
      </c>
      <c r="M117" s="15" t="n">
        <f aca="false">ROUND(Annahmen!$K$38*(1+Annahmen!$B$20*D117/1000),0)</f>
        <v>1157</v>
      </c>
      <c r="N117" s="16" t="s">
        <v>102</v>
      </c>
    </row>
    <row r="118" customFormat="false" ht="15" hidden="false" customHeight="false" outlineLevel="0" collapsed="false">
      <c r="A118" s="13" t="s">
        <v>316</v>
      </c>
      <c r="B118" s="14" t="s">
        <v>317</v>
      </c>
      <c r="C118" s="15" t="n">
        <v>1400</v>
      </c>
      <c r="D118" s="15" t="n">
        <v>384</v>
      </c>
      <c r="E118" s="13" t="s">
        <v>82</v>
      </c>
      <c r="F118" s="15" t="str">
        <f aca="false">IF(C118&gt;=J118,"ja","nein")</f>
        <v>ja</v>
      </c>
      <c r="G118" s="15" t="str">
        <f aca="false">IF(C118&gt;=K118,"ja","nein")</f>
        <v>ja</v>
      </c>
      <c r="H118" s="15" t="str">
        <f aca="false">IF(C118&gt;=L118,"ja","nein")</f>
        <v>ja</v>
      </c>
      <c r="I118" s="15" t="str">
        <f aca="false">IF(C118&gt;=M118,"ja","nein")</f>
        <v>ja</v>
      </c>
      <c r="J118" s="15" t="n">
        <f aca="false">ROUND(Annahmen!$K$35*(1+Annahmen!$B$20*D118/1000),0)</f>
        <v>869</v>
      </c>
      <c r="K118" s="15" t="n">
        <f aca="false">ROUND(Annahmen!$K$36*(1+Annahmen!$B$20*D118/1000),0)</f>
        <v>1129</v>
      </c>
      <c r="L118" s="15" t="n">
        <f aca="false">ROUND(Annahmen!$K$37*(1+Annahmen!$B$20*D118/1000),0)</f>
        <v>1154</v>
      </c>
      <c r="M118" s="15" t="n">
        <f aca="false">ROUND(Annahmen!$K$38*(1+Annahmen!$B$20*D118/1000),0)</f>
        <v>1154</v>
      </c>
      <c r="N118" s="16" t="s">
        <v>318</v>
      </c>
    </row>
    <row r="119" customFormat="false" ht="15" hidden="false" customHeight="false" outlineLevel="0" collapsed="false">
      <c r="A119" s="13" t="s">
        <v>319</v>
      </c>
      <c r="B119" s="14" t="s">
        <v>320</v>
      </c>
      <c r="C119" s="15" t="n">
        <v>1350</v>
      </c>
      <c r="D119" s="15" t="n">
        <v>1047</v>
      </c>
      <c r="E119" s="13" t="s">
        <v>82</v>
      </c>
      <c r="F119" s="15" t="str">
        <f aca="false">IF(C119&gt;=J119,"ja","nein")</f>
        <v>ja</v>
      </c>
      <c r="G119" s="15" t="str">
        <f aca="false">IF(C119&gt;=K119,"ja","nein")</f>
        <v>ja</v>
      </c>
      <c r="H119" s="15" t="str">
        <f aca="false">IF(C119&gt;=L119,"ja","nein")</f>
        <v>ja</v>
      </c>
      <c r="I119" s="15" t="str">
        <f aca="false">IF(C119&gt;=M119,"ja","nein")</f>
        <v>ja</v>
      </c>
      <c r="J119" s="15" t="n">
        <f aca="false">ROUND(Annahmen!$K$35*(1+Annahmen!$B$20*D119/1000),0)</f>
        <v>919</v>
      </c>
      <c r="K119" s="15" t="n">
        <f aca="false">ROUND(Annahmen!$K$36*(1+Annahmen!$B$20*D119/1000),0)</f>
        <v>1194</v>
      </c>
      <c r="L119" s="15" t="n">
        <f aca="false">ROUND(Annahmen!$K$37*(1+Annahmen!$B$20*D119/1000),0)</f>
        <v>1220</v>
      </c>
      <c r="M119" s="15" t="n">
        <f aca="false">ROUND(Annahmen!$K$38*(1+Annahmen!$B$20*D119/1000),0)</f>
        <v>1220</v>
      </c>
      <c r="N119" s="16" t="s">
        <v>102</v>
      </c>
    </row>
    <row r="120" customFormat="false" ht="15" hidden="false" customHeight="false" outlineLevel="0" collapsed="false">
      <c r="A120" s="13" t="s">
        <v>321</v>
      </c>
      <c r="B120" s="14" t="s">
        <v>322</v>
      </c>
      <c r="C120" s="15" t="n">
        <v>1338</v>
      </c>
      <c r="D120" s="15" t="n">
        <v>801</v>
      </c>
      <c r="E120" s="13" t="s">
        <v>82</v>
      </c>
      <c r="F120" s="15" t="str">
        <f aca="false">IF(C120&gt;=J120,"ja","nein")</f>
        <v>ja</v>
      </c>
      <c r="G120" s="15" t="str">
        <f aca="false">IF(C120&gt;=K120,"ja","nein")</f>
        <v>ja</v>
      </c>
      <c r="H120" s="15" t="str">
        <f aca="false">IF(C120&gt;=L120,"ja","nein")</f>
        <v>ja</v>
      </c>
      <c r="I120" s="15" t="str">
        <f aca="false">IF(C120&gt;=M120,"ja","nein")</f>
        <v>ja</v>
      </c>
      <c r="J120" s="15" t="n">
        <f aca="false">ROUND(Annahmen!$K$35*(1+Annahmen!$B$20*D120/1000),0)</f>
        <v>901</v>
      </c>
      <c r="K120" s="15" t="n">
        <f aca="false">ROUND(Annahmen!$K$36*(1+Annahmen!$B$20*D120/1000),0)</f>
        <v>1170</v>
      </c>
      <c r="L120" s="15" t="n">
        <f aca="false">ROUND(Annahmen!$K$37*(1+Annahmen!$B$20*D120/1000),0)</f>
        <v>1195</v>
      </c>
      <c r="M120" s="15" t="n">
        <f aca="false">ROUND(Annahmen!$K$38*(1+Annahmen!$B$20*D120/1000),0)</f>
        <v>1195</v>
      </c>
      <c r="N120" s="16" t="s">
        <v>102</v>
      </c>
    </row>
    <row r="121" customFormat="false" ht="15" hidden="false" customHeight="false" outlineLevel="0" collapsed="false">
      <c r="A121" s="13" t="s">
        <v>323</v>
      </c>
      <c r="B121" s="14" t="s">
        <v>324</v>
      </c>
      <c r="C121" s="15" t="n">
        <v>1315</v>
      </c>
      <c r="D121" s="15" t="n">
        <v>1903</v>
      </c>
      <c r="E121" s="13" t="s">
        <v>82</v>
      </c>
      <c r="F121" s="15" t="str">
        <f aca="false">IF(C121&gt;=J121,"ja","nein")</f>
        <v>ja</v>
      </c>
      <c r="G121" s="15" t="str">
        <f aca="false">IF(C121&gt;=K121,"ja","nein")</f>
        <v>ja</v>
      </c>
      <c r="H121" s="15" t="str">
        <f aca="false">IF(C121&gt;=L121,"ja","nein")</f>
        <v>ja</v>
      </c>
      <c r="I121" s="15" t="str">
        <f aca="false">IF(C121&gt;=M121,"ja","nein")</f>
        <v>ja</v>
      </c>
      <c r="J121" s="15" t="n">
        <f aca="false">ROUND(Annahmen!$K$35*(1+Annahmen!$B$20*D121/1000),0)</f>
        <v>984</v>
      </c>
      <c r="K121" s="15" t="n">
        <f aca="false">ROUND(Annahmen!$K$36*(1+Annahmen!$B$20*D121/1000),0)</f>
        <v>1278</v>
      </c>
      <c r="L121" s="15" t="n">
        <f aca="false">ROUND(Annahmen!$K$37*(1+Annahmen!$B$20*D121/1000),0)</f>
        <v>1306</v>
      </c>
      <c r="M121" s="15" t="n">
        <f aca="false">ROUND(Annahmen!$K$38*(1+Annahmen!$B$20*D121/1000),0)</f>
        <v>1306</v>
      </c>
      <c r="N121" s="16" t="s">
        <v>102</v>
      </c>
    </row>
    <row r="122" customFormat="false" ht="15" hidden="false" customHeight="false" outlineLevel="0" collapsed="false">
      <c r="A122" s="13" t="s">
        <v>325</v>
      </c>
      <c r="B122" s="14" t="s">
        <v>326</v>
      </c>
      <c r="C122" s="15" t="n">
        <v>1300</v>
      </c>
      <c r="D122" s="15" t="n">
        <v>397</v>
      </c>
      <c r="E122" s="13" t="s">
        <v>82</v>
      </c>
      <c r="F122" s="15" t="str">
        <f aca="false">IF(C122&gt;=J122,"ja","nein")</f>
        <v>ja</v>
      </c>
      <c r="G122" s="15" t="str">
        <f aca="false">IF(C122&gt;=K122,"ja","nein")</f>
        <v>ja</v>
      </c>
      <c r="H122" s="15" t="str">
        <f aca="false">IF(C122&gt;=L122,"ja","nein")</f>
        <v>ja</v>
      </c>
      <c r="I122" s="15" t="str">
        <f aca="false">IF(C122&gt;=M122,"ja","nein")</f>
        <v>ja</v>
      </c>
      <c r="J122" s="15" t="n">
        <f aca="false">ROUND(Annahmen!$K$35*(1+Annahmen!$B$20*D122/1000),0)</f>
        <v>870</v>
      </c>
      <c r="K122" s="15" t="n">
        <f aca="false">ROUND(Annahmen!$K$36*(1+Annahmen!$B$20*D122/1000),0)</f>
        <v>1130</v>
      </c>
      <c r="L122" s="15" t="n">
        <f aca="false">ROUND(Annahmen!$K$37*(1+Annahmen!$B$20*D122/1000),0)</f>
        <v>1155</v>
      </c>
      <c r="M122" s="15" t="n">
        <f aca="false">ROUND(Annahmen!$K$38*(1+Annahmen!$B$20*D122/1000),0)</f>
        <v>1155</v>
      </c>
      <c r="N122" s="16" t="s">
        <v>102</v>
      </c>
    </row>
    <row r="123" customFormat="false" ht="15" hidden="false" customHeight="false" outlineLevel="0" collapsed="false">
      <c r="A123" s="13" t="s">
        <v>327</v>
      </c>
      <c r="B123" s="14" t="s">
        <v>328</v>
      </c>
      <c r="C123" s="15" t="n">
        <v>1300</v>
      </c>
      <c r="D123" s="15" t="n">
        <v>3</v>
      </c>
      <c r="E123" s="13" t="s">
        <v>82</v>
      </c>
      <c r="F123" s="15" t="str">
        <f aca="false">IF(C123&gt;=J123,"ja","nein")</f>
        <v>ja</v>
      </c>
      <c r="G123" s="15" t="str">
        <f aca="false">IF(C123&gt;=K123,"ja","nein")</f>
        <v>ja</v>
      </c>
      <c r="H123" s="15" t="str">
        <f aca="false">IF(C123&gt;=L123,"ja","nein")</f>
        <v>ja</v>
      </c>
      <c r="I123" s="15" t="str">
        <f aca="false">IF(C123&gt;=M123,"ja","nein")</f>
        <v>ja</v>
      </c>
      <c r="J123" s="15" t="n">
        <f aca="false">ROUND(Annahmen!$K$35*(1+Annahmen!$B$20*D123/1000),0)</f>
        <v>840</v>
      </c>
      <c r="K123" s="15" t="n">
        <f aca="false">ROUND(Annahmen!$K$36*(1+Annahmen!$B$20*D123/1000),0)</f>
        <v>1091</v>
      </c>
      <c r="L123" s="15" t="n">
        <f aca="false">ROUND(Annahmen!$K$37*(1+Annahmen!$B$20*D123/1000),0)</f>
        <v>1115</v>
      </c>
      <c r="M123" s="15" t="n">
        <f aca="false">ROUND(Annahmen!$K$38*(1+Annahmen!$B$20*D123/1000),0)</f>
        <v>1115</v>
      </c>
      <c r="N123" s="16" t="s">
        <v>102</v>
      </c>
    </row>
    <row r="124" customFormat="false" ht="15" hidden="false" customHeight="false" outlineLevel="0" collapsed="false">
      <c r="A124" s="13" t="s">
        <v>329</v>
      </c>
      <c r="B124" s="14" t="s">
        <v>330</v>
      </c>
      <c r="C124" s="15" t="n">
        <v>1290</v>
      </c>
      <c r="D124" s="15" t="n">
        <v>2231</v>
      </c>
      <c r="E124" s="13" t="s">
        <v>82</v>
      </c>
      <c r="F124" s="15" t="str">
        <f aca="false">IF(C124&gt;=J124,"ja","nein")</f>
        <v>ja</v>
      </c>
      <c r="G124" s="15" t="str">
        <f aca="false">IF(C124&gt;=K124,"ja","nein")</f>
        <v>nein</v>
      </c>
      <c r="H124" s="15" t="str">
        <f aca="false">IF(C124&gt;=L124,"ja","nein")</f>
        <v>nein</v>
      </c>
      <c r="I124" s="15" t="str">
        <f aca="false">IF(C124&gt;=M124,"ja","nein")</f>
        <v>nein</v>
      </c>
      <c r="J124" s="15" t="n">
        <f aca="false">ROUND(Annahmen!$K$35*(1+Annahmen!$B$20*D124/1000),0)</f>
        <v>1009</v>
      </c>
      <c r="K124" s="15" t="n">
        <f aca="false">ROUND(Annahmen!$K$36*(1+Annahmen!$B$20*D124/1000),0)</f>
        <v>1310</v>
      </c>
      <c r="L124" s="15" t="n">
        <f aca="false">ROUND(Annahmen!$K$37*(1+Annahmen!$B$20*D124/1000),0)</f>
        <v>1339</v>
      </c>
      <c r="M124" s="15" t="n">
        <f aca="false">ROUND(Annahmen!$K$38*(1+Annahmen!$B$20*D124/1000),0)</f>
        <v>1339</v>
      </c>
      <c r="N124" s="16" t="s">
        <v>86</v>
      </c>
    </row>
    <row r="125" customFormat="false" ht="15" hidden="false" customHeight="false" outlineLevel="0" collapsed="false">
      <c r="A125" s="13" t="s">
        <v>331</v>
      </c>
      <c r="B125" s="14" t="s">
        <v>332</v>
      </c>
      <c r="C125" s="15" t="n">
        <v>1260</v>
      </c>
      <c r="D125" s="15" t="n">
        <v>102</v>
      </c>
      <c r="E125" s="13" t="s">
        <v>82</v>
      </c>
      <c r="F125" s="15" t="str">
        <f aca="false">IF(C125&gt;=J125,"ja","nein")</f>
        <v>ja</v>
      </c>
      <c r="G125" s="15" t="str">
        <f aca="false">IF(C125&gt;=K125,"ja","nein")</f>
        <v>ja</v>
      </c>
      <c r="H125" s="15" t="str">
        <f aca="false">IF(C125&gt;=L125,"ja","nein")</f>
        <v>ja</v>
      </c>
      <c r="I125" s="15" t="str">
        <f aca="false">IF(C125&gt;=M125,"ja","nein")</f>
        <v>ja</v>
      </c>
      <c r="J125" s="15" t="n">
        <f aca="false">ROUND(Annahmen!$K$35*(1+Annahmen!$B$20*D125/1000),0)</f>
        <v>848</v>
      </c>
      <c r="K125" s="15" t="n">
        <f aca="false">ROUND(Annahmen!$K$36*(1+Annahmen!$B$20*D125/1000),0)</f>
        <v>1101</v>
      </c>
      <c r="L125" s="15" t="n">
        <f aca="false">ROUND(Annahmen!$K$37*(1+Annahmen!$B$20*D125/1000),0)</f>
        <v>1125</v>
      </c>
      <c r="M125" s="15" t="n">
        <f aca="false">ROUND(Annahmen!$K$38*(1+Annahmen!$B$20*D125/1000),0)</f>
        <v>1125</v>
      </c>
      <c r="N125" s="16" t="s">
        <v>86</v>
      </c>
    </row>
    <row r="126" customFormat="false" ht="15" hidden="false" customHeight="false" outlineLevel="0" collapsed="false">
      <c r="A126" s="13" t="s">
        <v>333</v>
      </c>
      <c r="B126" s="14" t="s">
        <v>334</v>
      </c>
      <c r="C126" s="15" t="n">
        <v>1256</v>
      </c>
      <c r="D126" s="15" t="n">
        <v>454</v>
      </c>
      <c r="E126" s="13" t="s">
        <v>82</v>
      </c>
      <c r="F126" s="15" t="str">
        <f aca="false">IF(C126&gt;=J126,"ja","nein")</f>
        <v>ja</v>
      </c>
      <c r="G126" s="15" t="str">
        <f aca="false">IF(C126&gt;=K126,"ja","nein")</f>
        <v>ja</v>
      </c>
      <c r="H126" s="15" t="str">
        <f aca="false">IF(C126&gt;=L126,"ja","nein")</f>
        <v>ja</v>
      </c>
      <c r="I126" s="15" t="str">
        <f aca="false">IF(C126&gt;=M126,"ja","nein")</f>
        <v>ja</v>
      </c>
      <c r="J126" s="15" t="n">
        <f aca="false">ROUND(Annahmen!$K$35*(1+Annahmen!$B$20*D126/1000),0)</f>
        <v>874</v>
      </c>
      <c r="K126" s="15" t="n">
        <f aca="false">ROUND(Annahmen!$K$36*(1+Annahmen!$B$20*D126/1000),0)</f>
        <v>1136</v>
      </c>
      <c r="L126" s="15" t="n">
        <f aca="false">ROUND(Annahmen!$K$37*(1+Annahmen!$B$20*D126/1000),0)</f>
        <v>1161</v>
      </c>
      <c r="M126" s="15" t="n">
        <f aca="false">ROUND(Annahmen!$K$38*(1+Annahmen!$B$20*D126/1000),0)</f>
        <v>1161</v>
      </c>
      <c r="N126" s="16" t="s">
        <v>86</v>
      </c>
    </row>
    <row r="127" customFormat="false" ht="15" hidden="false" customHeight="false" outlineLevel="0" collapsed="false">
      <c r="A127" s="13" t="s">
        <v>335</v>
      </c>
      <c r="B127" s="14" t="s">
        <v>336</v>
      </c>
      <c r="C127" s="15" t="n">
        <v>1248</v>
      </c>
      <c r="D127" s="15" t="n">
        <v>2638</v>
      </c>
      <c r="E127" s="13" t="s">
        <v>82</v>
      </c>
      <c r="F127" s="15" t="str">
        <f aca="false">IF(C127&gt;=J127,"ja","nein")</f>
        <v>ja</v>
      </c>
      <c r="G127" s="15" t="str">
        <f aca="false">IF(C127&gt;=K127,"ja","nein")</f>
        <v>nein</v>
      </c>
      <c r="H127" s="15" t="str">
        <f aca="false">IF(C127&gt;=L127,"ja","nein")</f>
        <v>nein</v>
      </c>
      <c r="I127" s="15" t="str">
        <f aca="false">IF(C127&gt;=M127,"ja","nein")</f>
        <v>nein</v>
      </c>
      <c r="J127" s="15" t="n">
        <f aca="false">ROUND(Annahmen!$K$35*(1+Annahmen!$B$20*D127/1000),0)</f>
        <v>1039</v>
      </c>
      <c r="K127" s="15" t="n">
        <f aca="false">ROUND(Annahmen!$K$36*(1+Annahmen!$B$20*D127/1000),0)</f>
        <v>1350</v>
      </c>
      <c r="L127" s="15" t="n">
        <f aca="false">ROUND(Annahmen!$K$37*(1+Annahmen!$B$20*D127/1000),0)</f>
        <v>1380</v>
      </c>
      <c r="M127" s="15" t="n">
        <f aca="false">ROUND(Annahmen!$K$38*(1+Annahmen!$B$20*D127/1000),0)</f>
        <v>1380</v>
      </c>
      <c r="N127" s="16" t="s">
        <v>102</v>
      </c>
    </row>
    <row r="128" customFormat="false" ht="15" hidden="false" customHeight="false" outlineLevel="0" collapsed="false">
      <c r="A128" s="13" t="s">
        <v>337</v>
      </c>
      <c r="B128" s="14" t="s">
        <v>338</v>
      </c>
      <c r="C128" s="15" t="n">
        <v>1240</v>
      </c>
      <c r="D128" s="15" t="n">
        <v>1158</v>
      </c>
      <c r="E128" s="13" t="s">
        <v>82</v>
      </c>
      <c r="F128" s="15" t="str">
        <f aca="false">IF(C128&gt;=J128,"ja","nein")</f>
        <v>ja</v>
      </c>
      <c r="G128" s="15" t="str">
        <f aca="false">IF(C128&gt;=K128,"ja","nein")</f>
        <v>ja</v>
      </c>
      <c r="H128" s="15" t="str">
        <f aca="false">IF(C128&gt;=L128,"ja","nein")</f>
        <v>ja</v>
      </c>
      <c r="I128" s="15" t="str">
        <f aca="false">IF(C128&gt;=M128,"ja","nein")</f>
        <v>ja</v>
      </c>
      <c r="J128" s="15" t="n">
        <f aca="false">ROUND(Annahmen!$K$35*(1+Annahmen!$B$20*D128/1000),0)</f>
        <v>928</v>
      </c>
      <c r="K128" s="15" t="n">
        <f aca="false">ROUND(Annahmen!$K$36*(1+Annahmen!$B$20*D128/1000),0)</f>
        <v>1205</v>
      </c>
      <c r="L128" s="15" t="n">
        <f aca="false">ROUND(Annahmen!$K$37*(1+Annahmen!$B$20*D128/1000),0)</f>
        <v>1231</v>
      </c>
      <c r="M128" s="15" t="n">
        <f aca="false">ROUND(Annahmen!$K$38*(1+Annahmen!$B$20*D128/1000),0)</f>
        <v>1231</v>
      </c>
      <c r="N128" s="16" t="s">
        <v>102</v>
      </c>
    </row>
    <row r="129" customFormat="false" ht="15" hidden="false" customHeight="false" outlineLevel="0" collapsed="false">
      <c r="A129" s="13" t="s">
        <v>339</v>
      </c>
      <c r="B129" s="14" t="s">
        <v>340</v>
      </c>
      <c r="C129" s="15" t="n">
        <v>1240</v>
      </c>
      <c r="D129" s="15" t="n">
        <v>157</v>
      </c>
      <c r="E129" s="13" t="s">
        <v>82</v>
      </c>
      <c r="F129" s="15" t="str">
        <f aca="false">IF(C129&gt;=J129,"ja","nein")</f>
        <v>ja</v>
      </c>
      <c r="G129" s="15" t="str">
        <f aca="false">IF(C129&gt;=K129,"ja","nein")</f>
        <v>ja</v>
      </c>
      <c r="H129" s="15" t="str">
        <f aca="false">IF(C129&gt;=L129,"ja","nein")</f>
        <v>ja</v>
      </c>
      <c r="I129" s="15" t="str">
        <f aca="false">IF(C129&gt;=M129,"ja","nein")</f>
        <v>ja</v>
      </c>
      <c r="J129" s="15" t="n">
        <f aca="false">ROUND(Annahmen!$K$35*(1+Annahmen!$B$20*D129/1000),0)</f>
        <v>852</v>
      </c>
      <c r="K129" s="15" t="n">
        <f aca="false">ROUND(Annahmen!$K$36*(1+Annahmen!$B$20*D129/1000),0)</f>
        <v>1106</v>
      </c>
      <c r="L129" s="15" t="n">
        <f aca="false">ROUND(Annahmen!$K$37*(1+Annahmen!$B$20*D129/1000),0)</f>
        <v>1131</v>
      </c>
      <c r="M129" s="15" t="n">
        <f aca="false">ROUND(Annahmen!$K$38*(1+Annahmen!$B$20*D129/1000),0)</f>
        <v>1131</v>
      </c>
      <c r="N129" s="16" t="s">
        <v>102</v>
      </c>
    </row>
    <row r="130" customFormat="false" ht="15" hidden="false" customHeight="false" outlineLevel="0" collapsed="false">
      <c r="A130" s="13" t="s">
        <v>341</v>
      </c>
      <c r="B130" s="14" t="s">
        <v>342</v>
      </c>
      <c r="C130" s="15" t="n">
        <v>1220</v>
      </c>
      <c r="D130" s="15" t="n">
        <v>292</v>
      </c>
      <c r="E130" s="13" t="s">
        <v>82</v>
      </c>
      <c r="F130" s="15" t="str">
        <f aca="false">IF(C130&gt;=J130,"ja","nein")</f>
        <v>ja</v>
      </c>
      <c r="G130" s="15" t="str">
        <f aca="false">IF(C130&gt;=K130,"ja","nein")</f>
        <v>ja</v>
      </c>
      <c r="H130" s="15" t="str">
        <f aca="false">IF(C130&gt;=L130,"ja","nein")</f>
        <v>ja</v>
      </c>
      <c r="I130" s="15" t="str">
        <f aca="false">IF(C130&gt;=M130,"ja","nein")</f>
        <v>ja</v>
      </c>
      <c r="J130" s="15" t="n">
        <f aca="false">ROUND(Annahmen!$K$35*(1+Annahmen!$B$20*D130/1000),0)</f>
        <v>862</v>
      </c>
      <c r="K130" s="15" t="n">
        <f aca="false">ROUND(Annahmen!$K$36*(1+Annahmen!$B$20*D130/1000),0)</f>
        <v>1120</v>
      </c>
      <c r="L130" s="15" t="n">
        <f aca="false">ROUND(Annahmen!$K$37*(1+Annahmen!$B$20*D130/1000),0)</f>
        <v>1144</v>
      </c>
      <c r="M130" s="15" t="n">
        <f aca="false">ROUND(Annahmen!$K$38*(1+Annahmen!$B$20*D130/1000),0)</f>
        <v>1144</v>
      </c>
      <c r="N130" s="16" t="s">
        <v>102</v>
      </c>
    </row>
    <row r="131" customFormat="false" ht="15" hidden="false" customHeight="false" outlineLevel="0" collapsed="false">
      <c r="A131" s="13" t="s">
        <v>343</v>
      </c>
      <c r="B131" s="14" t="s">
        <v>344</v>
      </c>
      <c r="C131" s="15" t="n">
        <v>1220</v>
      </c>
      <c r="D131" s="15" t="n">
        <v>131</v>
      </c>
      <c r="E131" s="13" t="s">
        <v>82</v>
      </c>
      <c r="F131" s="15" t="str">
        <f aca="false">IF(C131&gt;=J131,"ja","nein")</f>
        <v>ja</v>
      </c>
      <c r="G131" s="15" t="str">
        <f aca="false">IF(C131&gt;=K131,"ja","nein")</f>
        <v>ja</v>
      </c>
      <c r="H131" s="15" t="str">
        <f aca="false">IF(C131&gt;=L131,"ja","nein")</f>
        <v>ja</v>
      </c>
      <c r="I131" s="15" t="str">
        <f aca="false">IF(C131&gt;=M131,"ja","nein")</f>
        <v>ja</v>
      </c>
      <c r="J131" s="15" t="n">
        <f aca="false">ROUND(Annahmen!$K$35*(1+Annahmen!$B$20*D131/1000),0)</f>
        <v>850</v>
      </c>
      <c r="K131" s="15" t="n">
        <f aca="false">ROUND(Annahmen!$K$36*(1+Annahmen!$B$20*D131/1000),0)</f>
        <v>1104</v>
      </c>
      <c r="L131" s="15" t="n">
        <f aca="false">ROUND(Annahmen!$K$37*(1+Annahmen!$B$20*D131/1000),0)</f>
        <v>1128</v>
      </c>
      <c r="M131" s="15" t="n">
        <f aca="false">ROUND(Annahmen!$K$38*(1+Annahmen!$B$20*D131/1000),0)</f>
        <v>1128</v>
      </c>
      <c r="N131" s="16" t="s">
        <v>102</v>
      </c>
    </row>
    <row r="132" customFormat="false" ht="15" hidden="false" customHeight="false" outlineLevel="0" collapsed="false">
      <c r="A132" s="13" t="s">
        <v>345</v>
      </c>
      <c r="B132" s="14" t="s">
        <v>346</v>
      </c>
      <c r="C132" s="15" t="n">
        <v>1200</v>
      </c>
      <c r="D132" s="15" t="n">
        <v>262</v>
      </c>
      <c r="E132" s="13" t="s">
        <v>82</v>
      </c>
      <c r="F132" s="15" t="str">
        <f aca="false">IF(C132&gt;=J132,"ja","nein")</f>
        <v>ja</v>
      </c>
      <c r="G132" s="15" t="str">
        <f aca="false">IF(C132&gt;=K132,"ja","nein")</f>
        <v>ja</v>
      </c>
      <c r="H132" s="15" t="str">
        <f aca="false">IF(C132&gt;=L132,"ja","nein")</f>
        <v>ja</v>
      </c>
      <c r="I132" s="15" t="str">
        <f aca="false">IF(C132&gt;=M132,"ja","nein")</f>
        <v>ja</v>
      </c>
      <c r="J132" s="15" t="n">
        <f aca="false">ROUND(Annahmen!$K$35*(1+Annahmen!$B$20*D132/1000),0)</f>
        <v>860</v>
      </c>
      <c r="K132" s="15" t="n">
        <f aca="false">ROUND(Annahmen!$K$36*(1+Annahmen!$B$20*D132/1000),0)</f>
        <v>1117</v>
      </c>
      <c r="L132" s="15" t="n">
        <f aca="false">ROUND(Annahmen!$K$37*(1+Annahmen!$B$20*D132/1000),0)</f>
        <v>1141</v>
      </c>
      <c r="M132" s="15" t="n">
        <f aca="false">ROUND(Annahmen!$K$38*(1+Annahmen!$B$20*D132/1000),0)</f>
        <v>1141</v>
      </c>
      <c r="N132" s="16" t="s">
        <v>102</v>
      </c>
    </row>
    <row r="133" customFormat="false" ht="15" hidden="false" customHeight="false" outlineLevel="0" collapsed="false">
      <c r="A133" s="13" t="s">
        <v>347</v>
      </c>
      <c r="B133" s="14" t="s">
        <v>348</v>
      </c>
      <c r="C133" s="15" t="n">
        <v>1200</v>
      </c>
      <c r="D133" s="15" t="n">
        <v>932</v>
      </c>
      <c r="E133" s="13" t="s">
        <v>82</v>
      </c>
      <c r="F133" s="15" t="str">
        <f aca="false">IF(C133&gt;=J133,"ja","nein")</f>
        <v>ja</v>
      </c>
      <c r="G133" s="15" t="str">
        <f aca="false">IF(C133&gt;=K133,"ja","nein")</f>
        <v>ja</v>
      </c>
      <c r="H133" s="15" t="str">
        <f aca="false">IF(C133&gt;=L133,"ja","nein")</f>
        <v>nein</v>
      </c>
      <c r="I133" s="15" t="str">
        <f aca="false">IF(C133&gt;=M133,"ja","nein")</f>
        <v>nein</v>
      </c>
      <c r="J133" s="15" t="n">
        <f aca="false">ROUND(Annahmen!$K$35*(1+Annahmen!$B$20*D133/1000),0)</f>
        <v>910</v>
      </c>
      <c r="K133" s="15" t="n">
        <f aca="false">ROUND(Annahmen!$K$36*(1+Annahmen!$B$20*D133/1000),0)</f>
        <v>1183</v>
      </c>
      <c r="L133" s="15" t="n">
        <f aca="false">ROUND(Annahmen!$K$37*(1+Annahmen!$B$20*D133/1000),0)</f>
        <v>1209</v>
      </c>
      <c r="M133" s="15" t="n">
        <f aca="false">ROUND(Annahmen!$K$38*(1+Annahmen!$B$20*D133/1000),0)</f>
        <v>1209</v>
      </c>
      <c r="N133" s="16" t="s">
        <v>102</v>
      </c>
    </row>
    <row r="134" customFormat="false" ht="15" hidden="false" customHeight="false" outlineLevel="0" collapsed="false">
      <c r="A134" s="13" t="s">
        <v>349</v>
      </c>
      <c r="B134" s="14" t="s">
        <v>350</v>
      </c>
      <c r="C134" s="15" t="n">
        <v>1200</v>
      </c>
      <c r="D134" s="15" t="n">
        <v>125</v>
      </c>
      <c r="E134" s="13" t="s">
        <v>82</v>
      </c>
      <c r="F134" s="15" t="str">
        <f aca="false">IF(C134&gt;=J134,"ja","nein")</f>
        <v>ja</v>
      </c>
      <c r="G134" s="15" t="str">
        <f aca="false">IF(C134&gt;=K134,"ja","nein")</f>
        <v>ja</v>
      </c>
      <c r="H134" s="15" t="str">
        <f aca="false">IF(C134&gt;=L134,"ja","nein")</f>
        <v>ja</v>
      </c>
      <c r="I134" s="15" t="str">
        <f aca="false">IF(C134&gt;=M134,"ja","nein")</f>
        <v>ja</v>
      </c>
      <c r="J134" s="15" t="n">
        <f aca="false">ROUND(Annahmen!$K$35*(1+Annahmen!$B$20*D134/1000),0)</f>
        <v>849</v>
      </c>
      <c r="K134" s="15" t="n">
        <f aca="false">ROUND(Annahmen!$K$36*(1+Annahmen!$B$20*D134/1000),0)</f>
        <v>1103</v>
      </c>
      <c r="L134" s="15" t="n">
        <f aca="false">ROUND(Annahmen!$K$37*(1+Annahmen!$B$20*D134/1000),0)</f>
        <v>1128</v>
      </c>
      <c r="M134" s="15" t="n">
        <f aca="false">ROUND(Annahmen!$K$38*(1+Annahmen!$B$20*D134/1000),0)</f>
        <v>1128</v>
      </c>
      <c r="N134" s="16" t="s">
        <v>86</v>
      </c>
    </row>
    <row r="135" customFormat="false" ht="15" hidden="false" customHeight="false" outlineLevel="0" collapsed="false">
      <c r="A135" s="13" t="s">
        <v>351</v>
      </c>
      <c r="B135" s="14" t="s">
        <v>352</v>
      </c>
      <c r="C135" s="15" t="n">
        <v>1200</v>
      </c>
      <c r="D135" s="15" t="n">
        <v>666</v>
      </c>
      <c r="E135" s="13" t="s">
        <v>82</v>
      </c>
      <c r="F135" s="15" t="str">
        <f aca="false">IF(C135&gt;=J135,"ja","nein")</f>
        <v>ja</v>
      </c>
      <c r="G135" s="15" t="str">
        <f aca="false">IF(C135&gt;=K135,"ja","nein")</f>
        <v>ja</v>
      </c>
      <c r="H135" s="15" t="str">
        <f aca="false">IF(C135&gt;=L135,"ja","nein")</f>
        <v>ja</v>
      </c>
      <c r="I135" s="15" t="str">
        <f aca="false">IF(C135&gt;=M135,"ja","nein")</f>
        <v>ja</v>
      </c>
      <c r="J135" s="15" t="n">
        <f aca="false">ROUND(Annahmen!$K$35*(1+Annahmen!$B$20*D135/1000),0)</f>
        <v>890</v>
      </c>
      <c r="K135" s="15" t="n">
        <f aca="false">ROUND(Annahmen!$K$36*(1+Annahmen!$B$20*D135/1000),0)</f>
        <v>1156</v>
      </c>
      <c r="L135" s="15" t="n">
        <f aca="false">ROUND(Annahmen!$K$37*(1+Annahmen!$B$20*D135/1000),0)</f>
        <v>1182</v>
      </c>
      <c r="M135" s="15" t="n">
        <f aca="false">ROUND(Annahmen!$K$38*(1+Annahmen!$B$20*D135/1000),0)</f>
        <v>1182</v>
      </c>
      <c r="N135" s="16" t="s">
        <v>102</v>
      </c>
    </row>
    <row r="136" customFormat="false" ht="15" hidden="false" customHeight="false" outlineLevel="0" collapsed="false">
      <c r="A136" s="13" t="s">
        <v>353</v>
      </c>
      <c r="B136" s="14" t="s">
        <v>354</v>
      </c>
      <c r="C136" s="15" t="n">
        <v>1200</v>
      </c>
      <c r="D136" s="15" t="n">
        <v>312</v>
      </c>
      <c r="E136" s="13" t="s">
        <v>82</v>
      </c>
      <c r="F136" s="15" t="str">
        <f aca="false">IF(C136&gt;=J136,"ja","nein")</f>
        <v>ja</v>
      </c>
      <c r="G136" s="15" t="str">
        <f aca="false">IF(C136&gt;=K136,"ja","nein")</f>
        <v>ja</v>
      </c>
      <c r="H136" s="15" t="str">
        <f aca="false">IF(C136&gt;=L136,"ja","nein")</f>
        <v>ja</v>
      </c>
      <c r="I136" s="15" t="str">
        <f aca="false">IF(C136&gt;=M136,"ja","nein")</f>
        <v>ja</v>
      </c>
      <c r="J136" s="15" t="n">
        <f aca="false">ROUND(Annahmen!$K$35*(1+Annahmen!$B$20*D136/1000),0)</f>
        <v>864</v>
      </c>
      <c r="K136" s="15" t="n">
        <f aca="false">ROUND(Annahmen!$K$36*(1+Annahmen!$B$20*D136/1000),0)</f>
        <v>1122</v>
      </c>
      <c r="L136" s="15" t="n">
        <f aca="false">ROUND(Annahmen!$K$37*(1+Annahmen!$B$20*D136/1000),0)</f>
        <v>1146</v>
      </c>
      <c r="M136" s="15" t="n">
        <f aca="false">ROUND(Annahmen!$K$38*(1+Annahmen!$B$20*D136/1000),0)</f>
        <v>1146</v>
      </c>
      <c r="N136" s="16" t="s">
        <v>102</v>
      </c>
    </row>
    <row r="137" customFormat="false" ht="15" hidden="false" customHeight="false" outlineLevel="0" collapsed="false">
      <c r="A137" s="13" t="s">
        <v>355</v>
      </c>
      <c r="B137" s="14" t="s">
        <v>356</v>
      </c>
      <c r="C137" s="15" t="n">
        <v>1200</v>
      </c>
      <c r="D137" s="15" t="n">
        <v>3</v>
      </c>
      <c r="E137" s="13" t="s">
        <v>82</v>
      </c>
      <c r="F137" s="15" t="str">
        <f aca="false">IF(C137&gt;=J137,"ja","nein")</f>
        <v>ja</v>
      </c>
      <c r="G137" s="15" t="str">
        <f aca="false">IF(C137&gt;=K137,"ja","nein")</f>
        <v>ja</v>
      </c>
      <c r="H137" s="15" t="str">
        <f aca="false">IF(C137&gt;=L137,"ja","nein")</f>
        <v>ja</v>
      </c>
      <c r="I137" s="15" t="str">
        <f aca="false">IF(C137&gt;=M137,"ja","nein")</f>
        <v>ja</v>
      </c>
      <c r="J137" s="15" t="n">
        <f aca="false">ROUND(Annahmen!$K$35*(1+Annahmen!$B$20*D137/1000),0)</f>
        <v>840</v>
      </c>
      <c r="K137" s="15" t="n">
        <f aca="false">ROUND(Annahmen!$K$36*(1+Annahmen!$B$20*D137/1000),0)</f>
        <v>1091</v>
      </c>
      <c r="L137" s="15" t="n">
        <f aca="false">ROUND(Annahmen!$K$37*(1+Annahmen!$B$20*D137/1000),0)</f>
        <v>1115</v>
      </c>
      <c r="M137" s="15" t="n">
        <f aca="false">ROUND(Annahmen!$K$38*(1+Annahmen!$B$20*D137/1000),0)</f>
        <v>1115</v>
      </c>
      <c r="N137" s="16" t="s">
        <v>102</v>
      </c>
    </row>
    <row r="138" customFormat="false" ht="15" hidden="false" customHeight="false" outlineLevel="0" collapsed="false">
      <c r="A138" s="13" t="s">
        <v>357</v>
      </c>
      <c r="B138" s="14" t="s">
        <v>358</v>
      </c>
      <c r="C138" s="15" t="n">
        <v>1175</v>
      </c>
      <c r="D138" s="15" t="n">
        <v>640</v>
      </c>
      <c r="E138" s="13" t="s">
        <v>82</v>
      </c>
      <c r="F138" s="15" t="str">
        <f aca="false">IF(C138&gt;=J138,"ja","nein")</f>
        <v>ja</v>
      </c>
      <c r="G138" s="15" t="str">
        <f aca="false">IF(C138&gt;=K138,"ja","nein")</f>
        <v>ja</v>
      </c>
      <c r="H138" s="15" t="str">
        <f aca="false">IF(C138&gt;=L138,"ja","nein")</f>
        <v>nein</v>
      </c>
      <c r="I138" s="15" t="str">
        <f aca="false">IF(C138&gt;=M138,"ja","nein")</f>
        <v>nein</v>
      </c>
      <c r="J138" s="15" t="n">
        <f aca="false">ROUND(Annahmen!$K$35*(1+Annahmen!$B$20*D138/1000),0)</f>
        <v>888</v>
      </c>
      <c r="K138" s="15" t="n">
        <f aca="false">ROUND(Annahmen!$K$36*(1+Annahmen!$B$20*D138/1000),0)</f>
        <v>1154</v>
      </c>
      <c r="L138" s="15" t="n">
        <f aca="false">ROUND(Annahmen!$K$37*(1+Annahmen!$B$20*D138/1000),0)</f>
        <v>1179</v>
      </c>
      <c r="M138" s="15" t="n">
        <f aca="false">ROUND(Annahmen!$K$38*(1+Annahmen!$B$20*D138/1000),0)</f>
        <v>1179</v>
      </c>
      <c r="N138" s="16" t="s">
        <v>102</v>
      </c>
    </row>
    <row r="139" customFormat="false" ht="15" hidden="false" customHeight="false" outlineLevel="0" collapsed="false">
      <c r="A139" s="13" t="s">
        <v>359</v>
      </c>
      <c r="B139" s="14" t="s">
        <v>360</v>
      </c>
      <c r="C139" s="15" t="n">
        <v>1170</v>
      </c>
      <c r="D139" s="15" t="n">
        <v>149</v>
      </c>
      <c r="E139" s="13" t="s">
        <v>82</v>
      </c>
      <c r="F139" s="15" t="str">
        <f aca="false">IF(C139&gt;=J139,"ja","nein")</f>
        <v>ja</v>
      </c>
      <c r="G139" s="15" t="str">
        <f aca="false">IF(C139&gt;=K139,"ja","nein")</f>
        <v>ja</v>
      </c>
      <c r="H139" s="15" t="str">
        <f aca="false">IF(C139&gt;=L139,"ja","nein")</f>
        <v>ja</v>
      </c>
      <c r="I139" s="15" t="str">
        <f aca="false">IF(C139&gt;=M139,"ja","nein")</f>
        <v>ja</v>
      </c>
      <c r="J139" s="15" t="n">
        <f aca="false">ROUND(Annahmen!$K$35*(1+Annahmen!$B$20*D139/1000),0)</f>
        <v>851</v>
      </c>
      <c r="K139" s="15" t="n">
        <f aca="false">ROUND(Annahmen!$K$36*(1+Annahmen!$B$20*D139/1000),0)</f>
        <v>1106</v>
      </c>
      <c r="L139" s="15" t="n">
        <f aca="false">ROUND(Annahmen!$K$37*(1+Annahmen!$B$20*D139/1000),0)</f>
        <v>1130</v>
      </c>
      <c r="M139" s="15" t="n">
        <f aca="false">ROUND(Annahmen!$K$38*(1+Annahmen!$B$20*D139/1000),0)</f>
        <v>1130</v>
      </c>
      <c r="N139" s="16" t="s">
        <v>102</v>
      </c>
    </row>
    <row r="140" customFormat="false" ht="15" hidden="false" customHeight="false" outlineLevel="0" collapsed="false">
      <c r="A140" s="13" t="s">
        <v>361</v>
      </c>
      <c r="B140" s="14" t="s">
        <v>362</v>
      </c>
      <c r="C140" s="15" t="n">
        <v>1170</v>
      </c>
      <c r="D140" s="15" t="n">
        <v>1228</v>
      </c>
      <c r="E140" s="13" t="s">
        <v>82</v>
      </c>
      <c r="F140" s="15" t="str">
        <f aca="false">IF(C140&gt;=J140,"ja","nein")</f>
        <v>ja</v>
      </c>
      <c r="G140" s="15" t="str">
        <f aca="false">IF(C140&gt;=K140,"ja","nein")</f>
        <v>nein</v>
      </c>
      <c r="H140" s="15" t="str">
        <f aca="false">IF(C140&gt;=L140,"ja","nein")</f>
        <v>nein</v>
      </c>
      <c r="I140" s="15" t="str">
        <f aca="false">IF(C140&gt;=M140,"ja","nein")</f>
        <v>nein</v>
      </c>
      <c r="J140" s="15" t="n">
        <f aca="false">ROUND(Annahmen!$K$35*(1+Annahmen!$B$20*D140/1000),0)</f>
        <v>933</v>
      </c>
      <c r="K140" s="15" t="n">
        <f aca="false">ROUND(Annahmen!$K$36*(1+Annahmen!$B$20*D140/1000),0)</f>
        <v>1212</v>
      </c>
      <c r="L140" s="15" t="n">
        <f aca="false">ROUND(Annahmen!$K$37*(1+Annahmen!$B$20*D140/1000),0)</f>
        <v>1238</v>
      </c>
      <c r="M140" s="15" t="n">
        <f aca="false">ROUND(Annahmen!$K$38*(1+Annahmen!$B$20*D140/1000),0)</f>
        <v>1238</v>
      </c>
      <c r="N140" s="16" t="s">
        <v>102</v>
      </c>
    </row>
    <row r="141" customFormat="false" ht="15" hidden="false" customHeight="false" outlineLevel="0" collapsed="false">
      <c r="A141" s="13" t="s">
        <v>363</v>
      </c>
      <c r="B141" s="14" t="s">
        <v>364</v>
      </c>
      <c r="C141" s="15" t="n">
        <v>1170</v>
      </c>
      <c r="D141" s="15" t="n">
        <v>1549</v>
      </c>
      <c r="E141" s="13" t="s">
        <v>82</v>
      </c>
      <c r="F141" s="15" t="str">
        <f aca="false">IF(C141&gt;=J141,"ja","nein")</f>
        <v>ja</v>
      </c>
      <c r="G141" s="15" t="str">
        <f aca="false">IF(C141&gt;=K141,"ja","nein")</f>
        <v>nein</v>
      </c>
      <c r="H141" s="15" t="str">
        <f aca="false">IF(C141&gt;=L141,"ja","nein")</f>
        <v>nein</v>
      </c>
      <c r="I141" s="15" t="str">
        <f aca="false">IF(C141&gt;=M141,"ja","nein")</f>
        <v>nein</v>
      </c>
      <c r="J141" s="15" t="n">
        <f aca="false">ROUND(Annahmen!$K$35*(1+Annahmen!$B$20*D141/1000),0)</f>
        <v>957</v>
      </c>
      <c r="K141" s="15" t="n">
        <f aca="false">ROUND(Annahmen!$K$36*(1+Annahmen!$B$20*D141/1000),0)</f>
        <v>1243</v>
      </c>
      <c r="L141" s="15" t="n">
        <f aca="false">ROUND(Annahmen!$K$37*(1+Annahmen!$B$20*D141/1000),0)</f>
        <v>1270</v>
      </c>
      <c r="M141" s="15" t="n">
        <f aca="false">ROUND(Annahmen!$K$38*(1+Annahmen!$B$20*D141/1000),0)</f>
        <v>1270</v>
      </c>
      <c r="N141" s="16" t="s">
        <v>102</v>
      </c>
    </row>
    <row r="142" customFormat="false" ht="15" hidden="false" customHeight="false" outlineLevel="0" collapsed="false">
      <c r="A142" s="13" t="s">
        <v>365</v>
      </c>
      <c r="B142" s="14" t="s">
        <v>366</v>
      </c>
      <c r="C142" s="15" t="n">
        <v>1160</v>
      </c>
      <c r="D142" s="15" t="n">
        <v>623</v>
      </c>
      <c r="E142" s="13" t="s">
        <v>82</v>
      </c>
      <c r="F142" s="15" t="str">
        <f aca="false">IF(C142&gt;=J142,"ja","nein")</f>
        <v>ja</v>
      </c>
      <c r="G142" s="15" t="str">
        <f aca="false">IF(C142&gt;=K142,"ja","nein")</f>
        <v>ja</v>
      </c>
      <c r="H142" s="15" t="str">
        <f aca="false">IF(C142&gt;=L142,"ja","nein")</f>
        <v>nein</v>
      </c>
      <c r="I142" s="15" t="str">
        <f aca="false">IF(C142&gt;=M142,"ja","nein")</f>
        <v>nein</v>
      </c>
      <c r="J142" s="15" t="n">
        <f aca="false">ROUND(Annahmen!$K$35*(1+Annahmen!$B$20*D142/1000),0)</f>
        <v>887</v>
      </c>
      <c r="K142" s="15" t="n">
        <f aca="false">ROUND(Annahmen!$K$36*(1+Annahmen!$B$20*D142/1000),0)</f>
        <v>1152</v>
      </c>
      <c r="L142" s="15" t="n">
        <f aca="false">ROUND(Annahmen!$K$37*(1+Annahmen!$B$20*D142/1000),0)</f>
        <v>1178</v>
      </c>
      <c r="M142" s="15" t="n">
        <f aca="false">ROUND(Annahmen!$K$38*(1+Annahmen!$B$20*D142/1000),0)</f>
        <v>1178</v>
      </c>
      <c r="N142" s="16" t="s">
        <v>102</v>
      </c>
    </row>
    <row r="143" customFormat="false" ht="15" hidden="false" customHeight="false" outlineLevel="0" collapsed="false">
      <c r="A143" s="13" t="s">
        <v>367</v>
      </c>
      <c r="B143" s="14" t="s">
        <v>368</v>
      </c>
      <c r="C143" s="15" t="n">
        <v>1160</v>
      </c>
      <c r="D143" s="15" t="n">
        <v>1342</v>
      </c>
      <c r="E143" s="13" t="s">
        <v>82</v>
      </c>
      <c r="F143" s="15" t="str">
        <f aca="false">IF(C143&gt;=J143,"ja","nein")</f>
        <v>ja</v>
      </c>
      <c r="G143" s="15" t="str">
        <f aca="false">IF(C143&gt;=K143,"ja","nein")</f>
        <v>nein</v>
      </c>
      <c r="H143" s="15" t="str">
        <f aca="false">IF(C143&gt;=L143,"ja","nein")</f>
        <v>nein</v>
      </c>
      <c r="I143" s="15" t="str">
        <f aca="false">IF(C143&gt;=M143,"ja","nein")</f>
        <v>nein</v>
      </c>
      <c r="J143" s="15" t="n">
        <f aca="false">ROUND(Annahmen!$K$35*(1+Annahmen!$B$20*D143/1000),0)</f>
        <v>941</v>
      </c>
      <c r="K143" s="15" t="n">
        <f aca="false">ROUND(Annahmen!$K$36*(1+Annahmen!$B$20*D143/1000),0)</f>
        <v>1223</v>
      </c>
      <c r="L143" s="15" t="n">
        <f aca="false">ROUND(Annahmen!$K$37*(1+Annahmen!$B$20*D143/1000),0)</f>
        <v>1250</v>
      </c>
      <c r="M143" s="15" t="n">
        <f aca="false">ROUND(Annahmen!$K$38*(1+Annahmen!$B$20*D143/1000),0)</f>
        <v>1250</v>
      </c>
      <c r="N143" s="16" t="s">
        <v>102</v>
      </c>
    </row>
    <row r="144" customFormat="false" ht="15" hidden="false" customHeight="false" outlineLevel="0" collapsed="false">
      <c r="A144" s="13" t="s">
        <v>369</v>
      </c>
      <c r="B144" s="14" t="s">
        <v>370</v>
      </c>
      <c r="C144" s="15" t="n">
        <v>1149</v>
      </c>
      <c r="D144" s="15" t="n">
        <v>1857</v>
      </c>
      <c r="E144" s="13" t="s">
        <v>82</v>
      </c>
      <c r="F144" s="15" t="str">
        <f aca="false">IF(C144&gt;=J144,"ja","nein")</f>
        <v>ja</v>
      </c>
      <c r="G144" s="15" t="str">
        <f aca="false">IF(C144&gt;=K144,"ja","nein")</f>
        <v>nein</v>
      </c>
      <c r="H144" s="15" t="str">
        <f aca="false">IF(C144&gt;=L144,"ja","nein")</f>
        <v>nein</v>
      </c>
      <c r="I144" s="15" t="str">
        <f aca="false">IF(C144&gt;=M144,"ja","nein")</f>
        <v>nein</v>
      </c>
      <c r="J144" s="15" t="n">
        <f aca="false">ROUND(Annahmen!$K$35*(1+Annahmen!$B$20*D144/1000),0)</f>
        <v>980</v>
      </c>
      <c r="K144" s="15" t="n">
        <f aca="false">ROUND(Annahmen!$K$36*(1+Annahmen!$B$20*D144/1000),0)</f>
        <v>1273</v>
      </c>
      <c r="L144" s="15" t="n">
        <f aca="false">ROUND(Annahmen!$K$37*(1+Annahmen!$B$20*D144/1000),0)</f>
        <v>1301</v>
      </c>
      <c r="M144" s="15" t="n">
        <f aca="false">ROUND(Annahmen!$K$38*(1+Annahmen!$B$20*D144/1000),0)</f>
        <v>1301</v>
      </c>
      <c r="N144" s="16" t="s">
        <v>102</v>
      </c>
    </row>
    <row r="145" customFormat="false" ht="15" hidden="false" customHeight="false" outlineLevel="0" collapsed="false">
      <c r="A145" s="13" t="s">
        <v>371</v>
      </c>
      <c r="B145" s="14" t="s">
        <v>372</v>
      </c>
      <c r="C145" s="15" t="n">
        <v>1140</v>
      </c>
      <c r="D145" s="15" t="n">
        <v>340</v>
      </c>
      <c r="E145" s="13" t="s">
        <v>82</v>
      </c>
      <c r="F145" s="15" t="str">
        <f aca="false">IF(C145&gt;=J145,"ja","nein")</f>
        <v>ja</v>
      </c>
      <c r="G145" s="15" t="str">
        <f aca="false">IF(C145&gt;=K145,"ja","nein")</f>
        <v>ja</v>
      </c>
      <c r="H145" s="15" t="str">
        <f aca="false">IF(C145&gt;=L145,"ja","nein")</f>
        <v>nein</v>
      </c>
      <c r="I145" s="15" t="str">
        <f aca="false">IF(C145&gt;=M145,"ja","nein")</f>
        <v>nein</v>
      </c>
      <c r="J145" s="15" t="n">
        <f aca="false">ROUND(Annahmen!$K$35*(1+Annahmen!$B$20*D145/1000),0)</f>
        <v>866</v>
      </c>
      <c r="K145" s="15" t="n">
        <f aca="false">ROUND(Annahmen!$K$36*(1+Annahmen!$B$20*D145/1000),0)</f>
        <v>1124</v>
      </c>
      <c r="L145" s="15" t="n">
        <f aca="false">ROUND(Annahmen!$K$37*(1+Annahmen!$B$20*D145/1000),0)</f>
        <v>1149</v>
      </c>
      <c r="M145" s="15" t="n">
        <f aca="false">ROUND(Annahmen!$K$38*(1+Annahmen!$B$20*D145/1000),0)</f>
        <v>1149</v>
      </c>
      <c r="N145" s="16" t="s">
        <v>102</v>
      </c>
    </row>
    <row r="146" customFormat="false" ht="15" hidden="false" customHeight="false" outlineLevel="0" collapsed="false">
      <c r="A146" s="13" t="s">
        <v>373</v>
      </c>
      <c r="B146" s="14" t="s">
        <v>374</v>
      </c>
      <c r="C146" s="15" t="n">
        <v>1138</v>
      </c>
      <c r="D146" s="15" t="n">
        <v>991</v>
      </c>
      <c r="E146" s="13" t="s">
        <v>82</v>
      </c>
      <c r="F146" s="15" t="str">
        <f aca="false">IF(C146&gt;=J146,"ja","nein")</f>
        <v>ja</v>
      </c>
      <c r="G146" s="15" t="str">
        <f aca="false">IF(C146&gt;=K146,"ja","nein")</f>
        <v>nein</v>
      </c>
      <c r="H146" s="15" t="str">
        <f aca="false">IF(C146&gt;=L146,"ja","nein")</f>
        <v>nein</v>
      </c>
      <c r="I146" s="15" t="str">
        <f aca="false">IF(C146&gt;=M146,"ja","nein")</f>
        <v>nein</v>
      </c>
      <c r="J146" s="15" t="n">
        <f aca="false">ROUND(Annahmen!$K$35*(1+Annahmen!$B$20*D146/1000),0)</f>
        <v>915</v>
      </c>
      <c r="K146" s="15" t="n">
        <f aca="false">ROUND(Annahmen!$K$36*(1+Annahmen!$B$20*D146/1000),0)</f>
        <v>1188</v>
      </c>
      <c r="L146" s="15" t="n">
        <f aca="false">ROUND(Annahmen!$K$37*(1+Annahmen!$B$20*D146/1000),0)</f>
        <v>1214</v>
      </c>
      <c r="M146" s="15" t="n">
        <f aca="false">ROUND(Annahmen!$K$38*(1+Annahmen!$B$20*D146/1000),0)</f>
        <v>1214</v>
      </c>
      <c r="N146" s="16" t="s">
        <v>102</v>
      </c>
    </row>
    <row r="147" customFormat="false" ht="15" hidden="false" customHeight="false" outlineLevel="0" collapsed="false">
      <c r="A147" s="13" t="s">
        <v>375</v>
      </c>
      <c r="B147" s="14" t="s">
        <v>376</v>
      </c>
      <c r="C147" s="15" t="n">
        <v>1120</v>
      </c>
      <c r="D147" s="15" t="n">
        <v>350</v>
      </c>
      <c r="E147" s="13" t="s">
        <v>82</v>
      </c>
      <c r="F147" s="15" t="str">
        <f aca="false">IF(C147&gt;=J147,"ja","nein")</f>
        <v>ja</v>
      </c>
      <c r="G147" s="15" t="str">
        <f aca="false">IF(C147&gt;=K147,"ja","nein")</f>
        <v>nein</v>
      </c>
      <c r="H147" s="15" t="str">
        <f aca="false">IF(C147&gt;=L147,"ja","nein")</f>
        <v>nein</v>
      </c>
      <c r="I147" s="15" t="str">
        <f aca="false">IF(C147&gt;=M147,"ja","nein")</f>
        <v>nein</v>
      </c>
      <c r="J147" s="15" t="n">
        <f aca="false">ROUND(Annahmen!$K$35*(1+Annahmen!$B$20*D147/1000),0)</f>
        <v>866</v>
      </c>
      <c r="K147" s="15" t="n">
        <f aca="false">ROUND(Annahmen!$K$36*(1+Annahmen!$B$20*D147/1000),0)</f>
        <v>1125</v>
      </c>
      <c r="L147" s="15" t="n">
        <f aca="false">ROUND(Annahmen!$K$37*(1+Annahmen!$B$20*D147/1000),0)</f>
        <v>1150</v>
      </c>
      <c r="M147" s="15" t="n">
        <f aca="false">ROUND(Annahmen!$K$38*(1+Annahmen!$B$20*D147/1000),0)</f>
        <v>1150</v>
      </c>
      <c r="N147" s="16" t="s">
        <v>102</v>
      </c>
    </row>
    <row r="148" customFormat="false" ht="15" hidden="false" customHeight="false" outlineLevel="0" collapsed="false">
      <c r="A148" s="13" t="s">
        <v>377</v>
      </c>
      <c r="B148" s="14" t="s">
        <v>378</v>
      </c>
      <c r="C148" s="15" t="n">
        <v>1104</v>
      </c>
      <c r="D148" s="15" t="n">
        <v>811</v>
      </c>
      <c r="E148" s="13" t="s">
        <v>82</v>
      </c>
      <c r="F148" s="15" t="str">
        <f aca="false">IF(C148&gt;=J148,"ja","nein")</f>
        <v>ja</v>
      </c>
      <c r="G148" s="15" t="str">
        <f aca="false">IF(C148&gt;=K148,"ja","nein")</f>
        <v>nein</v>
      </c>
      <c r="H148" s="15" t="str">
        <f aca="false">IF(C148&gt;=L148,"ja","nein")</f>
        <v>nein</v>
      </c>
      <c r="I148" s="15" t="str">
        <f aca="false">IF(C148&gt;=M148,"ja","nein")</f>
        <v>nein</v>
      </c>
      <c r="J148" s="15" t="n">
        <f aca="false">ROUND(Annahmen!$K$35*(1+Annahmen!$B$20*D148/1000),0)</f>
        <v>901</v>
      </c>
      <c r="K148" s="15" t="n">
        <f aca="false">ROUND(Annahmen!$K$36*(1+Annahmen!$B$20*D148/1000),0)</f>
        <v>1171</v>
      </c>
      <c r="L148" s="15" t="n">
        <f aca="false">ROUND(Annahmen!$K$37*(1+Annahmen!$B$20*D148/1000),0)</f>
        <v>1196</v>
      </c>
      <c r="M148" s="15" t="n">
        <f aca="false">ROUND(Annahmen!$K$38*(1+Annahmen!$B$20*D148/1000),0)</f>
        <v>1196</v>
      </c>
      <c r="N148" s="16" t="s">
        <v>86</v>
      </c>
    </row>
    <row r="149" customFormat="false" ht="15" hidden="false" customHeight="false" outlineLevel="0" collapsed="false">
      <c r="A149" s="13" t="s">
        <v>379</v>
      </c>
      <c r="B149" s="14" t="s">
        <v>380</v>
      </c>
      <c r="C149" s="15" t="n">
        <v>1100</v>
      </c>
      <c r="D149" s="15" t="n">
        <v>495</v>
      </c>
      <c r="E149" s="13" t="s">
        <v>82</v>
      </c>
      <c r="F149" s="15" t="str">
        <f aca="false">IF(C149&gt;=J149,"ja","nein")</f>
        <v>ja</v>
      </c>
      <c r="G149" s="15" t="str">
        <f aca="false">IF(C149&gt;=K149,"ja","nein")</f>
        <v>nein</v>
      </c>
      <c r="H149" s="15" t="str">
        <f aca="false">IF(C149&gt;=L149,"ja","nein")</f>
        <v>nein</v>
      </c>
      <c r="I149" s="15" t="str">
        <f aca="false">IF(C149&gt;=M149,"ja","nein")</f>
        <v>nein</v>
      </c>
      <c r="J149" s="15" t="n">
        <f aca="false">ROUND(Annahmen!$K$35*(1+Annahmen!$B$20*D149/1000),0)</f>
        <v>877</v>
      </c>
      <c r="K149" s="15" t="n">
        <f aca="false">ROUND(Annahmen!$K$36*(1+Annahmen!$B$20*D149/1000),0)</f>
        <v>1140</v>
      </c>
      <c r="L149" s="15" t="n">
        <f aca="false">ROUND(Annahmen!$K$37*(1+Annahmen!$B$20*D149/1000),0)</f>
        <v>1165</v>
      </c>
      <c r="M149" s="15" t="n">
        <f aca="false">ROUND(Annahmen!$K$38*(1+Annahmen!$B$20*D149/1000),0)</f>
        <v>1165</v>
      </c>
      <c r="N149" s="16" t="s">
        <v>102</v>
      </c>
    </row>
    <row r="150" customFormat="false" ht="15" hidden="false" customHeight="false" outlineLevel="0" collapsed="false">
      <c r="A150" s="13" t="s">
        <v>381</v>
      </c>
      <c r="B150" s="14" t="s">
        <v>382</v>
      </c>
      <c r="C150" s="15" t="n">
        <v>1100</v>
      </c>
      <c r="D150" s="15" t="n">
        <v>719</v>
      </c>
      <c r="E150" s="13" t="s">
        <v>82</v>
      </c>
      <c r="F150" s="15" t="str">
        <f aca="false">IF(C150&gt;=J150,"ja","nein")</f>
        <v>ja</v>
      </c>
      <c r="G150" s="15" t="str">
        <f aca="false">IF(C150&gt;=K150,"ja","nein")</f>
        <v>nein</v>
      </c>
      <c r="H150" s="15" t="str">
        <f aca="false">IF(C150&gt;=L150,"ja","nein")</f>
        <v>nein</v>
      </c>
      <c r="I150" s="15" t="str">
        <f aca="false">IF(C150&gt;=M150,"ja","nein")</f>
        <v>nein</v>
      </c>
      <c r="J150" s="15" t="n">
        <f aca="false">ROUND(Annahmen!$K$35*(1+Annahmen!$B$20*D150/1000),0)</f>
        <v>894</v>
      </c>
      <c r="K150" s="15" t="n">
        <f aca="false">ROUND(Annahmen!$K$36*(1+Annahmen!$B$20*D150/1000),0)</f>
        <v>1162</v>
      </c>
      <c r="L150" s="15" t="n">
        <f aca="false">ROUND(Annahmen!$K$37*(1+Annahmen!$B$20*D150/1000),0)</f>
        <v>1187</v>
      </c>
      <c r="M150" s="15" t="n">
        <f aca="false">ROUND(Annahmen!$K$38*(1+Annahmen!$B$20*D150/1000),0)</f>
        <v>1187</v>
      </c>
      <c r="N150" s="16" t="s">
        <v>102</v>
      </c>
    </row>
    <row r="151" customFormat="false" ht="15" hidden="false" customHeight="false" outlineLevel="0" collapsed="false">
      <c r="A151" s="13" t="s">
        <v>383</v>
      </c>
      <c r="B151" s="14" t="s">
        <v>384</v>
      </c>
      <c r="C151" s="15" t="n">
        <v>1070</v>
      </c>
      <c r="D151" s="15" t="n">
        <v>1896</v>
      </c>
      <c r="E151" s="13" t="s">
        <v>82</v>
      </c>
      <c r="F151" s="15" t="str">
        <f aca="false">IF(C151&gt;=J151,"ja","nein")</f>
        <v>ja</v>
      </c>
      <c r="G151" s="15" t="str">
        <f aca="false">IF(C151&gt;=K151,"ja","nein")</f>
        <v>nein</v>
      </c>
      <c r="H151" s="15" t="str">
        <f aca="false">IF(C151&gt;=L151,"ja","nein")</f>
        <v>nein</v>
      </c>
      <c r="I151" s="15" t="str">
        <f aca="false">IF(C151&gt;=M151,"ja","nein")</f>
        <v>nein</v>
      </c>
      <c r="J151" s="15" t="n">
        <f aca="false">ROUND(Annahmen!$K$35*(1+Annahmen!$B$20*D151/1000),0)</f>
        <v>983</v>
      </c>
      <c r="K151" s="15" t="n">
        <f aca="false">ROUND(Annahmen!$K$36*(1+Annahmen!$B$20*D151/1000),0)</f>
        <v>1277</v>
      </c>
      <c r="L151" s="15" t="n">
        <f aca="false">ROUND(Annahmen!$K$37*(1+Annahmen!$B$20*D151/1000),0)</f>
        <v>1305</v>
      </c>
      <c r="M151" s="15" t="n">
        <f aca="false">ROUND(Annahmen!$K$38*(1+Annahmen!$B$20*D151/1000),0)</f>
        <v>1305</v>
      </c>
      <c r="N151" s="16" t="s">
        <v>102</v>
      </c>
    </row>
    <row r="152" customFormat="false" ht="15" hidden="false" customHeight="false" outlineLevel="0" collapsed="false">
      <c r="A152" s="13" t="s">
        <v>385</v>
      </c>
      <c r="B152" s="14" t="s">
        <v>386</v>
      </c>
      <c r="C152" s="15" t="n">
        <v>1066</v>
      </c>
      <c r="D152" s="15" t="n">
        <v>308</v>
      </c>
      <c r="E152" s="13" t="s">
        <v>82</v>
      </c>
      <c r="F152" s="15" t="str">
        <f aca="false">IF(C152&gt;=J152,"ja","nein")</f>
        <v>ja</v>
      </c>
      <c r="G152" s="15" t="str">
        <f aca="false">IF(C152&gt;=K152,"ja","nein")</f>
        <v>nein</v>
      </c>
      <c r="H152" s="15" t="str">
        <f aca="false">IF(C152&gt;=L152,"ja","nein")</f>
        <v>nein</v>
      </c>
      <c r="I152" s="15" t="str">
        <f aca="false">IF(C152&gt;=M152,"ja","nein")</f>
        <v>nein</v>
      </c>
      <c r="J152" s="15" t="n">
        <f aca="false">ROUND(Annahmen!$K$35*(1+Annahmen!$B$20*D152/1000),0)</f>
        <v>863</v>
      </c>
      <c r="K152" s="15" t="n">
        <f aca="false">ROUND(Annahmen!$K$36*(1+Annahmen!$B$20*D152/1000),0)</f>
        <v>1121</v>
      </c>
      <c r="L152" s="15" t="n">
        <f aca="false">ROUND(Annahmen!$K$37*(1+Annahmen!$B$20*D152/1000),0)</f>
        <v>1146</v>
      </c>
      <c r="M152" s="15" t="n">
        <f aca="false">ROUND(Annahmen!$K$38*(1+Annahmen!$B$20*D152/1000),0)</f>
        <v>1146</v>
      </c>
      <c r="N152" s="16" t="s">
        <v>86</v>
      </c>
    </row>
    <row r="153" customFormat="false" ht="15" hidden="false" customHeight="false" outlineLevel="0" collapsed="false">
      <c r="A153" s="13" t="s">
        <v>387</v>
      </c>
      <c r="B153" s="14" t="s">
        <v>388</v>
      </c>
      <c r="C153" s="15" t="n">
        <v>1055</v>
      </c>
      <c r="D153" s="15" t="n">
        <v>794</v>
      </c>
      <c r="E153" s="13" t="s">
        <v>82</v>
      </c>
      <c r="F153" s="15" t="str">
        <f aca="false">IF(C153&gt;=J153,"ja","nein")</f>
        <v>ja</v>
      </c>
      <c r="G153" s="15" t="str">
        <f aca="false">IF(C153&gt;=K153,"ja","nein")</f>
        <v>nein</v>
      </c>
      <c r="H153" s="15" t="str">
        <f aca="false">IF(C153&gt;=L153,"ja","nein")</f>
        <v>nein</v>
      </c>
      <c r="I153" s="15" t="str">
        <f aca="false">IF(C153&gt;=M153,"ja","nein")</f>
        <v>nein</v>
      </c>
      <c r="J153" s="15" t="n">
        <f aca="false">ROUND(Annahmen!$K$35*(1+Annahmen!$B$20*D153/1000),0)</f>
        <v>900</v>
      </c>
      <c r="K153" s="15" t="n">
        <f aca="false">ROUND(Annahmen!$K$36*(1+Annahmen!$B$20*D153/1000),0)</f>
        <v>1169</v>
      </c>
      <c r="L153" s="15" t="n">
        <f aca="false">ROUND(Annahmen!$K$37*(1+Annahmen!$B$20*D153/1000),0)</f>
        <v>1195</v>
      </c>
      <c r="M153" s="15" t="n">
        <f aca="false">ROUND(Annahmen!$K$38*(1+Annahmen!$B$20*D153/1000),0)</f>
        <v>1195</v>
      </c>
      <c r="N153" s="16" t="s">
        <v>102</v>
      </c>
    </row>
    <row r="154" customFormat="false" ht="15" hidden="false" customHeight="false" outlineLevel="0" collapsed="false">
      <c r="A154" s="13" t="s">
        <v>389</v>
      </c>
      <c r="B154" s="14" t="s">
        <v>390</v>
      </c>
      <c r="C154" s="15" t="n">
        <v>1040</v>
      </c>
      <c r="D154" s="15" t="n">
        <v>89</v>
      </c>
      <c r="E154" s="13" t="s">
        <v>82</v>
      </c>
      <c r="F154" s="15" t="str">
        <f aca="false">IF(C154&gt;=J154,"ja","nein")</f>
        <v>ja</v>
      </c>
      <c r="G154" s="15" t="str">
        <f aca="false">IF(C154&gt;=K154,"ja","nein")</f>
        <v>nein</v>
      </c>
      <c r="H154" s="15" t="str">
        <f aca="false">IF(C154&gt;=L154,"ja","nein")</f>
        <v>nein</v>
      </c>
      <c r="I154" s="15" t="str">
        <f aca="false">IF(C154&gt;=M154,"ja","nein")</f>
        <v>nein</v>
      </c>
      <c r="J154" s="15" t="n">
        <f aca="false">ROUND(Annahmen!$K$35*(1+Annahmen!$B$20*D154/1000),0)</f>
        <v>847</v>
      </c>
      <c r="K154" s="15" t="n">
        <f aca="false">ROUND(Annahmen!$K$36*(1+Annahmen!$B$20*D154/1000),0)</f>
        <v>1100</v>
      </c>
      <c r="L154" s="15" t="n">
        <f aca="false">ROUND(Annahmen!$K$37*(1+Annahmen!$B$20*D154/1000),0)</f>
        <v>1124</v>
      </c>
      <c r="M154" s="15" t="n">
        <f aca="false">ROUND(Annahmen!$K$38*(1+Annahmen!$B$20*D154/1000),0)</f>
        <v>1124</v>
      </c>
      <c r="N154" s="16" t="s">
        <v>102</v>
      </c>
    </row>
    <row r="155" customFormat="false" ht="15" hidden="false" customHeight="false" outlineLevel="0" collapsed="false">
      <c r="A155" s="13" t="s">
        <v>391</v>
      </c>
      <c r="B155" s="14" t="s">
        <v>392</v>
      </c>
      <c r="C155" s="15" t="n">
        <v>1034</v>
      </c>
      <c r="D155" s="15" t="n">
        <v>1601</v>
      </c>
      <c r="E155" s="13" t="s">
        <v>82</v>
      </c>
      <c r="F155" s="15" t="str">
        <f aca="false">IF(C155&gt;=J155,"ja","nein")</f>
        <v>ja</v>
      </c>
      <c r="G155" s="15" t="str">
        <f aca="false">IF(C155&gt;=K155,"ja","nein")</f>
        <v>nein</v>
      </c>
      <c r="H155" s="15" t="str">
        <f aca="false">IF(C155&gt;=L155,"ja","nein")</f>
        <v>nein</v>
      </c>
      <c r="I155" s="15" t="str">
        <f aca="false">IF(C155&gt;=M155,"ja","nein")</f>
        <v>nein</v>
      </c>
      <c r="J155" s="15" t="n">
        <f aca="false">ROUND(Annahmen!$K$35*(1+Annahmen!$B$20*D155/1000),0)</f>
        <v>961</v>
      </c>
      <c r="K155" s="15" t="n">
        <f aca="false">ROUND(Annahmen!$K$36*(1+Annahmen!$B$20*D155/1000),0)</f>
        <v>1248</v>
      </c>
      <c r="L155" s="15" t="n">
        <f aca="false">ROUND(Annahmen!$K$37*(1+Annahmen!$B$20*D155/1000),0)</f>
        <v>1276</v>
      </c>
      <c r="M155" s="15" t="n">
        <f aca="false">ROUND(Annahmen!$K$38*(1+Annahmen!$B$20*D155/1000),0)</f>
        <v>1276</v>
      </c>
      <c r="N155" s="16" t="s">
        <v>86</v>
      </c>
    </row>
    <row r="156" customFormat="false" ht="15" hidden="false" customHeight="false" outlineLevel="0" collapsed="false">
      <c r="A156" s="13" t="s">
        <v>393</v>
      </c>
      <c r="B156" s="14" t="s">
        <v>394</v>
      </c>
      <c r="C156" s="15" t="n">
        <v>1020</v>
      </c>
      <c r="D156" s="15" t="n">
        <v>2100</v>
      </c>
      <c r="E156" s="13" t="s">
        <v>82</v>
      </c>
      <c r="F156" s="15" t="str">
        <f aca="false">IF(C156&gt;=J156,"ja","nein")</f>
        <v>ja</v>
      </c>
      <c r="G156" s="15" t="str">
        <f aca="false">IF(C156&gt;=K156,"ja","nein")</f>
        <v>nein</v>
      </c>
      <c r="H156" s="15" t="str">
        <f aca="false">IF(C156&gt;=L156,"ja","nein")</f>
        <v>nein</v>
      </c>
      <c r="I156" s="15" t="str">
        <f aca="false">IF(C156&gt;=M156,"ja","nein")</f>
        <v>nein</v>
      </c>
      <c r="J156" s="15" t="n">
        <f aca="false">ROUND(Annahmen!$K$35*(1+Annahmen!$B$20*D156/1000),0)</f>
        <v>999</v>
      </c>
      <c r="K156" s="15" t="n">
        <f aca="false">ROUND(Annahmen!$K$36*(1+Annahmen!$B$20*D156/1000),0)</f>
        <v>1297</v>
      </c>
      <c r="L156" s="15" t="n">
        <f aca="false">ROUND(Annahmen!$K$37*(1+Annahmen!$B$20*D156/1000),0)</f>
        <v>1326</v>
      </c>
      <c r="M156" s="15" t="n">
        <f aca="false">ROUND(Annahmen!$K$38*(1+Annahmen!$B$20*D156/1000),0)</f>
        <v>1326</v>
      </c>
      <c r="N156" s="16" t="s">
        <v>102</v>
      </c>
    </row>
    <row r="157" customFormat="false" ht="15" hidden="false" customHeight="false" outlineLevel="0" collapsed="false">
      <c r="A157" s="13" t="s">
        <v>395</v>
      </c>
      <c r="B157" s="14" t="s">
        <v>396</v>
      </c>
      <c r="C157" s="15" t="n">
        <v>1000</v>
      </c>
      <c r="D157" s="15" t="n">
        <v>187</v>
      </c>
      <c r="E157" s="13" t="s">
        <v>82</v>
      </c>
      <c r="F157" s="15" t="str">
        <f aca="false">IF(C157&gt;=J157,"ja","nein")</f>
        <v>ja</v>
      </c>
      <c r="G157" s="15" t="str">
        <f aca="false">IF(C157&gt;=K157,"ja","nein")</f>
        <v>nein</v>
      </c>
      <c r="H157" s="15" t="str">
        <f aca="false">IF(C157&gt;=L157,"ja","nein")</f>
        <v>nein</v>
      </c>
      <c r="I157" s="15" t="str">
        <f aca="false">IF(C157&gt;=M157,"ja","nein")</f>
        <v>nein</v>
      </c>
      <c r="J157" s="15" t="n">
        <f aca="false">ROUND(Annahmen!$K$35*(1+Annahmen!$B$20*D157/1000),0)</f>
        <v>854</v>
      </c>
      <c r="K157" s="15" t="n">
        <f aca="false">ROUND(Annahmen!$K$36*(1+Annahmen!$B$20*D157/1000),0)</f>
        <v>1109</v>
      </c>
      <c r="L157" s="15" t="n">
        <f aca="false">ROUND(Annahmen!$K$37*(1+Annahmen!$B$20*D157/1000),0)</f>
        <v>1134</v>
      </c>
      <c r="M157" s="15" t="n">
        <f aca="false">ROUND(Annahmen!$K$38*(1+Annahmen!$B$20*D157/1000),0)</f>
        <v>1134</v>
      </c>
      <c r="N157" s="16" t="s">
        <v>102</v>
      </c>
    </row>
    <row r="158" customFormat="false" ht="15" hidden="false" customHeight="false" outlineLevel="0" collapsed="false">
      <c r="A158" s="13" t="s">
        <v>397</v>
      </c>
      <c r="B158" s="14" t="s">
        <v>398</v>
      </c>
      <c r="C158" s="15" t="n">
        <v>1000</v>
      </c>
      <c r="D158" s="15" t="n">
        <v>322</v>
      </c>
      <c r="E158" s="13" t="s">
        <v>82</v>
      </c>
      <c r="F158" s="15" t="str">
        <f aca="false">IF(C158&gt;=J158,"ja","nein")</f>
        <v>ja</v>
      </c>
      <c r="G158" s="15" t="str">
        <f aca="false">IF(C158&gt;=K158,"ja","nein")</f>
        <v>nein</v>
      </c>
      <c r="H158" s="15" t="str">
        <f aca="false">IF(C158&gt;=L158,"ja","nein")</f>
        <v>nein</v>
      </c>
      <c r="I158" s="15" t="str">
        <f aca="false">IF(C158&gt;=M158,"ja","nein")</f>
        <v>nein</v>
      </c>
      <c r="J158" s="15" t="n">
        <f aca="false">ROUND(Annahmen!$K$35*(1+Annahmen!$B$20*D158/1000),0)</f>
        <v>864</v>
      </c>
      <c r="K158" s="15" t="n">
        <f aca="false">ROUND(Annahmen!$K$36*(1+Annahmen!$B$20*D158/1000),0)</f>
        <v>1123</v>
      </c>
      <c r="L158" s="15" t="n">
        <f aca="false">ROUND(Annahmen!$K$37*(1+Annahmen!$B$20*D158/1000),0)</f>
        <v>1147</v>
      </c>
      <c r="M158" s="15" t="n">
        <f aca="false">ROUND(Annahmen!$K$38*(1+Annahmen!$B$20*D158/1000),0)</f>
        <v>1147</v>
      </c>
      <c r="N158" s="16" t="s">
        <v>102</v>
      </c>
    </row>
    <row r="159" customFormat="false" ht="15" hidden="false" customHeight="false" outlineLevel="0" collapsed="false">
      <c r="A159" s="13" t="s">
        <v>399</v>
      </c>
      <c r="B159" s="14" t="s">
        <v>400</v>
      </c>
      <c r="C159" s="15" t="n">
        <v>1000</v>
      </c>
      <c r="D159" s="15" t="n">
        <v>130</v>
      </c>
      <c r="E159" s="13" t="s">
        <v>82</v>
      </c>
      <c r="F159" s="15" t="str">
        <f aca="false">IF(C159&gt;=J159,"ja","nein")</f>
        <v>ja</v>
      </c>
      <c r="G159" s="15" t="str">
        <f aca="false">IF(C159&gt;=K159,"ja","nein")</f>
        <v>nein</v>
      </c>
      <c r="H159" s="15" t="str">
        <f aca="false">IF(C159&gt;=L159,"ja","nein")</f>
        <v>nein</v>
      </c>
      <c r="I159" s="15" t="str">
        <f aca="false">IF(C159&gt;=M159,"ja","nein")</f>
        <v>nein</v>
      </c>
      <c r="J159" s="15" t="n">
        <f aca="false">ROUND(Annahmen!$K$35*(1+Annahmen!$B$20*D159/1000),0)</f>
        <v>850</v>
      </c>
      <c r="K159" s="15" t="n">
        <f aca="false">ROUND(Annahmen!$K$36*(1+Annahmen!$B$20*D159/1000),0)</f>
        <v>1104</v>
      </c>
      <c r="L159" s="15" t="n">
        <f aca="false">ROUND(Annahmen!$K$37*(1+Annahmen!$B$20*D159/1000),0)</f>
        <v>1128</v>
      </c>
      <c r="M159" s="15" t="n">
        <f aca="false">ROUND(Annahmen!$K$38*(1+Annahmen!$B$20*D159/1000),0)</f>
        <v>1128</v>
      </c>
      <c r="N159" s="16" t="s">
        <v>102</v>
      </c>
    </row>
    <row r="160" customFormat="false" ht="15" hidden="false" customHeight="false" outlineLevel="0" collapsed="false">
      <c r="A160" s="13" t="s">
        <v>401</v>
      </c>
      <c r="B160" s="14" t="s">
        <v>402</v>
      </c>
      <c r="C160" s="15" t="n">
        <v>1000</v>
      </c>
      <c r="D160" s="15" t="n">
        <v>268</v>
      </c>
      <c r="E160" s="13" t="s">
        <v>82</v>
      </c>
      <c r="F160" s="15" t="str">
        <f aca="false">IF(C160&gt;=J160,"ja","nein")</f>
        <v>ja</v>
      </c>
      <c r="G160" s="15" t="str">
        <f aca="false">IF(C160&gt;=K160,"ja","nein")</f>
        <v>nein</v>
      </c>
      <c r="H160" s="15" t="str">
        <f aca="false">IF(C160&gt;=L160,"ja","nein")</f>
        <v>nein</v>
      </c>
      <c r="I160" s="15" t="str">
        <f aca="false">IF(C160&gt;=M160,"ja","nein")</f>
        <v>nein</v>
      </c>
      <c r="J160" s="15" t="n">
        <f aca="false">ROUND(Annahmen!$K$35*(1+Annahmen!$B$20*D160/1000),0)</f>
        <v>860</v>
      </c>
      <c r="K160" s="15" t="n">
        <f aca="false">ROUND(Annahmen!$K$36*(1+Annahmen!$B$20*D160/1000),0)</f>
        <v>1117</v>
      </c>
      <c r="L160" s="15" t="n">
        <f aca="false">ROUND(Annahmen!$K$37*(1+Annahmen!$B$20*D160/1000),0)</f>
        <v>1142</v>
      </c>
      <c r="M160" s="15" t="n">
        <f aca="false">ROUND(Annahmen!$K$38*(1+Annahmen!$B$20*D160/1000),0)</f>
        <v>1142</v>
      </c>
      <c r="N160" s="16" t="s">
        <v>102</v>
      </c>
    </row>
    <row r="161" customFormat="false" ht="15" hidden="false" customHeight="false" outlineLevel="0" collapsed="false">
      <c r="A161" s="13" t="s">
        <v>403</v>
      </c>
      <c r="B161" s="14" t="s">
        <v>404</v>
      </c>
      <c r="C161" s="15" t="n">
        <v>1000</v>
      </c>
      <c r="D161" s="15" t="n">
        <v>16</v>
      </c>
      <c r="E161" s="13" t="s">
        <v>82</v>
      </c>
      <c r="F161" s="15" t="str">
        <f aca="false">IF(C161&gt;=J161,"ja","nein")</f>
        <v>ja</v>
      </c>
      <c r="G161" s="15" t="str">
        <f aca="false">IF(C161&gt;=K161,"ja","nein")</f>
        <v>nein</v>
      </c>
      <c r="H161" s="15" t="str">
        <f aca="false">IF(C161&gt;=L161,"ja","nein")</f>
        <v>nein</v>
      </c>
      <c r="I161" s="15" t="str">
        <f aca="false">IF(C161&gt;=M161,"ja","nein")</f>
        <v>nein</v>
      </c>
      <c r="J161" s="15" t="n">
        <f aca="false">ROUND(Annahmen!$K$35*(1+Annahmen!$B$20*D161/1000),0)</f>
        <v>841</v>
      </c>
      <c r="K161" s="15" t="n">
        <f aca="false">ROUND(Annahmen!$K$36*(1+Annahmen!$B$20*D161/1000),0)</f>
        <v>1093</v>
      </c>
      <c r="L161" s="15" t="n">
        <f aca="false">ROUND(Annahmen!$K$37*(1+Annahmen!$B$20*D161/1000),0)</f>
        <v>1117</v>
      </c>
      <c r="M161" s="15" t="n">
        <f aca="false">ROUND(Annahmen!$K$38*(1+Annahmen!$B$20*D161/1000),0)</f>
        <v>1117</v>
      </c>
      <c r="N161" s="16" t="s">
        <v>102</v>
      </c>
    </row>
    <row r="162" customFormat="false" ht="15" hidden="false" customHeight="false" outlineLevel="0" collapsed="false">
      <c r="A162" s="13" t="s">
        <v>405</v>
      </c>
      <c r="B162" s="14" t="s">
        <v>406</v>
      </c>
      <c r="C162" s="15" t="n">
        <v>1000</v>
      </c>
      <c r="D162" s="15" t="n">
        <v>760</v>
      </c>
      <c r="E162" s="13" t="s">
        <v>82</v>
      </c>
      <c r="F162" s="15" t="str">
        <f aca="false">IF(C162&gt;=J162,"ja","nein")</f>
        <v>ja</v>
      </c>
      <c r="G162" s="15" t="str">
        <f aca="false">IF(C162&gt;=K162,"ja","nein")</f>
        <v>nein</v>
      </c>
      <c r="H162" s="15" t="str">
        <f aca="false">IF(C162&gt;=L162,"ja","nein")</f>
        <v>nein</v>
      </c>
      <c r="I162" s="15" t="str">
        <f aca="false">IF(C162&gt;=M162,"ja","nein")</f>
        <v>nein</v>
      </c>
      <c r="J162" s="15" t="n">
        <f aca="false">ROUND(Annahmen!$K$35*(1+Annahmen!$B$20*D162/1000),0)</f>
        <v>897</v>
      </c>
      <c r="K162" s="15" t="n">
        <f aca="false">ROUND(Annahmen!$K$36*(1+Annahmen!$B$20*D162/1000),0)</f>
        <v>1166</v>
      </c>
      <c r="L162" s="15" t="n">
        <f aca="false">ROUND(Annahmen!$K$37*(1+Annahmen!$B$20*D162/1000),0)</f>
        <v>1191</v>
      </c>
      <c r="M162" s="15" t="n">
        <f aca="false">ROUND(Annahmen!$K$38*(1+Annahmen!$B$20*D162/1000),0)</f>
        <v>1191</v>
      </c>
      <c r="N162" s="16" t="s">
        <v>86</v>
      </c>
    </row>
    <row r="163" customFormat="false" ht="15" hidden="false" customHeight="false" outlineLevel="0" collapsed="false">
      <c r="A163" s="13" t="s">
        <v>407</v>
      </c>
      <c r="B163" s="14" t="s">
        <v>408</v>
      </c>
      <c r="C163" s="15" t="n">
        <v>1000</v>
      </c>
      <c r="D163" s="15" t="n">
        <v>26</v>
      </c>
      <c r="E163" s="13" t="s">
        <v>82</v>
      </c>
      <c r="F163" s="15" t="str">
        <f aca="false">IF(C163&gt;=J163,"ja","nein")</f>
        <v>ja</v>
      </c>
      <c r="G163" s="15" t="str">
        <f aca="false">IF(C163&gt;=K163,"ja","nein")</f>
        <v>nein</v>
      </c>
      <c r="H163" s="15" t="str">
        <f aca="false">IF(C163&gt;=L163,"ja","nein")</f>
        <v>nein</v>
      </c>
      <c r="I163" s="15" t="str">
        <f aca="false">IF(C163&gt;=M163,"ja","nein")</f>
        <v>nein</v>
      </c>
      <c r="J163" s="15" t="n">
        <f aca="false">ROUND(Annahmen!$K$35*(1+Annahmen!$B$20*D163/1000),0)</f>
        <v>842</v>
      </c>
      <c r="K163" s="15" t="n">
        <f aca="false">ROUND(Annahmen!$K$36*(1+Annahmen!$B$20*D163/1000),0)</f>
        <v>1094</v>
      </c>
      <c r="L163" s="15" t="n">
        <f aca="false">ROUND(Annahmen!$K$37*(1+Annahmen!$B$20*D163/1000),0)</f>
        <v>1118</v>
      </c>
      <c r="M163" s="15" t="n">
        <f aca="false">ROUND(Annahmen!$K$38*(1+Annahmen!$B$20*D163/1000),0)</f>
        <v>1118</v>
      </c>
      <c r="N163" s="16" t="s">
        <v>102</v>
      </c>
    </row>
    <row r="164" customFormat="false" ht="15" hidden="false" customHeight="false" outlineLevel="0" collapsed="false">
      <c r="A164" s="13" t="s">
        <v>409</v>
      </c>
      <c r="B164" s="14" t="s">
        <v>410</v>
      </c>
      <c r="C164" s="15" t="n">
        <v>1000</v>
      </c>
      <c r="D164" s="15" t="n">
        <v>3</v>
      </c>
      <c r="E164" s="13" t="s">
        <v>82</v>
      </c>
      <c r="F164" s="15" t="str">
        <f aca="false">IF(C164&gt;=J164,"ja","nein")</f>
        <v>ja</v>
      </c>
      <c r="G164" s="15" t="str">
        <f aca="false">IF(C164&gt;=K164,"ja","nein")</f>
        <v>nein</v>
      </c>
      <c r="H164" s="15" t="str">
        <f aca="false">IF(C164&gt;=L164,"ja","nein")</f>
        <v>nein</v>
      </c>
      <c r="I164" s="15" t="str">
        <f aca="false">IF(C164&gt;=M164,"ja","nein")</f>
        <v>nein</v>
      </c>
      <c r="J164" s="15" t="n">
        <f aca="false">ROUND(Annahmen!$K$35*(1+Annahmen!$B$20*D164/1000),0)</f>
        <v>840</v>
      </c>
      <c r="K164" s="15" t="n">
        <f aca="false">ROUND(Annahmen!$K$36*(1+Annahmen!$B$20*D164/1000),0)</f>
        <v>1091</v>
      </c>
      <c r="L164" s="15" t="n">
        <f aca="false">ROUND(Annahmen!$K$37*(1+Annahmen!$B$20*D164/1000),0)</f>
        <v>1115</v>
      </c>
      <c r="M164" s="15" t="n">
        <f aca="false">ROUND(Annahmen!$K$38*(1+Annahmen!$B$20*D164/1000),0)</f>
        <v>1115</v>
      </c>
      <c r="N164" s="16" t="s">
        <v>411</v>
      </c>
    </row>
    <row r="165" customFormat="false" ht="15" hidden="false" customHeight="false" outlineLevel="0" collapsed="false">
      <c r="A165" s="13" t="s">
        <v>412</v>
      </c>
      <c r="B165" s="14" t="s">
        <v>413</v>
      </c>
      <c r="C165" s="15" t="n">
        <v>1000</v>
      </c>
      <c r="D165" s="15" t="n">
        <v>7</v>
      </c>
      <c r="E165" s="13" t="s">
        <v>82</v>
      </c>
      <c r="F165" s="15" t="str">
        <f aca="false">IF(C165&gt;=J165,"ja","nein")</f>
        <v>ja</v>
      </c>
      <c r="G165" s="15" t="str">
        <f aca="false">IF(C165&gt;=K165,"ja","nein")</f>
        <v>nein</v>
      </c>
      <c r="H165" s="15" t="str">
        <f aca="false">IF(C165&gt;=L165,"ja","nein")</f>
        <v>nein</v>
      </c>
      <c r="I165" s="15" t="str">
        <f aca="false">IF(C165&gt;=M165,"ja","nein")</f>
        <v>nein</v>
      </c>
      <c r="J165" s="15" t="n">
        <f aca="false">ROUND(Annahmen!$K$35*(1+Annahmen!$B$20*D165/1000),0)</f>
        <v>841</v>
      </c>
      <c r="K165" s="15" t="n">
        <f aca="false">ROUND(Annahmen!$K$36*(1+Annahmen!$B$20*D165/1000),0)</f>
        <v>1092</v>
      </c>
      <c r="L165" s="15" t="n">
        <f aca="false">ROUND(Annahmen!$K$37*(1+Annahmen!$B$20*D165/1000),0)</f>
        <v>1116</v>
      </c>
      <c r="M165" s="15" t="n">
        <f aca="false">ROUND(Annahmen!$K$38*(1+Annahmen!$B$20*D165/1000),0)</f>
        <v>1116</v>
      </c>
      <c r="N165" s="16" t="s">
        <v>414</v>
      </c>
    </row>
    <row r="166" customFormat="false" ht="15" hidden="false" customHeight="false" outlineLevel="0" collapsed="false">
      <c r="A166" s="13" t="s">
        <v>415</v>
      </c>
      <c r="B166" s="14" t="s">
        <v>416</v>
      </c>
      <c r="C166" s="15" t="n">
        <v>972</v>
      </c>
      <c r="D166" s="15" t="n">
        <v>1673</v>
      </c>
      <c r="E166" s="13" t="s">
        <v>82</v>
      </c>
      <c r="F166" s="15" t="str">
        <f aca="false">IF(C166&gt;=J166,"ja","nein")</f>
        <v>ja</v>
      </c>
      <c r="G166" s="15" t="str">
        <f aca="false">IF(C166&gt;=K166,"ja","nein")</f>
        <v>nein</v>
      </c>
      <c r="H166" s="15" t="str">
        <f aca="false">IF(C166&gt;=L166,"ja","nein")</f>
        <v>nein</v>
      </c>
      <c r="I166" s="15" t="str">
        <f aca="false">IF(C166&gt;=M166,"ja","nein")</f>
        <v>nein</v>
      </c>
      <c r="J166" s="15" t="n">
        <f aca="false">ROUND(Annahmen!$K$35*(1+Annahmen!$B$20*D166/1000),0)</f>
        <v>966</v>
      </c>
      <c r="K166" s="15" t="n">
        <f aca="false">ROUND(Annahmen!$K$36*(1+Annahmen!$B$20*D166/1000),0)</f>
        <v>1255</v>
      </c>
      <c r="L166" s="15" t="n">
        <f aca="false">ROUND(Annahmen!$K$37*(1+Annahmen!$B$20*D166/1000),0)</f>
        <v>1283</v>
      </c>
      <c r="M166" s="15" t="n">
        <f aca="false">ROUND(Annahmen!$K$38*(1+Annahmen!$B$20*D166/1000),0)</f>
        <v>1283</v>
      </c>
      <c r="N166" s="16" t="s">
        <v>102</v>
      </c>
    </row>
    <row r="167" customFormat="false" ht="15" hidden="false" customHeight="false" outlineLevel="0" collapsed="false">
      <c r="A167" s="13" t="s">
        <v>417</v>
      </c>
      <c r="B167" s="14" t="s">
        <v>418</v>
      </c>
      <c r="C167" s="15" t="n">
        <v>960</v>
      </c>
      <c r="D167" s="15" t="n">
        <v>23</v>
      </c>
      <c r="E167" s="13" t="s">
        <v>82</v>
      </c>
      <c r="F167" s="15" t="str">
        <f aca="false">IF(C167&gt;=J167,"ja","nein")</f>
        <v>ja</v>
      </c>
      <c r="G167" s="15" t="str">
        <f aca="false">IF(C167&gt;=K167,"ja","nein")</f>
        <v>nein</v>
      </c>
      <c r="H167" s="15" t="str">
        <f aca="false">IF(C167&gt;=L167,"ja","nein")</f>
        <v>nein</v>
      </c>
      <c r="I167" s="15" t="str">
        <f aca="false">IF(C167&gt;=M167,"ja","nein")</f>
        <v>nein</v>
      </c>
      <c r="J167" s="15" t="n">
        <f aca="false">ROUND(Annahmen!$K$35*(1+Annahmen!$B$20*D167/1000),0)</f>
        <v>842</v>
      </c>
      <c r="K167" s="15" t="n">
        <f aca="false">ROUND(Annahmen!$K$36*(1+Annahmen!$B$20*D167/1000),0)</f>
        <v>1093</v>
      </c>
      <c r="L167" s="15" t="n">
        <f aca="false">ROUND(Annahmen!$K$37*(1+Annahmen!$B$20*D167/1000),0)</f>
        <v>1117</v>
      </c>
      <c r="M167" s="15" t="n">
        <f aca="false">ROUND(Annahmen!$K$38*(1+Annahmen!$B$20*D167/1000),0)</f>
        <v>1117</v>
      </c>
      <c r="N167" s="16" t="s">
        <v>102</v>
      </c>
    </row>
    <row r="168" customFormat="false" ht="15" hidden="false" customHeight="false" outlineLevel="0" collapsed="false">
      <c r="A168" s="13" t="s">
        <v>419</v>
      </c>
      <c r="B168" s="14" t="s">
        <v>420</v>
      </c>
      <c r="C168" s="15" t="n">
        <v>950</v>
      </c>
      <c r="D168" s="15" t="n">
        <v>1309</v>
      </c>
      <c r="E168" s="13" t="s">
        <v>82</v>
      </c>
      <c r="F168" s="15" t="str">
        <f aca="false">IF(C168&gt;=J168,"ja","nein")</f>
        <v>ja</v>
      </c>
      <c r="G168" s="15" t="str">
        <f aca="false">IF(C168&gt;=K168,"ja","nein")</f>
        <v>nein</v>
      </c>
      <c r="H168" s="15" t="str">
        <f aca="false">IF(C168&gt;=L168,"ja","nein")</f>
        <v>nein</v>
      </c>
      <c r="I168" s="15" t="str">
        <f aca="false">IF(C168&gt;=M168,"ja","nein")</f>
        <v>nein</v>
      </c>
      <c r="J168" s="15" t="n">
        <f aca="false">ROUND(Annahmen!$K$35*(1+Annahmen!$B$20*D168/1000),0)</f>
        <v>939</v>
      </c>
      <c r="K168" s="15" t="n">
        <f aca="false">ROUND(Annahmen!$K$36*(1+Annahmen!$B$20*D168/1000),0)</f>
        <v>1220</v>
      </c>
      <c r="L168" s="15" t="n">
        <f aca="false">ROUND(Annahmen!$K$37*(1+Annahmen!$B$20*D168/1000),0)</f>
        <v>1246</v>
      </c>
      <c r="M168" s="15" t="n">
        <f aca="false">ROUND(Annahmen!$K$38*(1+Annahmen!$B$20*D168/1000),0)</f>
        <v>1246</v>
      </c>
      <c r="N168" s="16" t="s">
        <v>102</v>
      </c>
    </row>
    <row r="169" customFormat="false" ht="15" hidden="false" customHeight="false" outlineLevel="0" collapsed="false">
      <c r="A169" s="13" t="s">
        <v>421</v>
      </c>
      <c r="B169" s="14" t="s">
        <v>422</v>
      </c>
      <c r="C169" s="15" t="n">
        <v>950</v>
      </c>
      <c r="D169" s="15" t="n">
        <v>1916</v>
      </c>
      <c r="E169" s="13" t="s">
        <v>82</v>
      </c>
      <c r="F169" s="15" t="str">
        <f aca="false">IF(C169&gt;=J169,"ja","nein")</f>
        <v>nein</v>
      </c>
      <c r="G169" s="15" t="str">
        <f aca="false">IF(C169&gt;=K169,"ja","nein")</f>
        <v>nein</v>
      </c>
      <c r="H169" s="15" t="str">
        <f aca="false">IF(C169&gt;=L169,"ja","nein")</f>
        <v>nein</v>
      </c>
      <c r="I169" s="15" t="str">
        <f aca="false">IF(C169&gt;=M169,"ja","nein")</f>
        <v>nein</v>
      </c>
      <c r="J169" s="15" t="n">
        <f aca="false">ROUND(Annahmen!$K$35*(1+Annahmen!$B$20*D169/1000),0)</f>
        <v>985</v>
      </c>
      <c r="K169" s="15" t="n">
        <f aca="false">ROUND(Annahmen!$K$36*(1+Annahmen!$B$20*D169/1000),0)</f>
        <v>1279</v>
      </c>
      <c r="L169" s="15" t="n">
        <f aca="false">ROUND(Annahmen!$K$37*(1+Annahmen!$B$20*D169/1000),0)</f>
        <v>1307</v>
      </c>
      <c r="M169" s="15" t="n">
        <f aca="false">ROUND(Annahmen!$K$38*(1+Annahmen!$B$20*D169/1000),0)</f>
        <v>1307</v>
      </c>
      <c r="N169" s="16" t="s">
        <v>102</v>
      </c>
    </row>
    <row r="170" customFormat="false" ht="15" hidden="false" customHeight="false" outlineLevel="0" collapsed="false">
      <c r="A170" s="13" t="s">
        <v>423</v>
      </c>
      <c r="B170" s="14" t="s">
        <v>424</v>
      </c>
      <c r="C170" s="15" t="n">
        <v>915</v>
      </c>
      <c r="D170" s="15" t="n">
        <v>1015</v>
      </c>
      <c r="E170" s="13" t="s">
        <v>82</v>
      </c>
      <c r="F170" s="15" t="str">
        <f aca="false">IF(C170&gt;=J170,"ja","nein")</f>
        <v>nein</v>
      </c>
      <c r="G170" s="15" t="str">
        <f aca="false">IF(C170&gt;=K170,"ja","nein")</f>
        <v>nein</v>
      </c>
      <c r="H170" s="15" t="str">
        <f aca="false">IF(C170&gt;=L170,"ja","nein")</f>
        <v>nein</v>
      </c>
      <c r="I170" s="15" t="str">
        <f aca="false">IF(C170&gt;=M170,"ja","nein")</f>
        <v>nein</v>
      </c>
      <c r="J170" s="15" t="n">
        <f aca="false">ROUND(Annahmen!$K$35*(1+Annahmen!$B$20*D170/1000),0)</f>
        <v>917</v>
      </c>
      <c r="K170" s="15" t="n">
        <f aca="false">ROUND(Annahmen!$K$36*(1+Annahmen!$B$20*D170/1000),0)</f>
        <v>1191</v>
      </c>
      <c r="L170" s="15" t="n">
        <f aca="false">ROUND(Annahmen!$K$37*(1+Annahmen!$B$20*D170/1000),0)</f>
        <v>1217</v>
      </c>
      <c r="M170" s="15" t="n">
        <f aca="false">ROUND(Annahmen!$K$38*(1+Annahmen!$B$20*D170/1000),0)</f>
        <v>1217</v>
      </c>
      <c r="N170" s="16" t="s">
        <v>102</v>
      </c>
    </row>
    <row r="171" customFormat="false" ht="15" hidden="false" customHeight="false" outlineLevel="0" collapsed="false">
      <c r="A171" s="13" t="s">
        <v>425</v>
      </c>
      <c r="B171" s="14" t="s">
        <v>426</v>
      </c>
      <c r="C171" s="15" t="n">
        <v>900</v>
      </c>
      <c r="D171" s="15" t="n">
        <v>135</v>
      </c>
      <c r="E171" s="13" t="s">
        <v>82</v>
      </c>
      <c r="F171" s="15" t="str">
        <f aca="false">IF(C171&gt;=J171,"ja","nein")</f>
        <v>ja</v>
      </c>
      <c r="G171" s="15" t="str">
        <f aca="false">IF(C171&gt;=K171,"ja","nein")</f>
        <v>nein</v>
      </c>
      <c r="H171" s="15" t="str">
        <f aca="false">IF(C171&gt;=L171,"ja","nein")</f>
        <v>nein</v>
      </c>
      <c r="I171" s="15" t="str">
        <f aca="false">IF(C171&gt;=M171,"ja","nein")</f>
        <v>nein</v>
      </c>
      <c r="J171" s="15" t="n">
        <f aca="false">ROUND(Annahmen!$K$35*(1+Annahmen!$B$20*D171/1000),0)</f>
        <v>850</v>
      </c>
      <c r="K171" s="15" t="n">
        <f aca="false">ROUND(Annahmen!$K$36*(1+Annahmen!$B$20*D171/1000),0)</f>
        <v>1104</v>
      </c>
      <c r="L171" s="15" t="n">
        <f aca="false">ROUND(Annahmen!$K$37*(1+Annahmen!$B$20*D171/1000),0)</f>
        <v>1129</v>
      </c>
      <c r="M171" s="15" t="n">
        <f aca="false">ROUND(Annahmen!$K$38*(1+Annahmen!$B$20*D171/1000),0)</f>
        <v>1129</v>
      </c>
      <c r="N171" s="16" t="s">
        <v>102</v>
      </c>
    </row>
    <row r="172" customFormat="false" ht="15" hidden="false" customHeight="false" outlineLevel="0" collapsed="false">
      <c r="A172" s="13" t="s">
        <v>427</v>
      </c>
      <c r="B172" s="14" t="s">
        <v>428</v>
      </c>
      <c r="C172" s="15" t="n">
        <v>900</v>
      </c>
      <c r="D172" s="15" t="n">
        <v>69</v>
      </c>
      <c r="E172" s="13" t="s">
        <v>82</v>
      </c>
      <c r="F172" s="15" t="str">
        <f aca="false">IF(C172&gt;=J172,"ja","nein")</f>
        <v>ja</v>
      </c>
      <c r="G172" s="15" t="str">
        <f aca="false">IF(C172&gt;=K172,"ja","nein")</f>
        <v>nein</v>
      </c>
      <c r="H172" s="15" t="str">
        <f aca="false">IF(C172&gt;=L172,"ja","nein")</f>
        <v>nein</v>
      </c>
      <c r="I172" s="15" t="str">
        <f aca="false">IF(C172&gt;=M172,"ja","nein")</f>
        <v>nein</v>
      </c>
      <c r="J172" s="15" t="n">
        <f aca="false">ROUND(Annahmen!$K$35*(1+Annahmen!$B$20*D172/1000),0)</f>
        <v>845</v>
      </c>
      <c r="K172" s="15" t="n">
        <f aca="false">ROUND(Annahmen!$K$36*(1+Annahmen!$B$20*D172/1000),0)</f>
        <v>1098</v>
      </c>
      <c r="L172" s="15" t="n">
        <f aca="false">ROUND(Annahmen!$K$37*(1+Annahmen!$B$20*D172/1000),0)</f>
        <v>1122</v>
      </c>
      <c r="M172" s="15" t="n">
        <f aca="false">ROUND(Annahmen!$K$38*(1+Annahmen!$B$20*D172/1000),0)</f>
        <v>1122</v>
      </c>
      <c r="N172" s="16" t="s">
        <v>429</v>
      </c>
    </row>
    <row r="173" customFormat="false" ht="15" hidden="false" customHeight="false" outlineLevel="0" collapsed="false">
      <c r="A173" s="13" t="s">
        <v>430</v>
      </c>
      <c r="B173" s="14" t="s">
        <v>431</v>
      </c>
      <c r="C173" s="15" t="n">
        <v>900</v>
      </c>
      <c r="D173" s="15" t="n">
        <v>1198</v>
      </c>
      <c r="E173" s="13" t="s">
        <v>82</v>
      </c>
      <c r="F173" s="15" t="str">
        <f aca="false">IF(C173&gt;=J173,"ja","nein")</f>
        <v>nein</v>
      </c>
      <c r="G173" s="15" t="str">
        <f aca="false">IF(C173&gt;=K173,"ja","nein")</f>
        <v>nein</v>
      </c>
      <c r="H173" s="15" t="str">
        <f aca="false">IF(C173&gt;=L173,"ja","nein")</f>
        <v>nein</v>
      </c>
      <c r="I173" s="15" t="str">
        <f aca="false">IF(C173&gt;=M173,"ja","nein")</f>
        <v>nein</v>
      </c>
      <c r="J173" s="15" t="n">
        <f aca="false">ROUND(Annahmen!$K$35*(1+Annahmen!$B$20*D173/1000),0)</f>
        <v>931</v>
      </c>
      <c r="K173" s="15" t="n">
        <f aca="false">ROUND(Annahmen!$K$36*(1+Annahmen!$B$20*D173/1000),0)</f>
        <v>1209</v>
      </c>
      <c r="L173" s="15" t="n">
        <f aca="false">ROUND(Annahmen!$K$37*(1+Annahmen!$B$20*D173/1000),0)</f>
        <v>1235</v>
      </c>
      <c r="M173" s="15" t="n">
        <f aca="false">ROUND(Annahmen!$K$38*(1+Annahmen!$B$20*D173/1000),0)</f>
        <v>1235</v>
      </c>
      <c r="N173" s="16" t="s">
        <v>102</v>
      </c>
    </row>
    <row r="174" customFormat="false" ht="15" hidden="false" customHeight="false" outlineLevel="0" collapsed="false">
      <c r="A174" s="13" t="s">
        <v>432</v>
      </c>
      <c r="B174" s="14" t="s">
        <v>433</v>
      </c>
      <c r="C174" s="15" t="n">
        <v>900</v>
      </c>
      <c r="D174" s="15" t="n">
        <v>1434</v>
      </c>
      <c r="E174" s="13" t="s">
        <v>82</v>
      </c>
      <c r="F174" s="15" t="str">
        <f aca="false">IF(C174&gt;=J174,"ja","nein")</f>
        <v>nein</v>
      </c>
      <c r="G174" s="15" t="str">
        <f aca="false">IF(C174&gt;=K174,"ja","nein")</f>
        <v>nein</v>
      </c>
      <c r="H174" s="15" t="str">
        <f aca="false">IF(C174&gt;=L174,"ja","nein")</f>
        <v>nein</v>
      </c>
      <c r="I174" s="15" t="str">
        <f aca="false">IF(C174&gt;=M174,"ja","nein")</f>
        <v>nein</v>
      </c>
      <c r="J174" s="15" t="n">
        <f aca="false">ROUND(Annahmen!$K$35*(1+Annahmen!$B$20*D174/1000),0)</f>
        <v>948</v>
      </c>
      <c r="K174" s="15" t="n">
        <f aca="false">ROUND(Annahmen!$K$36*(1+Annahmen!$B$20*D174/1000),0)</f>
        <v>1232</v>
      </c>
      <c r="L174" s="15" t="n">
        <f aca="false">ROUND(Annahmen!$K$37*(1+Annahmen!$B$20*D174/1000),0)</f>
        <v>1259</v>
      </c>
      <c r="M174" s="15" t="n">
        <f aca="false">ROUND(Annahmen!$K$38*(1+Annahmen!$B$20*D174/1000),0)</f>
        <v>1259</v>
      </c>
      <c r="N174" s="16" t="s">
        <v>102</v>
      </c>
    </row>
    <row r="175" customFormat="false" ht="15" hidden="false" customHeight="false" outlineLevel="0" collapsed="false">
      <c r="A175" s="13" t="s">
        <v>434</v>
      </c>
      <c r="B175" s="14" t="s">
        <v>435</v>
      </c>
      <c r="C175" s="15" t="n">
        <v>900</v>
      </c>
      <c r="D175" s="15" t="n">
        <v>1312</v>
      </c>
      <c r="E175" s="13" t="s">
        <v>82</v>
      </c>
      <c r="F175" s="15" t="str">
        <f aca="false">IF(C175&gt;=J175,"ja","nein")</f>
        <v>nein</v>
      </c>
      <c r="G175" s="15" t="str">
        <f aca="false">IF(C175&gt;=K175,"ja","nein")</f>
        <v>nein</v>
      </c>
      <c r="H175" s="15" t="str">
        <f aca="false">IF(C175&gt;=L175,"ja","nein")</f>
        <v>nein</v>
      </c>
      <c r="I175" s="15" t="str">
        <f aca="false">IF(C175&gt;=M175,"ja","nein")</f>
        <v>nein</v>
      </c>
      <c r="J175" s="15" t="n">
        <f aca="false">ROUND(Annahmen!$K$35*(1+Annahmen!$B$20*D175/1000),0)</f>
        <v>939</v>
      </c>
      <c r="K175" s="15" t="n">
        <f aca="false">ROUND(Annahmen!$K$36*(1+Annahmen!$B$20*D175/1000),0)</f>
        <v>1220</v>
      </c>
      <c r="L175" s="15" t="n">
        <f aca="false">ROUND(Annahmen!$K$37*(1+Annahmen!$B$20*D175/1000),0)</f>
        <v>1247</v>
      </c>
      <c r="M175" s="15" t="n">
        <f aca="false">ROUND(Annahmen!$K$38*(1+Annahmen!$B$20*D175/1000),0)</f>
        <v>1247</v>
      </c>
      <c r="N175" s="16" t="s">
        <v>86</v>
      </c>
    </row>
    <row r="176" customFormat="false" ht="15" hidden="false" customHeight="false" outlineLevel="0" collapsed="false">
      <c r="A176" s="13" t="s">
        <v>436</v>
      </c>
      <c r="B176" s="14" t="s">
        <v>437</v>
      </c>
      <c r="C176" s="15" t="n">
        <v>900</v>
      </c>
      <c r="D176" s="15" t="n">
        <v>89</v>
      </c>
      <c r="E176" s="13" t="s">
        <v>82</v>
      </c>
      <c r="F176" s="15" t="str">
        <f aca="false">IF(C176&gt;=J176,"ja","nein")</f>
        <v>ja</v>
      </c>
      <c r="G176" s="15" t="str">
        <f aca="false">IF(C176&gt;=K176,"ja","nein")</f>
        <v>nein</v>
      </c>
      <c r="H176" s="15" t="str">
        <f aca="false">IF(C176&gt;=L176,"ja","nein")</f>
        <v>nein</v>
      </c>
      <c r="I176" s="15" t="str">
        <f aca="false">IF(C176&gt;=M176,"ja","nein")</f>
        <v>nein</v>
      </c>
      <c r="J176" s="15" t="n">
        <f aca="false">ROUND(Annahmen!$K$35*(1+Annahmen!$B$20*D176/1000),0)</f>
        <v>847</v>
      </c>
      <c r="K176" s="15" t="n">
        <f aca="false">ROUND(Annahmen!$K$36*(1+Annahmen!$B$20*D176/1000),0)</f>
        <v>1100</v>
      </c>
      <c r="L176" s="15" t="n">
        <f aca="false">ROUND(Annahmen!$K$37*(1+Annahmen!$B$20*D176/1000),0)</f>
        <v>1124</v>
      </c>
      <c r="M176" s="15" t="n">
        <f aca="false">ROUND(Annahmen!$K$38*(1+Annahmen!$B$20*D176/1000),0)</f>
        <v>1124</v>
      </c>
      <c r="N176" s="16" t="s">
        <v>102</v>
      </c>
    </row>
    <row r="177" customFormat="false" ht="15" hidden="false" customHeight="false" outlineLevel="0" collapsed="false">
      <c r="A177" s="13" t="s">
        <v>438</v>
      </c>
      <c r="B177" s="14" t="s">
        <v>439</v>
      </c>
      <c r="C177" s="15" t="n">
        <v>880</v>
      </c>
      <c r="D177" s="15" t="n">
        <v>2197</v>
      </c>
      <c r="E177" s="13" t="s">
        <v>82</v>
      </c>
      <c r="F177" s="15" t="str">
        <f aca="false">IF(C177&gt;=J177,"ja","nein")</f>
        <v>nein</v>
      </c>
      <c r="G177" s="15" t="str">
        <f aca="false">IF(C177&gt;=K177,"ja","nein")</f>
        <v>nein</v>
      </c>
      <c r="H177" s="15" t="str">
        <f aca="false">IF(C177&gt;=L177,"ja","nein")</f>
        <v>nein</v>
      </c>
      <c r="I177" s="15" t="str">
        <f aca="false">IF(C177&gt;=M177,"ja","nein")</f>
        <v>nein</v>
      </c>
      <c r="J177" s="15" t="n">
        <f aca="false">ROUND(Annahmen!$K$35*(1+Annahmen!$B$20*D177/1000),0)</f>
        <v>1006</v>
      </c>
      <c r="K177" s="15" t="n">
        <f aca="false">ROUND(Annahmen!$K$36*(1+Annahmen!$B$20*D177/1000),0)</f>
        <v>1307</v>
      </c>
      <c r="L177" s="15" t="n">
        <f aca="false">ROUND(Annahmen!$K$37*(1+Annahmen!$B$20*D177/1000),0)</f>
        <v>1335</v>
      </c>
      <c r="M177" s="15" t="n">
        <f aca="false">ROUND(Annahmen!$K$38*(1+Annahmen!$B$20*D177/1000),0)</f>
        <v>1335</v>
      </c>
      <c r="N177" s="16" t="s">
        <v>102</v>
      </c>
    </row>
    <row r="178" customFormat="false" ht="15" hidden="false" customHeight="false" outlineLevel="0" collapsed="false">
      <c r="A178" s="13" t="s">
        <v>440</v>
      </c>
      <c r="B178" s="14" t="s">
        <v>441</v>
      </c>
      <c r="C178" s="15" t="n">
        <v>875</v>
      </c>
      <c r="D178" s="15" t="n">
        <v>157</v>
      </c>
      <c r="E178" s="13" t="s">
        <v>82</v>
      </c>
      <c r="F178" s="15" t="str">
        <f aca="false">IF(C178&gt;=J178,"ja","nein")</f>
        <v>ja</v>
      </c>
      <c r="G178" s="15" t="str">
        <f aca="false">IF(C178&gt;=K178,"ja","nein")</f>
        <v>nein</v>
      </c>
      <c r="H178" s="15" t="str">
        <f aca="false">IF(C178&gt;=L178,"ja","nein")</f>
        <v>nein</v>
      </c>
      <c r="I178" s="15" t="str">
        <f aca="false">IF(C178&gt;=M178,"ja","nein")</f>
        <v>nein</v>
      </c>
      <c r="J178" s="15" t="n">
        <f aca="false">ROUND(Annahmen!$K$35*(1+Annahmen!$B$20*D178/1000),0)</f>
        <v>852</v>
      </c>
      <c r="K178" s="15" t="n">
        <f aca="false">ROUND(Annahmen!$K$36*(1+Annahmen!$B$20*D178/1000),0)</f>
        <v>1106</v>
      </c>
      <c r="L178" s="15" t="n">
        <f aca="false">ROUND(Annahmen!$K$37*(1+Annahmen!$B$20*D178/1000),0)</f>
        <v>1131</v>
      </c>
      <c r="M178" s="15" t="n">
        <f aca="false">ROUND(Annahmen!$K$38*(1+Annahmen!$B$20*D178/1000),0)</f>
        <v>1131</v>
      </c>
      <c r="N178" s="16" t="s">
        <v>102</v>
      </c>
    </row>
    <row r="179" customFormat="false" ht="15" hidden="false" customHeight="false" outlineLevel="0" collapsed="false">
      <c r="A179" s="13" t="s">
        <v>442</v>
      </c>
      <c r="B179" s="14" t="s">
        <v>443</v>
      </c>
      <c r="C179" s="15" t="n">
        <v>870</v>
      </c>
      <c r="D179" s="15" t="n">
        <v>1145</v>
      </c>
      <c r="E179" s="13" t="s">
        <v>82</v>
      </c>
      <c r="F179" s="15" t="str">
        <f aca="false">IF(C179&gt;=J179,"ja","nein")</f>
        <v>nein</v>
      </c>
      <c r="G179" s="15" t="str">
        <f aca="false">IF(C179&gt;=K179,"ja","nein")</f>
        <v>nein</v>
      </c>
      <c r="H179" s="15" t="str">
        <f aca="false">IF(C179&gt;=L179,"ja","nein")</f>
        <v>nein</v>
      </c>
      <c r="I179" s="15" t="str">
        <f aca="false">IF(C179&gt;=M179,"ja","nein")</f>
        <v>nein</v>
      </c>
      <c r="J179" s="15" t="n">
        <f aca="false">ROUND(Annahmen!$K$35*(1+Annahmen!$B$20*D179/1000),0)</f>
        <v>927</v>
      </c>
      <c r="K179" s="15" t="n">
        <f aca="false">ROUND(Annahmen!$K$36*(1+Annahmen!$B$20*D179/1000),0)</f>
        <v>1203</v>
      </c>
      <c r="L179" s="15" t="n">
        <f aca="false">ROUND(Annahmen!$K$37*(1+Annahmen!$B$20*D179/1000),0)</f>
        <v>1230</v>
      </c>
      <c r="M179" s="15" t="n">
        <f aca="false">ROUND(Annahmen!$K$38*(1+Annahmen!$B$20*D179/1000),0)</f>
        <v>1230</v>
      </c>
      <c r="N179" s="16" t="s">
        <v>102</v>
      </c>
    </row>
    <row r="180" customFormat="false" ht="15" hidden="false" customHeight="false" outlineLevel="0" collapsed="false">
      <c r="A180" s="13" t="s">
        <v>444</v>
      </c>
      <c r="B180" s="14" t="s">
        <v>445</v>
      </c>
      <c r="C180" s="15" t="n">
        <v>860</v>
      </c>
      <c r="D180" s="15" t="n">
        <v>148</v>
      </c>
      <c r="E180" s="13" t="s">
        <v>82</v>
      </c>
      <c r="F180" s="15" t="str">
        <f aca="false">IF(C180&gt;=J180,"ja","nein")</f>
        <v>ja</v>
      </c>
      <c r="G180" s="15" t="str">
        <f aca="false">IF(C180&gt;=K180,"ja","nein")</f>
        <v>nein</v>
      </c>
      <c r="H180" s="15" t="str">
        <f aca="false">IF(C180&gt;=L180,"ja","nein")</f>
        <v>nein</v>
      </c>
      <c r="I180" s="15" t="str">
        <f aca="false">IF(C180&gt;=M180,"ja","nein")</f>
        <v>nein</v>
      </c>
      <c r="J180" s="15" t="n">
        <f aca="false">ROUND(Annahmen!$K$35*(1+Annahmen!$B$20*D180/1000),0)</f>
        <v>851</v>
      </c>
      <c r="K180" s="15" t="n">
        <f aca="false">ROUND(Annahmen!$K$36*(1+Annahmen!$B$20*D180/1000),0)</f>
        <v>1106</v>
      </c>
      <c r="L180" s="15" t="n">
        <f aca="false">ROUND(Annahmen!$K$37*(1+Annahmen!$B$20*D180/1000),0)</f>
        <v>1130</v>
      </c>
      <c r="M180" s="15" t="n">
        <f aca="false">ROUND(Annahmen!$K$38*(1+Annahmen!$B$20*D180/1000),0)</f>
        <v>1130</v>
      </c>
      <c r="N180" s="16" t="s">
        <v>102</v>
      </c>
    </row>
    <row r="181" customFormat="false" ht="15" hidden="false" customHeight="false" outlineLevel="0" collapsed="false">
      <c r="A181" s="13" t="s">
        <v>446</v>
      </c>
      <c r="B181" s="14" t="s">
        <v>447</v>
      </c>
      <c r="C181" s="15" t="n">
        <v>850</v>
      </c>
      <c r="D181" s="15" t="n">
        <v>287</v>
      </c>
      <c r="E181" s="13" t="s">
        <v>82</v>
      </c>
      <c r="F181" s="15" t="str">
        <f aca="false">IF(C181&gt;=J181,"ja","nein")</f>
        <v>nein</v>
      </c>
      <c r="G181" s="15" t="str">
        <f aca="false">IF(C181&gt;=K181,"ja","nein")</f>
        <v>nein</v>
      </c>
      <c r="H181" s="15" t="str">
        <f aca="false">IF(C181&gt;=L181,"ja","nein")</f>
        <v>nein</v>
      </c>
      <c r="I181" s="15" t="str">
        <f aca="false">IF(C181&gt;=M181,"ja","nein")</f>
        <v>nein</v>
      </c>
      <c r="J181" s="15" t="n">
        <f aca="false">ROUND(Annahmen!$K$35*(1+Annahmen!$B$20*D181/1000),0)</f>
        <v>862</v>
      </c>
      <c r="K181" s="15" t="n">
        <f aca="false">ROUND(Annahmen!$K$36*(1+Annahmen!$B$20*D181/1000),0)</f>
        <v>1119</v>
      </c>
      <c r="L181" s="15" t="n">
        <f aca="false">ROUND(Annahmen!$K$37*(1+Annahmen!$B$20*D181/1000),0)</f>
        <v>1144</v>
      </c>
      <c r="M181" s="15" t="n">
        <f aca="false">ROUND(Annahmen!$K$38*(1+Annahmen!$B$20*D181/1000),0)</f>
        <v>1144</v>
      </c>
      <c r="N181" s="16" t="s">
        <v>102</v>
      </c>
    </row>
    <row r="182" customFormat="false" ht="15" hidden="false" customHeight="false" outlineLevel="0" collapsed="false">
      <c r="A182" s="13" t="s">
        <v>448</v>
      </c>
      <c r="B182" s="14" t="s">
        <v>449</v>
      </c>
      <c r="C182" s="15" t="n">
        <v>850</v>
      </c>
      <c r="D182" s="15" t="n">
        <v>177</v>
      </c>
      <c r="E182" s="13" t="s">
        <v>82</v>
      </c>
      <c r="F182" s="15" t="str">
        <f aca="false">IF(C182&gt;=J182,"ja","nein")</f>
        <v>nein</v>
      </c>
      <c r="G182" s="15" t="str">
        <f aca="false">IF(C182&gt;=K182,"ja","nein")</f>
        <v>nein</v>
      </c>
      <c r="H182" s="15" t="str">
        <f aca="false">IF(C182&gt;=L182,"ja","nein")</f>
        <v>nein</v>
      </c>
      <c r="I182" s="15" t="str">
        <f aca="false">IF(C182&gt;=M182,"ja","nein")</f>
        <v>nein</v>
      </c>
      <c r="J182" s="15" t="n">
        <f aca="false">ROUND(Annahmen!$K$35*(1+Annahmen!$B$20*D182/1000),0)</f>
        <v>853</v>
      </c>
      <c r="K182" s="15" t="n">
        <f aca="false">ROUND(Annahmen!$K$36*(1+Annahmen!$B$20*D182/1000),0)</f>
        <v>1108</v>
      </c>
      <c r="L182" s="15" t="n">
        <f aca="false">ROUND(Annahmen!$K$37*(1+Annahmen!$B$20*D182/1000),0)</f>
        <v>1133</v>
      </c>
      <c r="M182" s="15" t="n">
        <f aca="false">ROUND(Annahmen!$K$38*(1+Annahmen!$B$20*D182/1000),0)</f>
        <v>1133</v>
      </c>
      <c r="N182" s="16" t="s">
        <v>102</v>
      </c>
    </row>
    <row r="183" customFormat="false" ht="15" hidden="false" customHeight="false" outlineLevel="0" collapsed="false">
      <c r="A183" s="13" t="s">
        <v>450</v>
      </c>
      <c r="B183" s="14" t="s">
        <v>451</v>
      </c>
      <c r="C183" s="15" t="n">
        <v>850</v>
      </c>
      <c r="D183" s="15" t="n">
        <v>1325</v>
      </c>
      <c r="E183" s="13" t="s">
        <v>82</v>
      </c>
      <c r="F183" s="15" t="str">
        <f aca="false">IF(C183&gt;=J183,"ja","nein")</f>
        <v>nein</v>
      </c>
      <c r="G183" s="15" t="str">
        <f aca="false">IF(C183&gt;=K183,"ja","nein")</f>
        <v>nein</v>
      </c>
      <c r="H183" s="15" t="str">
        <f aca="false">IF(C183&gt;=L183,"ja","nein")</f>
        <v>nein</v>
      </c>
      <c r="I183" s="15" t="str">
        <f aca="false">IF(C183&gt;=M183,"ja","nein")</f>
        <v>nein</v>
      </c>
      <c r="J183" s="15" t="n">
        <f aca="false">ROUND(Annahmen!$K$35*(1+Annahmen!$B$20*D183/1000),0)</f>
        <v>940</v>
      </c>
      <c r="K183" s="15" t="n">
        <f aca="false">ROUND(Annahmen!$K$36*(1+Annahmen!$B$20*D183/1000),0)</f>
        <v>1221</v>
      </c>
      <c r="L183" s="15" t="n">
        <f aca="false">ROUND(Annahmen!$K$37*(1+Annahmen!$B$20*D183/1000),0)</f>
        <v>1248</v>
      </c>
      <c r="M183" s="15" t="n">
        <f aca="false">ROUND(Annahmen!$K$38*(1+Annahmen!$B$20*D183/1000),0)</f>
        <v>1248</v>
      </c>
      <c r="N183" s="16" t="s">
        <v>102</v>
      </c>
    </row>
    <row r="184" customFormat="false" ht="15" hidden="false" customHeight="false" outlineLevel="0" collapsed="false">
      <c r="A184" s="13" t="s">
        <v>452</v>
      </c>
      <c r="B184" s="14" t="s">
        <v>453</v>
      </c>
      <c r="C184" s="15" t="n">
        <v>850</v>
      </c>
      <c r="D184" s="15" t="n">
        <v>7</v>
      </c>
      <c r="E184" s="13" t="s">
        <v>82</v>
      </c>
      <c r="F184" s="15" t="str">
        <f aca="false">IF(C184&gt;=J184,"ja","nein")</f>
        <v>ja</v>
      </c>
      <c r="G184" s="15" t="str">
        <f aca="false">IF(C184&gt;=K184,"ja","nein")</f>
        <v>nein</v>
      </c>
      <c r="H184" s="15" t="str">
        <f aca="false">IF(C184&gt;=L184,"ja","nein")</f>
        <v>nein</v>
      </c>
      <c r="I184" s="15" t="str">
        <f aca="false">IF(C184&gt;=M184,"ja","nein")</f>
        <v>nein</v>
      </c>
      <c r="J184" s="15" t="n">
        <f aca="false">ROUND(Annahmen!$K$35*(1+Annahmen!$B$20*D184/1000),0)</f>
        <v>841</v>
      </c>
      <c r="K184" s="15" t="n">
        <f aca="false">ROUND(Annahmen!$K$36*(1+Annahmen!$B$20*D184/1000),0)</f>
        <v>1092</v>
      </c>
      <c r="L184" s="15" t="n">
        <f aca="false">ROUND(Annahmen!$K$37*(1+Annahmen!$B$20*D184/1000),0)</f>
        <v>1116</v>
      </c>
      <c r="M184" s="15" t="n">
        <f aca="false">ROUND(Annahmen!$K$38*(1+Annahmen!$B$20*D184/1000),0)</f>
        <v>1116</v>
      </c>
      <c r="N184" s="16" t="s">
        <v>454</v>
      </c>
    </row>
    <row r="185" customFormat="false" ht="15" hidden="false" customHeight="false" outlineLevel="0" collapsed="false">
      <c r="A185" s="13" t="s">
        <v>455</v>
      </c>
      <c r="B185" s="14" t="s">
        <v>456</v>
      </c>
      <c r="C185" s="15" t="n">
        <v>840</v>
      </c>
      <c r="D185" s="15" t="n">
        <v>410</v>
      </c>
      <c r="E185" s="13" t="s">
        <v>82</v>
      </c>
      <c r="F185" s="15" t="str">
        <f aca="false">IF(C185&gt;=J185,"ja","nein")</f>
        <v>nein</v>
      </c>
      <c r="G185" s="15" t="str">
        <f aca="false">IF(C185&gt;=K185,"ja","nein")</f>
        <v>nein</v>
      </c>
      <c r="H185" s="15" t="str">
        <f aca="false">IF(C185&gt;=L185,"ja","nein")</f>
        <v>nein</v>
      </c>
      <c r="I185" s="15" t="str">
        <f aca="false">IF(C185&gt;=M185,"ja","nein")</f>
        <v>nein</v>
      </c>
      <c r="J185" s="15" t="n">
        <f aca="false">ROUND(Annahmen!$K$35*(1+Annahmen!$B$20*D185/1000),0)</f>
        <v>871</v>
      </c>
      <c r="K185" s="15" t="n">
        <f aca="false">ROUND(Annahmen!$K$36*(1+Annahmen!$B$20*D185/1000),0)</f>
        <v>1131</v>
      </c>
      <c r="L185" s="15" t="n">
        <f aca="false">ROUND(Annahmen!$K$37*(1+Annahmen!$B$20*D185/1000),0)</f>
        <v>1156</v>
      </c>
      <c r="M185" s="15" t="n">
        <f aca="false">ROUND(Annahmen!$K$38*(1+Annahmen!$B$20*D185/1000),0)</f>
        <v>1156</v>
      </c>
      <c r="N185" s="16" t="s">
        <v>102</v>
      </c>
    </row>
    <row r="186" customFormat="false" ht="15" hidden="false" customHeight="false" outlineLevel="0" collapsed="false">
      <c r="A186" s="13" t="s">
        <v>457</v>
      </c>
      <c r="B186" s="14" t="s">
        <v>458</v>
      </c>
      <c r="C186" s="15" t="n">
        <v>836</v>
      </c>
      <c r="D186" s="15" t="n">
        <v>95</v>
      </c>
      <c r="E186" s="13" t="s">
        <v>82</v>
      </c>
      <c r="F186" s="15" t="str">
        <f aca="false">IF(C186&gt;=J186,"ja","nein")</f>
        <v>nein</v>
      </c>
      <c r="G186" s="15" t="str">
        <f aca="false">IF(C186&gt;=K186,"ja","nein")</f>
        <v>nein</v>
      </c>
      <c r="H186" s="15" t="str">
        <f aca="false">IF(C186&gt;=L186,"ja","nein")</f>
        <v>nein</v>
      </c>
      <c r="I186" s="15" t="str">
        <f aca="false">IF(C186&gt;=M186,"ja","nein")</f>
        <v>nein</v>
      </c>
      <c r="J186" s="15" t="n">
        <f aca="false">ROUND(Annahmen!$K$35*(1+Annahmen!$B$20*D186/1000),0)</f>
        <v>847</v>
      </c>
      <c r="K186" s="15" t="n">
        <f aca="false">ROUND(Annahmen!$K$36*(1+Annahmen!$B$20*D186/1000),0)</f>
        <v>1100</v>
      </c>
      <c r="L186" s="15" t="n">
        <f aca="false">ROUND(Annahmen!$K$37*(1+Annahmen!$B$20*D186/1000),0)</f>
        <v>1125</v>
      </c>
      <c r="M186" s="15" t="n">
        <f aca="false">ROUND(Annahmen!$K$38*(1+Annahmen!$B$20*D186/1000),0)</f>
        <v>1125</v>
      </c>
      <c r="N186" s="16" t="s">
        <v>102</v>
      </c>
    </row>
    <row r="187" customFormat="false" ht="15" hidden="false" customHeight="false" outlineLevel="0" collapsed="false">
      <c r="A187" s="13" t="s">
        <v>459</v>
      </c>
      <c r="B187" s="14" t="s">
        <v>460</v>
      </c>
      <c r="C187" s="15" t="n">
        <v>830</v>
      </c>
      <c r="D187" s="15" t="n">
        <v>240</v>
      </c>
      <c r="E187" s="13" t="s">
        <v>82</v>
      </c>
      <c r="F187" s="15" t="str">
        <f aca="false">IF(C187&gt;=J187,"ja","nein")</f>
        <v>nein</v>
      </c>
      <c r="G187" s="15" t="str">
        <f aca="false">IF(C187&gt;=K187,"ja","nein")</f>
        <v>nein</v>
      </c>
      <c r="H187" s="15" t="str">
        <f aca="false">IF(C187&gt;=L187,"ja","nein")</f>
        <v>nein</v>
      </c>
      <c r="I187" s="15" t="str">
        <f aca="false">IF(C187&gt;=M187,"ja","nein")</f>
        <v>nein</v>
      </c>
      <c r="J187" s="15" t="n">
        <f aca="false">ROUND(Annahmen!$K$35*(1+Annahmen!$B$20*D187/1000),0)</f>
        <v>858</v>
      </c>
      <c r="K187" s="15" t="n">
        <f aca="false">ROUND(Annahmen!$K$36*(1+Annahmen!$B$20*D187/1000),0)</f>
        <v>1115</v>
      </c>
      <c r="L187" s="15" t="n">
        <f aca="false">ROUND(Annahmen!$K$37*(1+Annahmen!$B$20*D187/1000),0)</f>
        <v>1139</v>
      </c>
      <c r="M187" s="15" t="n">
        <f aca="false">ROUND(Annahmen!$K$38*(1+Annahmen!$B$20*D187/1000),0)</f>
        <v>1139</v>
      </c>
      <c r="N187" s="16" t="s">
        <v>102</v>
      </c>
    </row>
    <row r="188" customFormat="false" ht="15" hidden="false" customHeight="false" outlineLevel="0" collapsed="false">
      <c r="A188" s="13" t="s">
        <v>461</v>
      </c>
      <c r="B188" s="14" t="s">
        <v>462</v>
      </c>
      <c r="C188" s="15" t="n">
        <v>814</v>
      </c>
      <c r="D188" s="15" t="n">
        <v>934</v>
      </c>
      <c r="E188" s="13" t="s">
        <v>82</v>
      </c>
      <c r="F188" s="15" t="str">
        <f aca="false">IF(C188&gt;=J188,"ja","nein")</f>
        <v>nein</v>
      </c>
      <c r="G188" s="15" t="str">
        <f aca="false">IF(C188&gt;=K188,"ja","nein")</f>
        <v>nein</v>
      </c>
      <c r="H188" s="15" t="str">
        <f aca="false">IF(C188&gt;=L188,"ja","nein")</f>
        <v>nein</v>
      </c>
      <c r="I188" s="15" t="str">
        <f aca="false">IF(C188&gt;=M188,"ja","nein")</f>
        <v>nein</v>
      </c>
      <c r="J188" s="15" t="n">
        <f aca="false">ROUND(Annahmen!$K$35*(1+Annahmen!$B$20*D188/1000),0)</f>
        <v>911</v>
      </c>
      <c r="K188" s="15" t="n">
        <f aca="false">ROUND(Annahmen!$K$36*(1+Annahmen!$B$20*D188/1000),0)</f>
        <v>1183</v>
      </c>
      <c r="L188" s="15" t="n">
        <f aca="false">ROUND(Annahmen!$K$37*(1+Annahmen!$B$20*D188/1000),0)</f>
        <v>1209</v>
      </c>
      <c r="M188" s="15" t="n">
        <f aca="false">ROUND(Annahmen!$K$38*(1+Annahmen!$B$20*D188/1000),0)</f>
        <v>1209</v>
      </c>
      <c r="N188" s="16" t="s">
        <v>102</v>
      </c>
    </row>
    <row r="189" customFormat="false" ht="15" hidden="false" customHeight="false" outlineLevel="0" collapsed="false">
      <c r="A189" s="13" t="s">
        <v>463</v>
      </c>
      <c r="B189" s="14" t="s">
        <v>464</v>
      </c>
      <c r="C189" s="15" t="n">
        <v>808</v>
      </c>
      <c r="D189" s="15" t="n">
        <v>1594</v>
      </c>
      <c r="E189" s="13" t="s">
        <v>82</v>
      </c>
      <c r="F189" s="15" t="str">
        <f aca="false">IF(C189&gt;=J189,"ja","nein")</f>
        <v>nein</v>
      </c>
      <c r="G189" s="15" t="str">
        <f aca="false">IF(C189&gt;=K189,"ja","nein")</f>
        <v>nein</v>
      </c>
      <c r="H189" s="15" t="str">
        <f aca="false">IF(C189&gt;=L189,"ja","nein")</f>
        <v>nein</v>
      </c>
      <c r="I189" s="15" t="str">
        <f aca="false">IF(C189&gt;=M189,"ja","nein")</f>
        <v>nein</v>
      </c>
      <c r="J189" s="15" t="n">
        <f aca="false">ROUND(Annahmen!$K$35*(1+Annahmen!$B$20*D189/1000),0)</f>
        <v>961</v>
      </c>
      <c r="K189" s="15" t="n">
        <f aca="false">ROUND(Annahmen!$K$36*(1+Annahmen!$B$20*D189/1000),0)</f>
        <v>1248</v>
      </c>
      <c r="L189" s="15" t="n">
        <f aca="false">ROUND(Annahmen!$K$37*(1+Annahmen!$B$20*D189/1000),0)</f>
        <v>1275</v>
      </c>
      <c r="M189" s="15" t="n">
        <f aca="false">ROUND(Annahmen!$K$38*(1+Annahmen!$B$20*D189/1000),0)</f>
        <v>1275</v>
      </c>
      <c r="N189" s="16" t="s">
        <v>102</v>
      </c>
    </row>
    <row r="190" customFormat="false" ht="15" hidden="false" customHeight="false" outlineLevel="0" collapsed="false">
      <c r="A190" s="13" t="s">
        <v>465</v>
      </c>
      <c r="B190" s="14" t="s">
        <v>466</v>
      </c>
      <c r="C190" s="15" t="n">
        <v>803</v>
      </c>
      <c r="D190" s="15" t="n">
        <v>2444</v>
      </c>
      <c r="E190" s="13" t="s">
        <v>82</v>
      </c>
      <c r="F190" s="15" t="str">
        <f aca="false">IF(C190&gt;=J190,"ja","nein")</f>
        <v>nein</v>
      </c>
      <c r="G190" s="15" t="str">
        <f aca="false">IF(C190&gt;=K190,"ja","nein")</f>
        <v>nein</v>
      </c>
      <c r="H190" s="15" t="str">
        <f aca="false">IF(C190&gt;=L190,"ja","nein")</f>
        <v>nein</v>
      </c>
      <c r="I190" s="15" t="str">
        <f aca="false">IF(C190&gt;=M190,"ja","nein")</f>
        <v>nein</v>
      </c>
      <c r="J190" s="15" t="n">
        <f aca="false">ROUND(Annahmen!$K$35*(1+Annahmen!$B$20*D190/1000),0)</f>
        <v>1025</v>
      </c>
      <c r="K190" s="15" t="n">
        <f aca="false">ROUND(Annahmen!$K$36*(1+Annahmen!$B$20*D190/1000),0)</f>
        <v>1331</v>
      </c>
      <c r="L190" s="15" t="n">
        <f aca="false">ROUND(Annahmen!$K$37*(1+Annahmen!$B$20*D190/1000),0)</f>
        <v>1360</v>
      </c>
      <c r="M190" s="15" t="n">
        <f aca="false">ROUND(Annahmen!$K$38*(1+Annahmen!$B$20*D190/1000),0)</f>
        <v>1360</v>
      </c>
      <c r="N190" s="16" t="s">
        <v>102</v>
      </c>
    </row>
    <row r="191" customFormat="false" ht="15" hidden="false" customHeight="false" outlineLevel="0" collapsed="false">
      <c r="A191" s="13" t="s">
        <v>467</v>
      </c>
      <c r="B191" s="14" t="s">
        <v>468</v>
      </c>
      <c r="C191" s="15" t="n">
        <v>800</v>
      </c>
      <c r="D191" s="15" t="n">
        <v>279</v>
      </c>
      <c r="E191" s="13" t="s">
        <v>82</v>
      </c>
      <c r="F191" s="15" t="str">
        <f aca="false">IF(C191&gt;=J191,"ja","nein")</f>
        <v>nein</v>
      </c>
      <c r="G191" s="15" t="str">
        <f aca="false">IF(C191&gt;=K191,"ja","nein")</f>
        <v>nein</v>
      </c>
      <c r="H191" s="15" t="str">
        <f aca="false">IF(C191&gt;=L191,"ja","nein")</f>
        <v>nein</v>
      </c>
      <c r="I191" s="15" t="str">
        <f aca="false">IF(C191&gt;=M191,"ja","nein")</f>
        <v>nein</v>
      </c>
      <c r="J191" s="15" t="n">
        <f aca="false">ROUND(Annahmen!$K$35*(1+Annahmen!$B$20*D191/1000),0)</f>
        <v>861</v>
      </c>
      <c r="K191" s="15" t="n">
        <f aca="false">ROUND(Annahmen!$K$36*(1+Annahmen!$B$20*D191/1000),0)</f>
        <v>1118</v>
      </c>
      <c r="L191" s="15" t="n">
        <f aca="false">ROUND(Annahmen!$K$37*(1+Annahmen!$B$20*D191/1000),0)</f>
        <v>1143</v>
      </c>
      <c r="M191" s="15" t="n">
        <f aca="false">ROUND(Annahmen!$K$38*(1+Annahmen!$B$20*D191/1000),0)</f>
        <v>1143</v>
      </c>
      <c r="N191" s="16" t="s">
        <v>102</v>
      </c>
    </row>
    <row r="192" customFormat="false" ht="15" hidden="false" customHeight="false" outlineLevel="0" collapsed="false">
      <c r="A192" s="13" t="s">
        <v>469</v>
      </c>
      <c r="B192" s="14" t="s">
        <v>470</v>
      </c>
      <c r="C192" s="15" t="n">
        <v>800</v>
      </c>
      <c r="D192" s="15" t="n">
        <v>262</v>
      </c>
      <c r="E192" s="13" t="s">
        <v>82</v>
      </c>
      <c r="F192" s="15" t="str">
        <f aca="false">IF(C192&gt;=J192,"ja","nein")</f>
        <v>nein</v>
      </c>
      <c r="G192" s="15" t="str">
        <f aca="false">IF(C192&gt;=K192,"ja","nein")</f>
        <v>nein</v>
      </c>
      <c r="H192" s="15" t="str">
        <f aca="false">IF(C192&gt;=L192,"ja","nein")</f>
        <v>nein</v>
      </c>
      <c r="I192" s="15" t="str">
        <f aca="false">IF(C192&gt;=M192,"ja","nein")</f>
        <v>nein</v>
      </c>
      <c r="J192" s="15" t="n">
        <f aca="false">ROUND(Annahmen!$K$35*(1+Annahmen!$B$20*D192/1000),0)</f>
        <v>860</v>
      </c>
      <c r="K192" s="15" t="n">
        <f aca="false">ROUND(Annahmen!$K$36*(1+Annahmen!$B$20*D192/1000),0)</f>
        <v>1117</v>
      </c>
      <c r="L192" s="15" t="n">
        <f aca="false">ROUND(Annahmen!$K$37*(1+Annahmen!$B$20*D192/1000),0)</f>
        <v>1141</v>
      </c>
      <c r="M192" s="15" t="n">
        <f aca="false">ROUND(Annahmen!$K$38*(1+Annahmen!$B$20*D192/1000),0)</f>
        <v>1141</v>
      </c>
      <c r="N192" s="16" t="s">
        <v>102</v>
      </c>
    </row>
    <row r="193" customFormat="false" ht="15" hidden="false" customHeight="false" outlineLevel="0" collapsed="false">
      <c r="A193" s="13" t="s">
        <v>471</v>
      </c>
      <c r="B193" s="14" t="s">
        <v>472</v>
      </c>
      <c r="C193" s="15" t="n">
        <v>800</v>
      </c>
      <c r="D193" s="15" t="n">
        <v>295</v>
      </c>
      <c r="E193" s="13" t="s">
        <v>82</v>
      </c>
      <c r="F193" s="15" t="str">
        <f aca="false">IF(C193&gt;=J193,"ja","nein")</f>
        <v>nein</v>
      </c>
      <c r="G193" s="15" t="str">
        <f aca="false">IF(C193&gt;=K193,"ja","nein")</f>
        <v>nein</v>
      </c>
      <c r="H193" s="15" t="str">
        <f aca="false">IF(C193&gt;=L193,"ja","nein")</f>
        <v>nein</v>
      </c>
      <c r="I193" s="15" t="str">
        <f aca="false">IF(C193&gt;=M193,"ja","nein")</f>
        <v>nein</v>
      </c>
      <c r="J193" s="15" t="n">
        <f aca="false">ROUND(Annahmen!$K$35*(1+Annahmen!$B$20*D193/1000),0)</f>
        <v>862</v>
      </c>
      <c r="K193" s="15" t="n">
        <f aca="false">ROUND(Annahmen!$K$36*(1+Annahmen!$B$20*D193/1000),0)</f>
        <v>1120</v>
      </c>
      <c r="L193" s="15" t="n">
        <f aca="false">ROUND(Annahmen!$K$37*(1+Annahmen!$B$20*D193/1000),0)</f>
        <v>1145</v>
      </c>
      <c r="M193" s="15" t="n">
        <f aca="false">ROUND(Annahmen!$K$38*(1+Annahmen!$B$20*D193/1000),0)</f>
        <v>1145</v>
      </c>
      <c r="N193" s="16" t="s">
        <v>102</v>
      </c>
    </row>
    <row r="194" customFormat="false" ht="15" hidden="false" customHeight="false" outlineLevel="0" collapsed="false">
      <c r="A194" s="13" t="s">
        <v>473</v>
      </c>
      <c r="B194" s="14" t="s">
        <v>474</v>
      </c>
      <c r="C194" s="15" t="n">
        <v>800</v>
      </c>
      <c r="D194" s="15" t="n">
        <v>197</v>
      </c>
      <c r="E194" s="13" t="s">
        <v>82</v>
      </c>
      <c r="F194" s="15" t="str">
        <f aca="false">IF(C194&gt;=J194,"ja","nein")</f>
        <v>nein</v>
      </c>
      <c r="G194" s="15" t="str">
        <f aca="false">IF(C194&gt;=K194,"ja","nein")</f>
        <v>nein</v>
      </c>
      <c r="H194" s="15" t="str">
        <f aca="false">IF(C194&gt;=L194,"ja","nein")</f>
        <v>nein</v>
      </c>
      <c r="I194" s="15" t="str">
        <f aca="false">IF(C194&gt;=M194,"ja","nein")</f>
        <v>nein</v>
      </c>
      <c r="J194" s="15" t="n">
        <f aca="false">ROUND(Annahmen!$K$35*(1+Annahmen!$B$20*D194/1000),0)</f>
        <v>855</v>
      </c>
      <c r="K194" s="15" t="n">
        <f aca="false">ROUND(Annahmen!$K$36*(1+Annahmen!$B$20*D194/1000),0)</f>
        <v>1110</v>
      </c>
      <c r="L194" s="15" t="n">
        <f aca="false">ROUND(Annahmen!$K$37*(1+Annahmen!$B$20*D194/1000),0)</f>
        <v>1135</v>
      </c>
      <c r="M194" s="15" t="n">
        <f aca="false">ROUND(Annahmen!$K$38*(1+Annahmen!$B$20*D194/1000),0)</f>
        <v>1135</v>
      </c>
      <c r="N194" s="16" t="s">
        <v>102</v>
      </c>
    </row>
    <row r="195" customFormat="false" ht="15" hidden="false" customHeight="false" outlineLevel="0" collapsed="false">
      <c r="A195" s="13" t="s">
        <v>475</v>
      </c>
      <c r="B195" s="14" t="s">
        <v>476</v>
      </c>
      <c r="C195" s="15" t="n">
        <v>800</v>
      </c>
      <c r="D195" s="15" t="n">
        <v>1119</v>
      </c>
      <c r="E195" s="13" t="s">
        <v>82</v>
      </c>
      <c r="F195" s="15" t="str">
        <f aca="false">IF(C195&gt;=J195,"ja","nein")</f>
        <v>nein</v>
      </c>
      <c r="G195" s="15" t="str">
        <f aca="false">IF(C195&gt;=K195,"ja","nein")</f>
        <v>nein</v>
      </c>
      <c r="H195" s="15" t="str">
        <f aca="false">IF(C195&gt;=L195,"ja","nein")</f>
        <v>nein</v>
      </c>
      <c r="I195" s="15" t="str">
        <f aca="false">IF(C195&gt;=M195,"ja","nein")</f>
        <v>nein</v>
      </c>
      <c r="J195" s="15" t="n">
        <f aca="false">ROUND(Annahmen!$K$35*(1+Annahmen!$B$20*D195/1000),0)</f>
        <v>925</v>
      </c>
      <c r="K195" s="15" t="n">
        <f aca="false">ROUND(Annahmen!$K$36*(1+Annahmen!$B$20*D195/1000),0)</f>
        <v>1201</v>
      </c>
      <c r="L195" s="15" t="n">
        <f aca="false">ROUND(Annahmen!$K$37*(1+Annahmen!$B$20*D195/1000),0)</f>
        <v>1227</v>
      </c>
      <c r="M195" s="15" t="n">
        <f aca="false">ROUND(Annahmen!$K$38*(1+Annahmen!$B$20*D195/1000),0)</f>
        <v>1227</v>
      </c>
      <c r="N195" s="16" t="s">
        <v>102</v>
      </c>
    </row>
    <row r="196" customFormat="false" ht="15" hidden="false" customHeight="false" outlineLevel="0" collapsed="false">
      <c r="A196" s="13" t="s">
        <v>477</v>
      </c>
      <c r="B196" s="14" t="s">
        <v>478</v>
      </c>
      <c r="C196" s="15" t="n">
        <v>800</v>
      </c>
      <c r="D196" s="15" t="n">
        <v>1247</v>
      </c>
      <c r="E196" s="13" t="s">
        <v>82</v>
      </c>
      <c r="F196" s="15" t="str">
        <f aca="false">IF(C196&gt;=J196,"ja","nein")</f>
        <v>nein</v>
      </c>
      <c r="G196" s="15" t="str">
        <f aca="false">IF(C196&gt;=K196,"ja","nein")</f>
        <v>nein</v>
      </c>
      <c r="H196" s="15" t="str">
        <f aca="false">IF(C196&gt;=L196,"ja","nein")</f>
        <v>nein</v>
      </c>
      <c r="I196" s="15" t="str">
        <f aca="false">IF(C196&gt;=M196,"ja","nein")</f>
        <v>nein</v>
      </c>
      <c r="J196" s="15" t="n">
        <f aca="false">ROUND(Annahmen!$K$35*(1+Annahmen!$B$20*D196/1000),0)</f>
        <v>934</v>
      </c>
      <c r="K196" s="15" t="n">
        <f aca="false">ROUND(Annahmen!$K$36*(1+Annahmen!$B$20*D196/1000),0)</f>
        <v>1213</v>
      </c>
      <c r="L196" s="15" t="n">
        <f aca="false">ROUND(Annahmen!$K$37*(1+Annahmen!$B$20*D196/1000),0)</f>
        <v>1240</v>
      </c>
      <c r="M196" s="15" t="n">
        <f aca="false">ROUND(Annahmen!$K$38*(1+Annahmen!$B$20*D196/1000),0)</f>
        <v>1240</v>
      </c>
      <c r="N196" s="16" t="s">
        <v>102</v>
      </c>
    </row>
    <row r="197" customFormat="false" ht="15" hidden="false" customHeight="false" outlineLevel="0" collapsed="false">
      <c r="A197" s="13" t="s">
        <v>479</v>
      </c>
      <c r="B197" s="14" t="s">
        <v>480</v>
      </c>
      <c r="C197" s="15" t="n">
        <v>800</v>
      </c>
      <c r="D197" s="15" t="n">
        <v>246</v>
      </c>
      <c r="E197" s="13" t="s">
        <v>82</v>
      </c>
      <c r="F197" s="15" t="str">
        <f aca="false">IF(C197&gt;=J197,"ja","nein")</f>
        <v>nein</v>
      </c>
      <c r="G197" s="15" t="str">
        <f aca="false">IF(C197&gt;=K197,"ja","nein")</f>
        <v>nein</v>
      </c>
      <c r="H197" s="15" t="str">
        <f aca="false">IF(C197&gt;=L197,"ja","nein")</f>
        <v>nein</v>
      </c>
      <c r="I197" s="15" t="str">
        <f aca="false">IF(C197&gt;=M197,"ja","nein")</f>
        <v>nein</v>
      </c>
      <c r="J197" s="15" t="n">
        <f aca="false">ROUND(Annahmen!$K$35*(1+Annahmen!$B$20*D197/1000),0)</f>
        <v>859</v>
      </c>
      <c r="K197" s="15" t="n">
        <f aca="false">ROUND(Annahmen!$K$36*(1+Annahmen!$B$20*D197/1000),0)</f>
        <v>1115</v>
      </c>
      <c r="L197" s="15" t="n">
        <f aca="false">ROUND(Annahmen!$K$37*(1+Annahmen!$B$20*D197/1000),0)</f>
        <v>1140</v>
      </c>
      <c r="M197" s="15" t="n">
        <f aca="false">ROUND(Annahmen!$K$38*(1+Annahmen!$B$20*D197/1000),0)</f>
        <v>1140</v>
      </c>
      <c r="N197" s="16" t="s">
        <v>102</v>
      </c>
    </row>
    <row r="198" customFormat="false" ht="15" hidden="false" customHeight="false" outlineLevel="0" collapsed="false">
      <c r="A198" s="13" t="s">
        <v>481</v>
      </c>
      <c r="B198" s="14" t="s">
        <v>482</v>
      </c>
      <c r="C198" s="15" t="n">
        <v>800</v>
      </c>
      <c r="D198" s="15" t="n">
        <v>689</v>
      </c>
      <c r="E198" s="13" t="s">
        <v>82</v>
      </c>
      <c r="F198" s="15" t="str">
        <f aca="false">IF(C198&gt;=J198,"ja","nein")</f>
        <v>nein</v>
      </c>
      <c r="G198" s="15" t="str">
        <f aca="false">IF(C198&gt;=K198,"ja","nein")</f>
        <v>nein</v>
      </c>
      <c r="H198" s="15" t="str">
        <f aca="false">IF(C198&gt;=L198,"ja","nein")</f>
        <v>nein</v>
      </c>
      <c r="I198" s="15" t="str">
        <f aca="false">IF(C198&gt;=M198,"ja","nein")</f>
        <v>nein</v>
      </c>
      <c r="J198" s="15" t="n">
        <f aca="false">ROUND(Annahmen!$K$35*(1+Annahmen!$B$20*D198/1000),0)</f>
        <v>892</v>
      </c>
      <c r="K198" s="15" t="n">
        <f aca="false">ROUND(Annahmen!$K$36*(1+Annahmen!$B$20*D198/1000),0)</f>
        <v>1159</v>
      </c>
      <c r="L198" s="15" t="n">
        <f aca="false">ROUND(Annahmen!$K$37*(1+Annahmen!$B$20*D198/1000),0)</f>
        <v>1184</v>
      </c>
      <c r="M198" s="15" t="n">
        <f aca="false">ROUND(Annahmen!$K$38*(1+Annahmen!$B$20*D198/1000),0)</f>
        <v>1184</v>
      </c>
      <c r="N198" s="16" t="s">
        <v>102</v>
      </c>
    </row>
    <row r="199" customFormat="false" ht="15" hidden="false" customHeight="false" outlineLevel="0" collapsed="false">
      <c r="A199" s="13" t="s">
        <v>483</v>
      </c>
      <c r="B199" s="14" t="s">
        <v>484</v>
      </c>
      <c r="C199" s="15" t="n">
        <v>761</v>
      </c>
      <c r="D199" s="15" t="n">
        <v>108</v>
      </c>
      <c r="E199" s="13" t="s">
        <v>82</v>
      </c>
      <c r="F199" s="15" t="str">
        <f aca="false">IF(C199&gt;=J199,"ja","nein")</f>
        <v>nein</v>
      </c>
      <c r="G199" s="15" t="str">
        <f aca="false">IF(C199&gt;=K199,"ja","nein")</f>
        <v>nein</v>
      </c>
      <c r="H199" s="15" t="str">
        <f aca="false">IF(C199&gt;=L199,"ja","nein")</f>
        <v>nein</v>
      </c>
      <c r="I199" s="15" t="str">
        <f aca="false">IF(C199&gt;=M199,"ja","nein")</f>
        <v>nein</v>
      </c>
      <c r="J199" s="15" t="n">
        <f aca="false">ROUND(Annahmen!$K$35*(1+Annahmen!$B$20*D199/1000),0)</f>
        <v>848</v>
      </c>
      <c r="K199" s="15" t="n">
        <f aca="false">ROUND(Annahmen!$K$36*(1+Annahmen!$B$20*D199/1000),0)</f>
        <v>1102</v>
      </c>
      <c r="L199" s="15" t="n">
        <f aca="false">ROUND(Annahmen!$K$37*(1+Annahmen!$B$20*D199/1000),0)</f>
        <v>1126</v>
      </c>
      <c r="M199" s="15" t="n">
        <f aca="false">ROUND(Annahmen!$K$38*(1+Annahmen!$B$20*D199/1000),0)</f>
        <v>1126</v>
      </c>
      <c r="N199" s="16" t="s">
        <v>102</v>
      </c>
    </row>
    <row r="200" customFormat="false" ht="15" hidden="false" customHeight="false" outlineLevel="0" collapsed="false">
      <c r="A200" s="13" t="s">
        <v>485</v>
      </c>
      <c r="B200" s="14" t="s">
        <v>486</v>
      </c>
      <c r="C200" s="15" t="n">
        <v>750</v>
      </c>
      <c r="D200" s="15" t="n">
        <v>699</v>
      </c>
      <c r="E200" s="13" t="s">
        <v>82</v>
      </c>
      <c r="F200" s="15" t="str">
        <f aca="false">IF(C200&gt;=J200,"ja","nein")</f>
        <v>nein</v>
      </c>
      <c r="G200" s="15" t="str">
        <f aca="false">IF(C200&gt;=K200,"ja","nein")</f>
        <v>nein</v>
      </c>
      <c r="H200" s="15" t="str">
        <f aca="false">IF(C200&gt;=L200,"ja","nein")</f>
        <v>nein</v>
      </c>
      <c r="I200" s="15" t="str">
        <f aca="false">IF(C200&gt;=M200,"ja","nein")</f>
        <v>nein</v>
      </c>
      <c r="J200" s="15" t="n">
        <f aca="false">ROUND(Annahmen!$K$35*(1+Annahmen!$B$20*D200/1000),0)</f>
        <v>893</v>
      </c>
      <c r="K200" s="15" t="n">
        <f aca="false">ROUND(Annahmen!$K$36*(1+Annahmen!$B$20*D200/1000),0)</f>
        <v>1160</v>
      </c>
      <c r="L200" s="15" t="n">
        <f aca="false">ROUND(Annahmen!$K$37*(1+Annahmen!$B$20*D200/1000),0)</f>
        <v>1185</v>
      </c>
      <c r="M200" s="15" t="n">
        <f aca="false">ROUND(Annahmen!$K$38*(1+Annahmen!$B$20*D200/1000),0)</f>
        <v>1185</v>
      </c>
      <c r="N200" s="16" t="s">
        <v>102</v>
      </c>
    </row>
    <row r="201" customFormat="false" ht="15" hidden="false" customHeight="false" outlineLevel="0" collapsed="false">
      <c r="A201" s="13" t="s">
        <v>487</v>
      </c>
      <c r="B201" s="14" t="s">
        <v>488</v>
      </c>
      <c r="C201" s="15" t="n">
        <v>750</v>
      </c>
      <c r="D201" s="15" t="n">
        <v>1509</v>
      </c>
      <c r="E201" s="13" t="s">
        <v>82</v>
      </c>
      <c r="F201" s="15" t="str">
        <f aca="false">IF(C201&gt;=J201,"ja","nein")</f>
        <v>nein</v>
      </c>
      <c r="G201" s="15" t="str">
        <f aca="false">IF(C201&gt;=K201,"ja","nein")</f>
        <v>nein</v>
      </c>
      <c r="H201" s="15" t="str">
        <f aca="false">IF(C201&gt;=L201,"ja","nein")</f>
        <v>nein</v>
      </c>
      <c r="I201" s="15" t="str">
        <f aca="false">IF(C201&gt;=M201,"ja","nein")</f>
        <v>nein</v>
      </c>
      <c r="J201" s="15" t="n">
        <f aca="false">ROUND(Annahmen!$K$35*(1+Annahmen!$B$20*D201/1000),0)</f>
        <v>954</v>
      </c>
      <c r="K201" s="15" t="n">
        <f aca="false">ROUND(Annahmen!$K$36*(1+Annahmen!$B$20*D201/1000),0)</f>
        <v>1239</v>
      </c>
      <c r="L201" s="15" t="n">
        <f aca="false">ROUND(Annahmen!$K$37*(1+Annahmen!$B$20*D201/1000),0)</f>
        <v>1266</v>
      </c>
      <c r="M201" s="15" t="n">
        <f aca="false">ROUND(Annahmen!$K$38*(1+Annahmen!$B$20*D201/1000),0)</f>
        <v>1266</v>
      </c>
      <c r="N201" s="16" t="s">
        <v>102</v>
      </c>
    </row>
    <row r="202" customFormat="false" ht="15" hidden="false" customHeight="false" outlineLevel="0" collapsed="false">
      <c r="A202" s="13" t="s">
        <v>489</v>
      </c>
      <c r="B202" s="14" t="s">
        <v>490</v>
      </c>
      <c r="C202" s="15" t="n">
        <v>750</v>
      </c>
      <c r="D202" s="15" t="n">
        <v>1385</v>
      </c>
      <c r="E202" s="13" t="s">
        <v>82</v>
      </c>
      <c r="F202" s="15" t="str">
        <f aca="false">IF(C202&gt;=J202,"ja","nein")</f>
        <v>nein</v>
      </c>
      <c r="G202" s="15" t="str">
        <f aca="false">IF(C202&gt;=K202,"ja","nein")</f>
        <v>nein</v>
      </c>
      <c r="H202" s="15" t="str">
        <f aca="false">IF(C202&gt;=L202,"ja","nein")</f>
        <v>nein</v>
      </c>
      <c r="I202" s="15" t="str">
        <f aca="false">IF(C202&gt;=M202,"ja","nein")</f>
        <v>nein</v>
      </c>
      <c r="J202" s="15" t="n">
        <f aca="false">ROUND(Annahmen!$K$35*(1+Annahmen!$B$20*D202/1000),0)</f>
        <v>945</v>
      </c>
      <c r="K202" s="15" t="n">
        <f aca="false">ROUND(Annahmen!$K$36*(1+Annahmen!$B$20*D202/1000),0)</f>
        <v>1227</v>
      </c>
      <c r="L202" s="15" t="n">
        <f aca="false">ROUND(Annahmen!$K$37*(1+Annahmen!$B$20*D202/1000),0)</f>
        <v>1254</v>
      </c>
      <c r="M202" s="15" t="n">
        <f aca="false">ROUND(Annahmen!$K$38*(1+Annahmen!$B$20*D202/1000),0)</f>
        <v>1254</v>
      </c>
      <c r="N202" s="16" t="s">
        <v>102</v>
      </c>
    </row>
    <row r="203" customFormat="false" ht="15" hidden="false" customHeight="false" outlineLevel="0" collapsed="false">
      <c r="A203" s="13" t="s">
        <v>491</v>
      </c>
      <c r="B203" s="14" t="s">
        <v>492</v>
      </c>
      <c r="C203" s="15" t="n">
        <v>750</v>
      </c>
      <c r="D203" s="15" t="n">
        <v>1424</v>
      </c>
      <c r="E203" s="13" t="s">
        <v>82</v>
      </c>
      <c r="F203" s="15" t="str">
        <f aca="false">IF(C203&gt;=J203,"ja","nein")</f>
        <v>nein</v>
      </c>
      <c r="G203" s="15" t="str">
        <f aca="false">IF(C203&gt;=K203,"ja","nein")</f>
        <v>nein</v>
      </c>
      <c r="H203" s="15" t="str">
        <f aca="false">IF(C203&gt;=L203,"ja","nein")</f>
        <v>nein</v>
      </c>
      <c r="I203" s="15" t="str">
        <f aca="false">IF(C203&gt;=M203,"ja","nein")</f>
        <v>nein</v>
      </c>
      <c r="J203" s="15" t="n">
        <f aca="false">ROUND(Annahmen!$K$35*(1+Annahmen!$B$20*D203/1000),0)</f>
        <v>948</v>
      </c>
      <c r="K203" s="15" t="n">
        <f aca="false">ROUND(Annahmen!$K$36*(1+Annahmen!$B$20*D203/1000),0)</f>
        <v>1231</v>
      </c>
      <c r="L203" s="15" t="n">
        <f aca="false">ROUND(Annahmen!$K$37*(1+Annahmen!$B$20*D203/1000),0)</f>
        <v>1258</v>
      </c>
      <c r="M203" s="15" t="n">
        <f aca="false">ROUND(Annahmen!$K$38*(1+Annahmen!$B$20*D203/1000),0)</f>
        <v>1258</v>
      </c>
      <c r="N203" s="16" t="s">
        <v>102</v>
      </c>
    </row>
    <row r="204" customFormat="false" ht="15" hidden="false" customHeight="false" outlineLevel="0" collapsed="false">
      <c r="A204" s="13" t="s">
        <v>493</v>
      </c>
      <c r="B204" s="14" t="s">
        <v>494</v>
      </c>
      <c r="C204" s="15" t="n">
        <v>725</v>
      </c>
      <c r="D204" s="15" t="n">
        <v>1591</v>
      </c>
      <c r="E204" s="13" t="s">
        <v>82</v>
      </c>
      <c r="F204" s="15" t="str">
        <f aca="false">IF(C204&gt;=J204,"ja","nein")</f>
        <v>nein</v>
      </c>
      <c r="G204" s="15" t="str">
        <f aca="false">IF(C204&gt;=K204,"ja","nein")</f>
        <v>nein</v>
      </c>
      <c r="H204" s="15" t="str">
        <f aca="false">IF(C204&gt;=L204,"ja","nein")</f>
        <v>nein</v>
      </c>
      <c r="I204" s="15" t="str">
        <f aca="false">IF(C204&gt;=M204,"ja","nein")</f>
        <v>nein</v>
      </c>
      <c r="J204" s="15" t="n">
        <f aca="false">ROUND(Annahmen!$K$35*(1+Annahmen!$B$20*D204/1000),0)</f>
        <v>960</v>
      </c>
      <c r="K204" s="15" t="n">
        <f aca="false">ROUND(Annahmen!$K$36*(1+Annahmen!$B$20*D204/1000),0)</f>
        <v>1247</v>
      </c>
      <c r="L204" s="15" t="n">
        <f aca="false">ROUND(Annahmen!$K$37*(1+Annahmen!$B$20*D204/1000),0)</f>
        <v>1275</v>
      </c>
      <c r="M204" s="15" t="n">
        <f aca="false">ROUND(Annahmen!$K$38*(1+Annahmen!$B$20*D204/1000),0)</f>
        <v>1275</v>
      </c>
      <c r="N204" s="16" t="s">
        <v>102</v>
      </c>
    </row>
    <row r="205" customFormat="false" ht="15" hidden="false" customHeight="false" outlineLevel="0" collapsed="false">
      <c r="A205" s="13" t="s">
        <v>495</v>
      </c>
      <c r="B205" s="14" t="s">
        <v>496</v>
      </c>
      <c r="C205" s="15" t="n">
        <v>720</v>
      </c>
      <c r="D205" s="15" t="n">
        <v>3</v>
      </c>
      <c r="E205" s="13" t="s">
        <v>82</v>
      </c>
      <c r="F205" s="15" t="str">
        <f aca="false">IF(C205&gt;=J205,"ja","nein")</f>
        <v>nein</v>
      </c>
      <c r="G205" s="15" t="str">
        <f aca="false">IF(C205&gt;=K205,"ja","nein")</f>
        <v>nein</v>
      </c>
      <c r="H205" s="15" t="str">
        <f aca="false">IF(C205&gt;=L205,"ja","nein")</f>
        <v>nein</v>
      </c>
      <c r="I205" s="15" t="str">
        <f aca="false">IF(C205&gt;=M205,"ja","nein")</f>
        <v>nein</v>
      </c>
      <c r="J205" s="15" t="n">
        <f aca="false">ROUND(Annahmen!$K$35*(1+Annahmen!$B$20*D205/1000),0)</f>
        <v>840</v>
      </c>
      <c r="K205" s="15" t="n">
        <f aca="false">ROUND(Annahmen!$K$36*(1+Annahmen!$B$20*D205/1000),0)</f>
        <v>1091</v>
      </c>
      <c r="L205" s="15" t="n">
        <f aca="false">ROUND(Annahmen!$K$37*(1+Annahmen!$B$20*D205/1000),0)</f>
        <v>1115</v>
      </c>
      <c r="M205" s="15" t="n">
        <f aca="false">ROUND(Annahmen!$K$38*(1+Annahmen!$B$20*D205/1000),0)</f>
        <v>1115</v>
      </c>
      <c r="N205" s="16" t="s">
        <v>102</v>
      </c>
    </row>
    <row r="206" customFormat="false" ht="15" hidden="false" customHeight="false" outlineLevel="0" collapsed="false">
      <c r="A206" s="13" t="s">
        <v>497</v>
      </c>
      <c r="B206" s="14" t="s">
        <v>498</v>
      </c>
      <c r="C206" s="15" t="n">
        <v>720</v>
      </c>
      <c r="D206" s="15" t="n">
        <v>7</v>
      </c>
      <c r="E206" s="13" t="s">
        <v>82</v>
      </c>
      <c r="F206" s="15" t="str">
        <f aca="false">IF(C206&gt;=J206,"ja","nein")</f>
        <v>nein</v>
      </c>
      <c r="G206" s="15" t="str">
        <f aca="false">IF(C206&gt;=K206,"ja","nein")</f>
        <v>nein</v>
      </c>
      <c r="H206" s="15" t="str">
        <f aca="false">IF(C206&gt;=L206,"ja","nein")</f>
        <v>nein</v>
      </c>
      <c r="I206" s="15" t="str">
        <f aca="false">IF(C206&gt;=M206,"ja","nein")</f>
        <v>nein</v>
      </c>
      <c r="J206" s="15" t="n">
        <f aca="false">ROUND(Annahmen!$K$35*(1+Annahmen!$B$20*D206/1000),0)</f>
        <v>841</v>
      </c>
      <c r="K206" s="15" t="n">
        <f aca="false">ROUND(Annahmen!$K$36*(1+Annahmen!$B$20*D206/1000),0)</f>
        <v>1092</v>
      </c>
      <c r="L206" s="15" t="n">
        <f aca="false">ROUND(Annahmen!$K$37*(1+Annahmen!$B$20*D206/1000),0)</f>
        <v>1116</v>
      </c>
      <c r="M206" s="15" t="n">
        <f aca="false">ROUND(Annahmen!$K$38*(1+Annahmen!$B$20*D206/1000),0)</f>
        <v>1116</v>
      </c>
      <c r="N206" s="16" t="s">
        <v>102</v>
      </c>
    </row>
    <row r="207" customFormat="false" ht="15" hidden="false" customHeight="false" outlineLevel="0" collapsed="false">
      <c r="A207" s="13" t="s">
        <v>499</v>
      </c>
      <c r="B207" s="14" t="s">
        <v>500</v>
      </c>
      <c r="C207" s="15" t="n">
        <v>713</v>
      </c>
      <c r="D207" s="15" t="n">
        <v>1660</v>
      </c>
      <c r="E207" s="13" t="s">
        <v>82</v>
      </c>
      <c r="F207" s="15" t="str">
        <f aca="false">IF(C207&gt;=J207,"ja","nein")</f>
        <v>nein</v>
      </c>
      <c r="G207" s="15" t="str">
        <f aca="false">IF(C207&gt;=K207,"ja","nein")</f>
        <v>nein</v>
      </c>
      <c r="H207" s="15" t="str">
        <f aca="false">IF(C207&gt;=L207,"ja","nein")</f>
        <v>nein</v>
      </c>
      <c r="I207" s="15" t="str">
        <f aca="false">IF(C207&gt;=M207,"ja","nein")</f>
        <v>nein</v>
      </c>
      <c r="J207" s="15" t="n">
        <f aca="false">ROUND(Annahmen!$K$35*(1+Annahmen!$B$20*D207/1000),0)</f>
        <v>965</v>
      </c>
      <c r="K207" s="15" t="n">
        <f aca="false">ROUND(Annahmen!$K$36*(1+Annahmen!$B$20*D207/1000),0)</f>
        <v>1254</v>
      </c>
      <c r="L207" s="15" t="n">
        <f aca="false">ROUND(Annahmen!$K$37*(1+Annahmen!$B$20*D207/1000),0)</f>
        <v>1282</v>
      </c>
      <c r="M207" s="15" t="n">
        <f aca="false">ROUND(Annahmen!$K$38*(1+Annahmen!$B$20*D207/1000),0)</f>
        <v>1282</v>
      </c>
      <c r="N207" s="16" t="s">
        <v>102</v>
      </c>
    </row>
    <row r="208" customFormat="false" ht="15" hidden="false" customHeight="false" outlineLevel="0" collapsed="false">
      <c r="A208" s="13" t="s">
        <v>501</v>
      </c>
      <c r="B208" s="14" t="s">
        <v>502</v>
      </c>
      <c r="C208" s="15" t="n">
        <v>704</v>
      </c>
      <c r="D208" s="15" t="n">
        <v>2310</v>
      </c>
      <c r="E208" s="13" t="s">
        <v>82</v>
      </c>
      <c r="F208" s="15" t="str">
        <f aca="false">IF(C208&gt;=J208,"ja","nein")</f>
        <v>nein</v>
      </c>
      <c r="G208" s="15" t="str">
        <f aca="false">IF(C208&gt;=K208,"ja","nein")</f>
        <v>nein</v>
      </c>
      <c r="H208" s="15" t="str">
        <f aca="false">IF(C208&gt;=L208,"ja","nein")</f>
        <v>nein</v>
      </c>
      <c r="I208" s="15" t="str">
        <f aca="false">IF(C208&gt;=M208,"ja","nein")</f>
        <v>nein</v>
      </c>
      <c r="J208" s="15" t="n">
        <f aca="false">ROUND(Annahmen!$K$35*(1+Annahmen!$B$20*D208/1000),0)</f>
        <v>1015</v>
      </c>
      <c r="K208" s="15" t="n">
        <f aca="false">ROUND(Annahmen!$K$36*(1+Annahmen!$B$20*D208/1000),0)</f>
        <v>1318</v>
      </c>
      <c r="L208" s="15" t="n">
        <f aca="false">ROUND(Annahmen!$K$37*(1+Annahmen!$B$20*D208/1000),0)</f>
        <v>1347</v>
      </c>
      <c r="M208" s="15" t="n">
        <f aca="false">ROUND(Annahmen!$K$38*(1+Annahmen!$B$20*D208/1000),0)</f>
        <v>1347</v>
      </c>
      <c r="N208" s="16" t="s">
        <v>102</v>
      </c>
    </row>
    <row r="209" customFormat="false" ht="15" hidden="false" customHeight="false" outlineLevel="0" collapsed="false">
      <c r="A209" s="13" t="s">
        <v>503</v>
      </c>
      <c r="B209" s="14" t="s">
        <v>504</v>
      </c>
      <c r="C209" s="15" t="n">
        <v>700</v>
      </c>
      <c r="D209" s="15" t="n">
        <v>1312</v>
      </c>
      <c r="E209" s="13" t="s">
        <v>82</v>
      </c>
      <c r="F209" s="15" t="str">
        <f aca="false">IF(C209&gt;=J209,"ja","nein")</f>
        <v>nein</v>
      </c>
      <c r="G209" s="15" t="str">
        <f aca="false">IF(C209&gt;=K209,"ja","nein")</f>
        <v>nein</v>
      </c>
      <c r="H209" s="15" t="str">
        <f aca="false">IF(C209&gt;=L209,"ja","nein")</f>
        <v>nein</v>
      </c>
      <c r="I209" s="15" t="str">
        <f aca="false">IF(C209&gt;=M209,"ja","nein")</f>
        <v>nein</v>
      </c>
      <c r="J209" s="15" t="n">
        <f aca="false">ROUND(Annahmen!$K$35*(1+Annahmen!$B$20*D209/1000),0)</f>
        <v>939</v>
      </c>
      <c r="K209" s="15" t="n">
        <f aca="false">ROUND(Annahmen!$K$36*(1+Annahmen!$B$20*D209/1000),0)</f>
        <v>1220</v>
      </c>
      <c r="L209" s="15" t="n">
        <f aca="false">ROUND(Annahmen!$K$37*(1+Annahmen!$B$20*D209/1000),0)</f>
        <v>1247</v>
      </c>
      <c r="M209" s="15" t="n">
        <f aca="false">ROUND(Annahmen!$K$38*(1+Annahmen!$B$20*D209/1000),0)</f>
        <v>1247</v>
      </c>
      <c r="N209" s="16" t="s">
        <v>102</v>
      </c>
    </row>
    <row r="210" customFormat="false" ht="15" hidden="false" customHeight="false" outlineLevel="0" collapsed="false">
      <c r="A210" s="13" t="s">
        <v>505</v>
      </c>
      <c r="B210" s="14" t="s">
        <v>506</v>
      </c>
      <c r="C210" s="15" t="n">
        <v>700</v>
      </c>
      <c r="D210" s="15" t="n">
        <v>1070</v>
      </c>
      <c r="E210" s="13" t="s">
        <v>82</v>
      </c>
      <c r="F210" s="15" t="str">
        <f aca="false">IF(C210&gt;=J210,"ja","nein")</f>
        <v>nein</v>
      </c>
      <c r="G210" s="15" t="str">
        <f aca="false">IF(C210&gt;=K210,"ja","nein")</f>
        <v>nein</v>
      </c>
      <c r="H210" s="15" t="str">
        <f aca="false">IF(C210&gt;=L210,"ja","nein")</f>
        <v>nein</v>
      </c>
      <c r="I210" s="15" t="str">
        <f aca="false">IF(C210&gt;=M210,"ja","nein")</f>
        <v>nein</v>
      </c>
      <c r="J210" s="15" t="n">
        <f aca="false">ROUND(Annahmen!$K$35*(1+Annahmen!$B$20*D210/1000),0)</f>
        <v>921</v>
      </c>
      <c r="K210" s="15" t="n">
        <f aca="false">ROUND(Annahmen!$K$36*(1+Annahmen!$B$20*D210/1000),0)</f>
        <v>1196</v>
      </c>
      <c r="L210" s="15" t="n">
        <f aca="false">ROUND(Annahmen!$K$37*(1+Annahmen!$B$20*D210/1000),0)</f>
        <v>1222</v>
      </c>
      <c r="M210" s="15" t="n">
        <f aca="false">ROUND(Annahmen!$K$38*(1+Annahmen!$B$20*D210/1000),0)</f>
        <v>1222</v>
      </c>
      <c r="N210" s="16" t="s">
        <v>102</v>
      </c>
    </row>
    <row r="211" customFormat="false" ht="15" hidden="false" customHeight="false" outlineLevel="0" collapsed="false">
      <c r="A211" s="13" t="s">
        <v>507</v>
      </c>
      <c r="B211" s="14" t="s">
        <v>508</v>
      </c>
      <c r="C211" s="15" t="n">
        <v>700</v>
      </c>
      <c r="D211" s="15" t="n">
        <v>151</v>
      </c>
      <c r="E211" s="13" t="s">
        <v>82</v>
      </c>
      <c r="F211" s="15" t="str">
        <f aca="false">IF(C211&gt;=J211,"ja","nein")</f>
        <v>nein</v>
      </c>
      <c r="G211" s="15" t="str">
        <f aca="false">IF(C211&gt;=K211,"ja","nein")</f>
        <v>nein</v>
      </c>
      <c r="H211" s="15" t="str">
        <f aca="false">IF(C211&gt;=L211,"ja","nein")</f>
        <v>nein</v>
      </c>
      <c r="I211" s="15" t="str">
        <f aca="false">IF(C211&gt;=M211,"ja","nein")</f>
        <v>nein</v>
      </c>
      <c r="J211" s="15" t="n">
        <f aca="false">ROUND(Annahmen!$K$35*(1+Annahmen!$B$20*D211/1000),0)</f>
        <v>851</v>
      </c>
      <c r="K211" s="15" t="n">
        <f aca="false">ROUND(Annahmen!$K$36*(1+Annahmen!$B$20*D211/1000),0)</f>
        <v>1106</v>
      </c>
      <c r="L211" s="15" t="n">
        <f aca="false">ROUND(Annahmen!$K$37*(1+Annahmen!$B$20*D211/1000),0)</f>
        <v>1130</v>
      </c>
      <c r="M211" s="15" t="n">
        <f aca="false">ROUND(Annahmen!$K$38*(1+Annahmen!$B$20*D211/1000),0)</f>
        <v>1130</v>
      </c>
      <c r="N211" s="16" t="s">
        <v>102</v>
      </c>
    </row>
    <row r="212" customFormat="false" ht="15" hidden="false" customHeight="false" outlineLevel="0" collapsed="false">
      <c r="A212" s="13" t="s">
        <v>509</v>
      </c>
      <c r="B212" s="14" t="s">
        <v>510</v>
      </c>
      <c r="C212" s="15" t="n">
        <v>700</v>
      </c>
      <c r="D212" s="15" t="n">
        <v>7</v>
      </c>
      <c r="E212" s="13" t="s">
        <v>82</v>
      </c>
      <c r="F212" s="15" t="str">
        <f aca="false">IF(C212&gt;=J212,"ja","nein")</f>
        <v>nein</v>
      </c>
      <c r="G212" s="15" t="str">
        <f aca="false">IF(C212&gt;=K212,"ja","nein")</f>
        <v>nein</v>
      </c>
      <c r="H212" s="15" t="str">
        <f aca="false">IF(C212&gt;=L212,"ja","nein")</f>
        <v>nein</v>
      </c>
      <c r="I212" s="15" t="str">
        <f aca="false">IF(C212&gt;=M212,"ja","nein")</f>
        <v>nein</v>
      </c>
      <c r="J212" s="15" t="n">
        <f aca="false">ROUND(Annahmen!$K$35*(1+Annahmen!$B$20*D212/1000),0)</f>
        <v>841</v>
      </c>
      <c r="K212" s="15" t="n">
        <f aca="false">ROUND(Annahmen!$K$36*(1+Annahmen!$B$20*D212/1000),0)</f>
        <v>1092</v>
      </c>
      <c r="L212" s="15" t="n">
        <f aca="false">ROUND(Annahmen!$K$37*(1+Annahmen!$B$20*D212/1000),0)</f>
        <v>1116</v>
      </c>
      <c r="M212" s="15" t="n">
        <f aca="false">ROUND(Annahmen!$K$38*(1+Annahmen!$B$20*D212/1000),0)</f>
        <v>1116</v>
      </c>
      <c r="N212" s="16" t="s">
        <v>102</v>
      </c>
    </row>
    <row r="213" customFormat="false" ht="15" hidden="false" customHeight="false" outlineLevel="0" collapsed="false">
      <c r="A213" s="13" t="s">
        <v>511</v>
      </c>
      <c r="B213" s="14" t="s">
        <v>512</v>
      </c>
      <c r="C213" s="15" t="n">
        <v>700</v>
      </c>
      <c r="D213" s="15" t="n">
        <v>125</v>
      </c>
      <c r="E213" s="13" t="s">
        <v>82</v>
      </c>
      <c r="F213" s="15" t="str">
        <f aca="false">IF(C213&gt;=J213,"ja","nein")</f>
        <v>nein</v>
      </c>
      <c r="G213" s="15" t="str">
        <f aca="false">IF(C213&gt;=K213,"ja","nein")</f>
        <v>nein</v>
      </c>
      <c r="H213" s="15" t="str">
        <f aca="false">IF(C213&gt;=L213,"ja","nein")</f>
        <v>nein</v>
      </c>
      <c r="I213" s="15" t="str">
        <f aca="false">IF(C213&gt;=M213,"ja","nein")</f>
        <v>nein</v>
      </c>
      <c r="J213" s="15" t="n">
        <f aca="false">ROUND(Annahmen!$K$35*(1+Annahmen!$B$20*D213/1000),0)</f>
        <v>849</v>
      </c>
      <c r="K213" s="15" t="n">
        <f aca="false">ROUND(Annahmen!$K$36*(1+Annahmen!$B$20*D213/1000),0)</f>
        <v>1103</v>
      </c>
      <c r="L213" s="15" t="n">
        <f aca="false">ROUND(Annahmen!$K$37*(1+Annahmen!$B$20*D213/1000),0)</f>
        <v>1128</v>
      </c>
      <c r="M213" s="15" t="n">
        <f aca="false">ROUND(Annahmen!$K$38*(1+Annahmen!$B$20*D213/1000),0)</f>
        <v>1128</v>
      </c>
      <c r="N213" s="16" t="s">
        <v>102</v>
      </c>
    </row>
    <row r="214" customFormat="false" ht="15" hidden="false" customHeight="false" outlineLevel="0" collapsed="false">
      <c r="A214" s="13" t="s">
        <v>513</v>
      </c>
      <c r="B214" s="14" t="s">
        <v>514</v>
      </c>
      <c r="C214" s="15" t="n">
        <v>685</v>
      </c>
      <c r="D214" s="15" t="n">
        <v>535</v>
      </c>
      <c r="E214" s="13" t="s">
        <v>82</v>
      </c>
      <c r="F214" s="15" t="str">
        <f aca="false">IF(C214&gt;=J214,"ja","nein")</f>
        <v>nein</v>
      </c>
      <c r="G214" s="15" t="str">
        <f aca="false">IF(C214&gt;=K214,"ja","nein")</f>
        <v>nein</v>
      </c>
      <c r="H214" s="15" t="str">
        <f aca="false">IF(C214&gt;=L214,"ja","nein")</f>
        <v>nein</v>
      </c>
      <c r="I214" s="15" t="str">
        <f aca="false">IF(C214&gt;=M214,"ja","nein")</f>
        <v>nein</v>
      </c>
      <c r="J214" s="15" t="n">
        <f aca="false">ROUND(Annahmen!$K$35*(1+Annahmen!$B$20*D214/1000),0)</f>
        <v>880</v>
      </c>
      <c r="K214" s="15" t="n">
        <f aca="false">ROUND(Annahmen!$K$36*(1+Annahmen!$B$20*D214/1000),0)</f>
        <v>1144</v>
      </c>
      <c r="L214" s="15" t="n">
        <f aca="false">ROUND(Annahmen!$K$37*(1+Annahmen!$B$20*D214/1000),0)</f>
        <v>1169</v>
      </c>
      <c r="M214" s="15" t="n">
        <f aca="false">ROUND(Annahmen!$K$38*(1+Annahmen!$B$20*D214/1000),0)</f>
        <v>1169</v>
      </c>
      <c r="N214" s="16" t="s">
        <v>102</v>
      </c>
    </row>
    <row r="215" customFormat="false" ht="15" hidden="false" customHeight="false" outlineLevel="0" collapsed="false">
      <c r="A215" s="13" t="s">
        <v>515</v>
      </c>
      <c r="B215" s="14" t="s">
        <v>516</v>
      </c>
      <c r="C215" s="15" t="n">
        <v>672</v>
      </c>
      <c r="D215" s="15" t="n">
        <v>920</v>
      </c>
      <c r="E215" s="13" t="s">
        <v>82</v>
      </c>
      <c r="F215" s="15" t="str">
        <f aca="false">IF(C215&gt;=J215,"ja","nein")</f>
        <v>nein</v>
      </c>
      <c r="G215" s="15" t="str">
        <f aca="false">IF(C215&gt;=K215,"ja","nein")</f>
        <v>nein</v>
      </c>
      <c r="H215" s="15" t="str">
        <f aca="false">IF(C215&gt;=L215,"ja","nein")</f>
        <v>nein</v>
      </c>
      <c r="I215" s="15" t="str">
        <f aca="false">IF(C215&gt;=M215,"ja","nein")</f>
        <v>nein</v>
      </c>
      <c r="J215" s="15" t="n">
        <f aca="false">ROUND(Annahmen!$K$35*(1+Annahmen!$B$20*D215/1000),0)</f>
        <v>910</v>
      </c>
      <c r="K215" s="15" t="n">
        <f aca="false">ROUND(Annahmen!$K$36*(1+Annahmen!$B$20*D215/1000),0)</f>
        <v>1181</v>
      </c>
      <c r="L215" s="15" t="n">
        <f aca="false">ROUND(Annahmen!$K$37*(1+Annahmen!$B$20*D215/1000),0)</f>
        <v>1207</v>
      </c>
      <c r="M215" s="15" t="n">
        <f aca="false">ROUND(Annahmen!$K$38*(1+Annahmen!$B$20*D215/1000),0)</f>
        <v>1207</v>
      </c>
      <c r="N215" s="16" t="s">
        <v>102</v>
      </c>
    </row>
    <row r="216" customFormat="false" ht="15" hidden="false" customHeight="false" outlineLevel="0" collapsed="false">
      <c r="A216" s="13" t="s">
        <v>517</v>
      </c>
      <c r="B216" s="14" t="s">
        <v>518</v>
      </c>
      <c r="C216" s="15" t="n">
        <v>670</v>
      </c>
      <c r="D216" s="15" t="n">
        <v>991</v>
      </c>
      <c r="E216" s="13" t="s">
        <v>82</v>
      </c>
      <c r="F216" s="15" t="str">
        <f aca="false">IF(C216&gt;=J216,"ja","nein")</f>
        <v>nein</v>
      </c>
      <c r="G216" s="15" t="str">
        <f aca="false">IF(C216&gt;=K216,"ja","nein")</f>
        <v>nein</v>
      </c>
      <c r="H216" s="15" t="str">
        <f aca="false">IF(C216&gt;=L216,"ja","nein")</f>
        <v>nein</v>
      </c>
      <c r="I216" s="15" t="str">
        <f aca="false">IF(C216&gt;=M216,"ja","nein")</f>
        <v>nein</v>
      </c>
      <c r="J216" s="15" t="n">
        <f aca="false">ROUND(Annahmen!$K$35*(1+Annahmen!$B$20*D216/1000),0)</f>
        <v>915</v>
      </c>
      <c r="K216" s="15" t="n">
        <f aca="false">ROUND(Annahmen!$K$36*(1+Annahmen!$B$20*D216/1000),0)</f>
        <v>1188</v>
      </c>
      <c r="L216" s="15" t="n">
        <f aca="false">ROUND(Annahmen!$K$37*(1+Annahmen!$B$20*D216/1000),0)</f>
        <v>1214</v>
      </c>
      <c r="M216" s="15" t="n">
        <f aca="false">ROUND(Annahmen!$K$38*(1+Annahmen!$B$20*D216/1000),0)</f>
        <v>1214</v>
      </c>
      <c r="N216" s="16" t="s">
        <v>102</v>
      </c>
    </row>
    <row r="217" customFormat="false" ht="15" hidden="false" customHeight="false" outlineLevel="0" collapsed="false">
      <c r="A217" s="13" t="s">
        <v>519</v>
      </c>
      <c r="B217" s="14" t="s">
        <v>520</v>
      </c>
      <c r="C217" s="15" t="n">
        <v>670</v>
      </c>
      <c r="D217" s="15" t="n">
        <v>7</v>
      </c>
      <c r="E217" s="13" t="s">
        <v>82</v>
      </c>
      <c r="F217" s="15" t="str">
        <f aca="false">IF(C217&gt;=J217,"ja","nein")</f>
        <v>nein</v>
      </c>
      <c r="G217" s="15" t="str">
        <f aca="false">IF(C217&gt;=K217,"ja","nein")</f>
        <v>nein</v>
      </c>
      <c r="H217" s="15" t="str">
        <f aca="false">IF(C217&gt;=L217,"ja","nein")</f>
        <v>nein</v>
      </c>
      <c r="I217" s="15" t="str">
        <f aca="false">IF(C217&gt;=M217,"ja","nein")</f>
        <v>nein</v>
      </c>
      <c r="J217" s="15" t="n">
        <f aca="false">ROUND(Annahmen!$K$35*(1+Annahmen!$B$20*D217/1000),0)</f>
        <v>841</v>
      </c>
      <c r="K217" s="15" t="n">
        <f aca="false">ROUND(Annahmen!$K$36*(1+Annahmen!$B$20*D217/1000),0)</f>
        <v>1092</v>
      </c>
      <c r="L217" s="15" t="n">
        <f aca="false">ROUND(Annahmen!$K$37*(1+Annahmen!$B$20*D217/1000),0)</f>
        <v>1116</v>
      </c>
      <c r="M217" s="15" t="n">
        <f aca="false">ROUND(Annahmen!$K$38*(1+Annahmen!$B$20*D217/1000),0)</f>
        <v>1116</v>
      </c>
      <c r="N217" s="16" t="s">
        <v>102</v>
      </c>
    </row>
    <row r="218" customFormat="false" ht="15" hidden="false" customHeight="false" outlineLevel="0" collapsed="false">
      <c r="A218" s="13" t="s">
        <v>521</v>
      </c>
      <c r="B218" s="14" t="s">
        <v>522</v>
      </c>
      <c r="C218" s="15" t="n">
        <v>650</v>
      </c>
      <c r="D218" s="15" t="n">
        <v>63</v>
      </c>
      <c r="E218" s="13" t="s">
        <v>82</v>
      </c>
      <c r="F218" s="15" t="str">
        <f aca="false">IF(C218&gt;=J218,"ja","nein")</f>
        <v>nein</v>
      </c>
      <c r="G218" s="15" t="str">
        <f aca="false">IF(C218&gt;=K218,"ja","nein")</f>
        <v>nein</v>
      </c>
      <c r="H218" s="15" t="str">
        <f aca="false">IF(C218&gt;=L218,"ja","nein")</f>
        <v>nein</v>
      </c>
      <c r="I218" s="15" t="str">
        <f aca="false">IF(C218&gt;=M218,"ja","nein")</f>
        <v>nein</v>
      </c>
      <c r="J218" s="15" t="n">
        <f aca="false">ROUND(Annahmen!$K$35*(1+Annahmen!$B$20*D218/1000),0)</f>
        <v>845</v>
      </c>
      <c r="K218" s="15" t="n">
        <f aca="false">ROUND(Annahmen!$K$36*(1+Annahmen!$B$20*D218/1000),0)</f>
        <v>1097</v>
      </c>
      <c r="L218" s="15" t="n">
        <f aca="false">ROUND(Annahmen!$K$37*(1+Annahmen!$B$20*D218/1000),0)</f>
        <v>1121</v>
      </c>
      <c r="M218" s="15" t="n">
        <f aca="false">ROUND(Annahmen!$K$38*(1+Annahmen!$B$20*D218/1000),0)</f>
        <v>1121</v>
      </c>
      <c r="N218" s="16" t="s">
        <v>102</v>
      </c>
    </row>
    <row r="219" customFormat="false" ht="15" hidden="false" customHeight="false" outlineLevel="0" collapsed="false">
      <c r="A219" s="13" t="s">
        <v>523</v>
      </c>
      <c r="B219" s="14" t="s">
        <v>524</v>
      </c>
      <c r="C219" s="15" t="n">
        <v>645</v>
      </c>
      <c r="D219" s="15" t="n">
        <v>1299</v>
      </c>
      <c r="E219" s="13" t="s">
        <v>82</v>
      </c>
      <c r="F219" s="15" t="str">
        <f aca="false">IF(C219&gt;=J219,"ja","nein")</f>
        <v>nein</v>
      </c>
      <c r="G219" s="15" t="str">
        <f aca="false">IF(C219&gt;=K219,"ja","nein")</f>
        <v>nein</v>
      </c>
      <c r="H219" s="15" t="str">
        <f aca="false">IF(C219&gt;=L219,"ja","nein")</f>
        <v>nein</v>
      </c>
      <c r="I219" s="15" t="str">
        <f aca="false">IF(C219&gt;=M219,"ja","nein")</f>
        <v>nein</v>
      </c>
      <c r="J219" s="15" t="n">
        <f aca="false">ROUND(Annahmen!$K$35*(1+Annahmen!$B$20*D219/1000),0)</f>
        <v>938</v>
      </c>
      <c r="K219" s="15" t="n">
        <f aca="false">ROUND(Annahmen!$K$36*(1+Annahmen!$B$20*D219/1000),0)</f>
        <v>1219</v>
      </c>
      <c r="L219" s="15" t="n">
        <f aca="false">ROUND(Annahmen!$K$37*(1+Annahmen!$B$20*D219/1000),0)</f>
        <v>1245</v>
      </c>
      <c r="M219" s="15" t="n">
        <f aca="false">ROUND(Annahmen!$K$38*(1+Annahmen!$B$20*D219/1000),0)</f>
        <v>1245</v>
      </c>
      <c r="N219" s="16" t="s">
        <v>102</v>
      </c>
    </row>
    <row r="220" customFormat="false" ht="15" hidden="false" customHeight="false" outlineLevel="0" collapsed="false">
      <c r="A220" s="13" t="s">
        <v>525</v>
      </c>
      <c r="B220" s="14" t="s">
        <v>526</v>
      </c>
      <c r="C220" s="15" t="n">
        <v>632</v>
      </c>
      <c r="D220" s="15" t="n">
        <v>1490</v>
      </c>
      <c r="E220" s="13" t="s">
        <v>82</v>
      </c>
      <c r="F220" s="15" t="str">
        <f aca="false">IF(C220&gt;=J220,"ja","nein")</f>
        <v>nein</v>
      </c>
      <c r="G220" s="15" t="str">
        <f aca="false">IF(C220&gt;=K220,"ja","nein")</f>
        <v>nein</v>
      </c>
      <c r="H220" s="15" t="str">
        <f aca="false">IF(C220&gt;=L220,"ja","nein")</f>
        <v>nein</v>
      </c>
      <c r="I220" s="15" t="str">
        <f aca="false">IF(C220&gt;=M220,"ja","nein")</f>
        <v>nein</v>
      </c>
      <c r="J220" s="15" t="n">
        <f aca="false">ROUND(Annahmen!$K$35*(1+Annahmen!$B$20*D220/1000),0)</f>
        <v>953</v>
      </c>
      <c r="K220" s="15" t="n">
        <f aca="false">ROUND(Annahmen!$K$36*(1+Annahmen!$B$20*D220/1000),0)</f>
        <v>1237</v>
      </c>
      <c r="L220" s="15" t="n">
        <f aca="false">ROUND(Annahmen!$K$37*(1+Annahmen!$B$20*D220/1000),0)</f>
        <v>1265</v>
      </c>
      <c r="M220" s="15" t="n">
        <f aca="false">ROUND(Annahmen!$K$38*(1+Annahmen!$B$20*D220/1000),0)</f>
        <v>1265</v>
      </c>
      <c r="N220" s="16" t="s">
        <v>102</v>
      </c>
    </row>
    <row r="221" customFormat="false" ht="15" hidden="false" customHeight="false" outlineLevel="0" collapsed="false">
      <c r="A221" s="13" t="s">
        <v>527</v>
      </c>
      <c r="B221" s="14" t="s">
        <v>528</v>
      </c>
      <c r="C221" s="15" t="n">
        <v>619</v>
      </c>
      <c r="D221" s="15" t="n">
        <v>2956</v>
      </c>
      <c r="E221" s="13" t="s">
        <v>82</v>
      </c>
      <c r="F221" s="15" t="str">
        <f aca="false">IF(C221&gt;=J221,"ja","nein")</f>
        <v>nein</v>
      </c>
      <c r="G221" s="15" t="str">
        <f aca="false">IF(C221&gt;=K221,"ja","nein")</f>
        <v>nein</v>
      </c>
      <c r="H221" s="15" t="str">
        <f aca="false">IF(C221&gt;=L221,"ja","nein")</f>
        <v>nein</v>
      </c>
      <c r="I221" s="15" t="str">
        <f aca="false">IF(C221&gt;=M221,"ja","nein")</f>
        <v>nein</v>
      </c>
      <c r="J221" s="15" t="n">
        <f aca="false">ROUND(Annahmen!$K$35*(1+Annahmen!$B$20*D221/1000),0)</f>
        <v>1063</v>
      </c>
      <c r="K221" s="15" t="n">
        <f aca="false">ROUND(Annahmen!$K$36*(1+Annahmen!$B$20*D221/1000),0)</f>
        <v>1381</v>
      </c>
      <c r="L221" s="15" t="n">
        <f aca="false">ROUND(Annahmen!$K$37*(1+Annahmen!$B$20*D221/1000),0)</f>
        <v>1412</v>
      </c>
      <c r="M221" s="15" t="n">
        <f aca="false">ROUND(Annahmen!$K$38*(1+Annahmen!$B$20*D221/1000),0)</f>
        <v>1412</v>
      </c>
      <c r="N221" s="16" t="s">
        <v>102</v>
      </c>
    </row>
    <row r="222" customFormat="false" ht="15" hidden="false" customHeight="false" outlineLevel="0" collapsed="false">
      <c r="A222" s="13" t="s">
        <v>529</v>
      </c>
      <c r="B222" s="14" t="s">
        <v>530</v>
      </c>
      <c r="C222" s="15" t="n">
        <v>615</v>
      </c>
      <c r="D222" s="15" t="n">
        <v>1818</v>
      </c>
      <c r="E222" s="13" t="s">
        <v>82</v>
      </c>
      <c r="F222" s="15" t="str">
        <f aca="false">IF(C222&gt;=J222,"ja","nein")</f>
        <v>nein</v>
      </c>
      <c r="G222" s="15" t="str">
        <f aca="false">IF(C222&gt;=K222,"ja","nein")</f>
        <v>nein</v>
      </c>
      <c r="H222" s="15" t="str">
        <f aca="false">IF(C222&gt;=L222,"ja","nein")</f>
        <v>nein</v>
      </c>
      <c r="I222" s="15" t="str">
        <f aca="false">IF(C222&gt;=M222,"ja","nein")</f>
        <v>nein</v>
      </c>
      <c r="J222" s="15" t="n">
        <f aca="false">ROUND(Annahmen!$K$35*(1+Annahmen!$B$20*D222/1000),0)</f>
        <v>977</v>
      </c>
      <c r="K222" s="15" t="n">
        <f aca="false">ROUND(Annahmen!$K$36*(1+Annahmen!$B$20*D222/1000),0)</f>
        <v>1270</v>
      </c>
      <c r="L222" s="15" t="n">
        <f aca="false">ROUND(Annahmen!$K$37*(1+Annahmen!$B$20*D222/1000),0)</f>
        <v>1297</v>
      </c>
      <c r="M222" s="15" t="n">
        <f aca="false">ROUND(Annahmen!$K$38*(1+Annahmen!$B$20*D222/1000),0)</f>
        <v>1297</v>
      </c>
      <c r="N222" s="16" t="s">
        <v>102</v>
      </c>
    </row>
    <row r="223" customFormat="false" ht="15" hidden="false" customHeight="false" outlineLevel="0" collapsed="false">
      <c r="A223" s="13" t="s">
        <v>531</v>
      </c>
      <c r="B223" s="14" t="s">
        <v>532</v>
      </c>
      <c r="C223" s="15" t="n">
        <v>606</v>
      </c>
      <c r="D223" s="15" t="n">
        <v>180</v>
      </c>
      <c r="E223" s="13" t="s">
        <v>82</v>
      </c>
      <c r="F223" s="15" t="str">
        <f aca="false">IF(C223&gt;=J223,"ja","nein")</f>
        <v>nein</v>
      </c>
      <c r="G223" s="15" t="str">
        <f aca="false">IF(C223&gt;=K223,"ja","nein")</f>
        <v>nein</v>
      </c>
      <c r="H223" s="15" t="str">
        <f aca="false">IF(C223&gt;=L223,"ja","nein")</f>
        <v>nein</v>
      </c>
      <c r="I223" s="15" t="str">
        <f aca="false">IF(C223&gt;=M223,"ja","nein")</f>
        <v>nein</v>
      </c>
      <c r="J223" s="15" t="n">
        <f aca="false">ROUND(Annahmen!$K$35*(1+Annahmen!$B$20*D223/1000),0)</f>
        <v>854</v>
      </c>
      <c r="K223" s="15" t="n">
        <f aca="false">ROUND(Annahmen!$K$36*(1+Annahmen!$B$20*D223/1000),0)</f>
        <v>1109</v>
      </c>
      <c r="L223" s="15" t="n">
        <f aca="false">ROUND(Annahmen!$K$37*(1+Annahmen!$B$20*D223/1000),0)</f>
        <v>1133</v>
      </c>
      <c r="M223" s="15" t="n">
        <f aca="false">ROUND(Annahmen!$K$38*(1+Annahmen!$B$20*D223/1000),0)</f>
        <v>1133</v>
      </c>
      <c r="N223" s="16" t="s">
        <v>102</v>
      </c>
    </row>
    <row r="224" customFormat="false" ht="15" hidden="false" customHeight="false" outlineLevel="0" collapsed="false">
      <c r="A224" s="13" t="s">
        <v>533</v>
      </c>
      <c r="B224" s="14" t="s">
        <v>534</v>
      </c>
      <c r="C224" s="15" t="n">
        <v>600</v>
      </c>
      <c r="D224" s="15" t="n">
        <v>33</v>
      </c>
      <c r="E224" s="13" t="s">
        <v>82</v>
      </c>
      <c r="F224" s="15" t="str">
        <f aca="false">IF(C224&gt;=J224,"ja","nein")</f>
        <v>nein</v>
      </c>
      <c r="G224" s="15" t="str">
        <f aca="false">IF(C224&gt;=K224,"ja","nein")</f>
        <v>nein</v>
      </c>
      <c r="H224" s="15" t="str">
        <f aca="false">IF(C224&gt;=L224,"ja","nein")</f>
        <v>nein</v>
      </c>
      <c r="I224" s="15" t="str">
        <f aca="false">IF(C224&gt;=M224,"ja","nein")</f>
        <v>nein</v>
      </c>
      <c r="J224" s="15" t="n">
        <f aca="false">ROUND(Annahmen!$K$35*(1+Annahmen!$B$20*D224/1000),0)</f>
        <v>842</v>
      </c>
      <c r="K224" s="15" t="n">
        <f aca="false">ROUND(Annahmen!$K$36*(1+Annahmen!$B$20*D224/1000),0)</f>
        <v>1094</v>
      </c>
      <c r="L224" s="15" t="n">
        <f aca="false">ROUND(Annahmen!$K$37*(1+Annahmen!$B$20*D224/1000),0)</f>
        <v>1118</v>
      </c>
      <c r="M224" s="15" t="n">
        <f aca="false">ROUND(Annahmen!$K$38*(1+Annahmen!$B$20*D224/1000),0)</f>
        <v>1118</v>
      </c>
      <c r="N224" s="16" t="s">
        <v>102</v>
      </c>
    </row>
    <row r="225" customFormat="false" ht="15" hidden="false" customHeight="false" outlineLevel="0" collapsed="false">
      <c r="A225" s="13" t="s">
        <v>535</v>
      </c>
      <c r="B225" s="14" t="s">
        <v>536</v>
      </c>
      <c r="C225" s="15" t="n">
        <v>600</v>
      </c>
      <c r="D225" s="15" t="n">
        <v>2274</v>
      </c>
      <c r="E225" s="13" t="s">
        <v>82</v>
      </c>
      <c r="F225" s="15" t="str">
        <f aca="false">IF(C225&gt;=J225,"ja","nein")</f>
        <v>nein</v>
      </c>
      <c r="G225" s="15" t="str">
        <f aca="false">IF(C225&gt;=K225,"ja","nein")</f>
        <v>nein</v>
      </c>
      <c r="H225" s="15" t="str">
        <f aca="false">IF(C225&gt;=L225,"ja","nein")</f>
        <v>nein</v>
      </c>
      <c r="I225" s="15" t="str">
        <f aca="false">IF(C225&gt;=M225,"ja","nein")</f>
        <v>nein</v>
      </c>
      <c r="J225" s="15" t="n">
        <f aca="false">ROUND(Annahmen!$K$35*(1+Annahmen!$B$20*D225/1000),0)</f>
        <v>1012</v>
      </c>
      <c r="K225" s="15" t="n">
        <f aca="false">ROUND(Annahmen!$K$36*(1+Annahmen!$B$20*D225/1000),0)</f>
        <v>1314</v>
      </c>
      <c r="L225" s="15" t="n">
        <f aca="false">ROUND(Annahmen!$K$37*(1+Annahmen!$B$20*D225/1000),0)</f>
        <v>1343</v>
      </c>
      <c r="M225" s="15" t="n">
        <f aca="false">ROUND(Annahmen!$K$38*(1+Annahmen!$B$20*D225/1000),0)</f>
        <v>1343</v>
      </c>
      <c r="N225" s="16" t="s">
        <v>102</v>
      </c>
    </row>
    <row r="226" customFormat="false" ht="15" hidden="false" customHeight="false" outlineLevel="0" collapsed="false">
      <c r="A226" s="13" t="s">
        <v>537</v>
      </c>
      <c r="B226" s="14" t="s">
        <v>538</v>
      </c>
      <c r="C226" s="15" t="n">
        <v>600</v>
      </c>
      <c r="D226" s="15" t="n">
        <v>1198</v>
      </c>
      <c r="E226" s="13" t="s">
        <v>82</v>
      </c>
      <c r="F226" s="15" t="str">
        <f aca="false">IF(C226&gt;=J226,"ja","nein")</f>
        <v>nein</v>
      </c>
      <c r="G226" s="15" t="str">
        <f aca="false">IF(C226&gt;=K226,"ja","nein")</f>
        <v>nein</v>
      </c>
      <c r="H226" s="15" t="str">
        <f aca="false">IF(C226&gt;=L226,"ja","nein")</f>
        <v>nein</v>
      </c>
      <c r="I226" s="15" t="str">
        <f aca="false">IF(C226&gt;=M226,"ja","nein")</f>
        <v>nein</v>
      </c>
      <c r="J226" s="15" t="n">
        <f aca="false">ROUND(Annahmen!$K$35*(1+Annahmen!$B$20*D226/1000),0)</f>
        <v>931</v>
      </c>
      <c r="K226" s="15" t="n">
        <f aca="false">ROUND(Annahmen!$K$36*(1+Annahmen!$B$20*D226/1000),0)</f>
        <v>1209</v>
      </c>
      <c r="L226" s="15" t="n">
        <f aca="false">ROUND(Annahmen!$K$37*(1+Annahmen!$B$20*D226/1000),0)</f>
        <v>1235</v>
      </c>
      <c r="M226" s="15" t="n">
        <f aca="false">ROUND(Annahmen!$K$38*(1+Annahmen!$B$20*D226/1000),0)</f>
        <v>1235</v>
      </c>
      <c r="N226" s="16" t="s">
        <v>102</v>
      </c>
    </row>
    <row r="227" customFormat="false" ht="15" hidden="false" customHeight="false" outlineLevel="0" collapsed="false">
      <c r="A227" s="13" t="s">
        <v>539</v>
      </c>
      <c r="B227" s="14" t="s">
        <v>540</v>
      </c>
      <c r="C227" s="15" t="n">
        <v>600</v>
      </c>
      <c r="D227" s="15" t="n">
        <v>351</v>
      </c>
      <c r="E227" s="13" t="s">
        <v>82</v>
      </c>
      <c r="F227" s="15" t="str">
        <f aca="false">IF(C227&gt;=J227,"ja","nein")</f>
        <v>nein</v>
      </c>
      <c r="G227" s="15" t="str">
        <f aca="false">IF(C227&gt;=K227,"ja","nein")</f>
        <v>nein</v>
      </c>
      <c r="H227" s="15" t="str">
        <f aca="false">IF(C227&gt;=L227,"ja","nein")</f>
        <v>nein</v>
      </c>
      <c r="I227" s="15" t="str">
        <f aca="false">IF(C227&gt;=M227,"ja","nein")</f>
        <v>nein</v>
      </c>
      <c r="J227" s="15" t="n">
        <f aca="false">ROUND(Annahmen!$K$35*(1+Annahmen!$B$20*D227/1000),0)</f>
        <v>867</v>
      </c>
      <c r="K227" s="15" t="n">
        <f aca="false">ROUND(Annahmen!$K$36*(1+Annahmen!$B$20*D227/1000),0)</f>
        <v>1125</v>
      </c>
      <c r="L227" s="15" t="n">
        <f aca="false">ROUND(Annahmen!$K$37*(1+Annahmen!$B$20*D227/1000),0)</f>
        <v>1150</v>
      </c>
      <c r="M227" s="15" t="n">
        <f aca="false">ROUND(Annahmen!$K$38*(1+Annahmen!$B$20*D227/1000),0)</f>
        <v>1150</v>
      </c>
      <c r="N227" s="16" t="s">
        <v>102</v>
      </c>
    </row>
    <row r="228" customFormat="false" ht="15" hidden="false" customHeight="false" outlineLevel="0" collapsed="false">
      <c r="A228" s="13" t="s">
        <v>541</v>
      </c>
      <c r="B228" s="14" t="s">
        <v>542</v>
      </c>
      <c r="C228" s="15" t="n">
        <v>600</v>
      </c>
      <c r="D228" s="15" t="n">
        <v>7</v>
      </c>
      <c r="E228" s="13" t="s">
        <v>82</v>
      </c>
      <c r="F228" s="15" t="str">
        <f aca="false">IF(C228&gt;=J228,"ja","nein")</f>
        <v>nein</v>
      </c>
      <c r="G228" s="15" t="str">
        <f aca="false">IF(C228&gt;=K228,"ja","nein")</f>
        <v>nein</v>
      </c>
      <c r="H228" s="15" t="str">
        <f aca="false">IF(C228&gt;=L228,"ja","nein")</f>
        <v>nein</v>
      </c>
      <c r="I228" s="15" t="str">
        <f aca="false">IF(C228&gt;=M228,"ja","nein")</f>
        <v>nein</v>
      </c>
      <c r="J228" s="15" t="n">
        <f aca="false">ROUND(Annahmen!$K$35*(1+Annahmen!$B$20*D228/1000),0)</f>
        <v>841</v>
      </c>
      <c r="K228" s="15" t="n">
        <f aca="false">ROUND(Annahmen!$K$36*(1+Annahmen!$B$20*D228/1000),0)</f>
        <v>1092</v>
      </c>
      <c r="L228" s="15" t="n">
        <f aca="false">ROUND(Annahmen!$K$37*(1+Annahmen!$B$20*D228/1000),0)</f>
        <v>1116</v>
      </c>
      <c r="M228" s="15" t="n">
        <f aca="false">ROUND(Annahmen!$K$38*(1+Annahmen!$B$20*D228/1000),0)</f>
        <v>1116</v>
      </c>
      <c r="N228" s="16" t="s">
        <v>102</v>
      </c>
    </row>
    <row r="229" customFormat="false" ht="15" hidden="false" customHeight="false" outlineLevel="0" collapsed="false">
      <c r="A229" s="13" t="s">
        <v>543</v>
      </c>
      <c r="B229" s="14" t="s">
        <v>544</v>
      </c>
      <c r="C229" s="15" t="n">
        <v>597</v>
      </c>
      <c r="D229" s="15" t="n">
        <v>1535</v>
      </c>
      <c r="E229" s="13" t="s">
        <v>82</v>
      </c>
      <c r="F229" s="15" t="str">
        <f aca="false">IF(C229&gt;=J229,"ja","nein")</f>
        <v>nein</v>
      </c>
      <c r="G229" s="15" t="str">
        <f aca="false">IF(C229&gt;=K229,"ja","nein")</f>
        <v>nein</v>
      </c>
      <c r="H229" s="15" t="str">
        <f aca="false">IF(C229&gt;=L229,"ja","nein")</f>
        <v>nein</v>
      </c>
      <c r="I229" s="15" t="str">
        <f aca="false">IF(C229&gt;=M229,"ja","nein")</f>
        <v>nein</v>
      </c>
      <c r="J229" s="15" t="n">
        <f aca="false">ROUND(Annahmen!$K$35*(1+Annahmen!$B$20*D229/1000),0)</f>
        <v>956</v>
      </c>
      <c r="K229" s="15" t="n">
        <f aca="false">ROUND(Annahmen!$K$36*(1+Annahmen!$B$20*D229/1000),0)</f>
        <v>1242</v>
      </c>
      <c r="L229" s="15" t="n">
        <f aca="false">ROUND(Annahmen!$K$37*(1+Annahmen!$B$20*D229/1000),0)</f>
        <v>1269</v>
      </c>
      <c r="M229" s="15" t="n">
        <f aca="false">ROUND(Annahmen!$K$38*(1+Annahmen!$B$20*D229/1000),0)</f>
        <v>1269</v>
      </c>
      <c r="N229" s="16" t="s">
        <v>102</v>
      </c>
    </row>
    <row r="230" customFormat="false" ht="15" hidden="false" customHeight="false" outlineLevel="0" collapsed="false">
      <c r="A230" s="13" t="s">
        <v>545</v>
      </c>
      <c r="B230" s="14" t="s">
        <v>546</v>
      </c>
      <c r="C230" s="15" t="n">
        <v>594</v>
      </c>
      <c r="D230" s="15" t="n">
        <v>558</v>
      </c>
      <c r="E230" s="13" t="s">
        <v>82</v>
      </c>
      <c r="F230" s="15" t="str">
        <f aca="false">IF(C230&gt;=J230,"ja","nein")</f>
        <v>nein</v>
      </c>
      <c r="G230" s="15" t="str">
        <f aca="false">IF(C230&gt;=K230,"ja","nein")</f>
        <v>nein</v>
      </c>
      <c r="H230" s="15" t="str">
        <f aca="false">IF(C230&gt;=L230,"ja","nein")</f>
        <v>nein</v>
      </c>
      <c r="I230" s="15" t="str">
        <f aca="false">IF(C230&gt;=M230,"ja","nein")</f>
        <v>nein</v>
      </c>
      <c r="J230" s="15" t="n">
        <f aca="false">ROUND(Annahmen!$K$35*(1+Annahmen!$B$20*D230/1000),0)</f>
        <v>882</v>
      </c>
      <c r="K230" s="15" t="n">
        <f aca="false">ROUND(Annahmen!$K$36*(1+Annahmen!$B$20*D230/1000),0)</f>
        <v>1146</v>
      </c>
      <c r="L230" s="15" t="n">
        <f aca="false">ROUND(Annahmen!$K$37*(1+Annahmen!$B$20*D230/1000),0)</f>
        <v>1171</v>
      </c>
      <c r="M230" s="15" t="n">
        <f aca="false">ROUND(Annahmen!$K$38*(1+Annahmen!$B$20*D230/1000),0)</f>
        <v>1171</v>
      </c>
      <c r="N230" s="16" t="s">
        <v>102</v>
      </c>
    </row>
    <row r="231" customFormat="false" ht="15" hidden="false" customHeight="false" outlineLevel="0" collapsed="false">
      <c r="A231" s="13" t="s">
        <v>547</v>
      </c>
      <c r="B231" s="14" t="s">
        <v>548</v>
      </c>
      <c r="C231" s="15" t="n">
        <v>570</v>
      </c>
      <c r="D231" s="15" t="n">
        <v>2169</v>
      </c>
      <c r="E231" s="13" t="s">
        <v>82</v>
      </c>
      <c r="F231" s="15" t="str">
        <f aca="false">IF(C231&gt;=J231,"ja","nein")</f>
        <v>nein</v>
      </c>
      <c r="G231" s="15" t="str">
        <f aca="false">IF(C231&gt;=K231,"ja","nein")</f>
        <v>nein</v>
      </c>
      <c r="H231" s="15" t="str">
        <f aca="false">IF(C231&gt;=L231,"ja","nein")</f>
        <v>nein</v>
      </c>
      <c r="I231" s="15" t="str">
        <f aca="false">IF(C231&gt;=M231,"ja","nein")</f>
        <v>nein</v>
      </c>
      <c r="J231" s="15" t="n">
        <f aca="false">ROUND(Annahmen!$K$35*(1+Annahmen!$B$20*D231/1000),0)</f>
        <v>1004</v>
      </c>
      <c r="K231" s="15" t="n">
        <f aca="false">ROUND(Annahmen!$K$36*(1+Annahmen!$B$20*D231/1000),0)</f>
        <v>1304</v>
      </c>
      <c r="L231" s="15" t="n">
        <f aca="false">ROUND(Annahmen!$K$37*(1+Annahmen!$B$20*D231/1000),0)</f>
        <v>1333</v>
      </c>
      <c r="M231" s="15" t="n">
        <f aca="false">ROUND(Annahmen!$K$38*(1+Annahmen!$B$20*D231/1000),0)</f>
        <v>1333</v>
      </c>
      <c r="N231" s="16" t="s">
        <v>102</v>
      </c>
    </row>
    <row r="232" customFormat="false" ht="15" hidden="false" customHeight="false" outlineLevel="0" collapsed="false">
      <c r="A232" s="13" t="s">
        <v>549</v>
      </c>
      <c r="B232" s="14" t="s">
        <v>550</v>
      </c>
      <c r="C232" s="15" t="n">
        <v>570</v>
      </c>
      <c r="D232" s="15" t="n">
        <v>30</v>
      </c>
      <c r="E232" s="13" t="s">
        <v>82</v>
      </c>
      <c r="F232" s="15" t="str">
        <f aca="false">IF(C232&gt;=J232,"ja","nein")</f>
        <v>nein</v>
      </c>
      <c r="G232" s="15" t="str">
        <f aca="false">IF(C232&gt;=K232,"ja","nein")</f>
        <v>nein</v>
      </c>
      <c r="H232" s="15" t="str">
        <f aca="false">IF(C232&gt;=L232,"ja","nein")</f>
        <v>nein</v>
      </c>
      <c r="I232" s="15" t="str">
        <f aca="false">IF(C232&gt;=M232,"ja","nein")</f>
        <v>nein</v>
      </c>
      <c r="J232" s="15" t="n">
        <f aca="false">ROUND(Annahmen!$K$35*(1+Annahmen!$B$20*D232/1000),0)</f>
        <v>842</v>
      </c>
      <c r="K232" s="15" t="n">
        <f aca="false">ROUND(Annahmen!$K$36*(1+Annahmen!$B$20*D232/1000),0)</f>
        <v>1094</v>
      </c>
      <c r="L232" s="15" t="n">
        <f aca="false">ROUND(Annahmen!$K$37*(1+Annahmen!$B$20*D232/1000),0)</f>
        <v>1118</v>
      </c>
      <c r="M232" s="15" t="n">
        <f aca="false">ROUND(Annahmen!$K$38*(1+Annahmen!$B$20*D232/1000),0)</f>
        <v>1118</v>
      </c>
      <c r="N232" s="16" t="s">
        <v>102</v>
      </c>
    </row>
    <row r="233" customFormat="false" ht="15" hidden="false" customHeight="false" outlineLevel="0" collapsed="false">
      <c r="A233" s="13" t="s">
        <v>551</v>
      </c>
      <c r="B233" s="14" t="s">
        <v>552</v>
      </c>
      <c r="C233" s="15" t="n">
        <v>549</v>
      </c>
      <c r="D233" s="15" t="n">
        <v>1142</v>
      </c>
      <c r="E233" s="13" t="s">
        <v>82</v>
      </c>
      <c r="F233" s="15" t="str">
        <f aca="false">IF(C233&gt;=J233,"ja","nein")</f>
        <v>nein</v>
      </c>
      <c r="G233" s="15" t="str">
        <f aca="false">IF(C233&gt;=K233,"ja","nein")</f>
        <v>nein</v>
      </c>
      <c r="H233" s="15" t="str">
        <f aca="false">IF(C233&gt;=L233,"ja","nein")</f>
        <v>nein</v>
      </c>
      <c r="I233" s="15" t="str">
        <f aca="false">IF(C233&gt;=M233,"ja","nein")</f>
        <v>nein</v>
      </c>
      <c r="J233" s="15" t="n">
        <f aca="false">ROUND(Annahmen!$K$35*(1+Annahmen!$B$20*D233/1000),0)</f>
        <v>926</v>
      </c>
      <c r="K233" s="15" t="n">
        <f aca="false">ROUND(Annahmen!$K$36*(1+Annahmen!$B$20*D233/1000),0)</f>
        <v>1203</v>
      </c>
      <c r="L233" s="15" t="n">
        <f aca="false">ROUND(Annahmen!$K$37*(1+Annahmen!$B$20*D233/1000),0)</f>
        <v>1230</v>
      </c>
      <c r="M233" s="15" t="n">
        <f aca="false">ROUND(Annahmen!$K$38*(1+Annahmen!$B$20*D233/1000),0)</f>
        <v>1230</v>
      </c>
      <c r="N233" s="16" t="s">
        <v>102</v>
      </c>
    </row>
    <row r="234" customFormat="false" ht="15" hidden="false" customHeight="false" outlineLevel="0" collapsed="false">
      <c r="A234" s="13" t="s">
        <v>553</v>
      </c>
      <c r="B234" s="14" t="s">
        <v>554</v>
      </c>
      <c r="C234" s="15" t="n">
        <v>535</v>
      </c>
      <c r="D234" s="15" t="n">
        <v>1268</v>
      </c>
      <c r="E234" s="13" t="s">
        <v>82</v>
      </c>
      <c r="F234" s="15" t="str">
        <f aca="false">IF(C234&gt;=J234,"ja","nein")</f>
        <v>nein</v>
      </c>
      <c r="G234" s="15" t="str">
        <f aca="false">IF(C234&gt;=K234,"ja","nein")</f>
        <v>nein</v>
      </c>
      <c r="H234" s="15" t="str">
        <f aca="false">IF(C234&gt;=L234,"ja","nein")</f>
        <v>nein</v>
      </c>
      <c r="I234" s="15" t="str">
        <f aca="false">IF(C234&gt;=M234,"ja","nein")</f>
        <v>nein</v>
      </c>
      <c r="J234" s="15" t="n">
        <f aca="false">ROUND(Annahmen!$K$35*(1+Annahmen!$B$20*D234/1000),0)</f>
        <v>936</v>
      </c>
      <c r="K234" s="15" t="n">
        <f aca="false">ROUND(Annahmen!$K$36*(1+Annahmen!$B$20*D234/1000),0)</f>
        <v>1216</v>
      </c>
      <c r="L234" s="15" t="n">
        <f aca="false">ROUND(Annahmen!$K$37*(1+Annahmen!$B$20*D234/1000),0)</f>
        <v>1242</v>
      </c>
      <c r="M234" s="15" t="n">
        <f aca="false">ROUND(Annahmen!$K$38*(1+Annahmen!$B$20*D234/1000),0)</f>
        <v>1242</v>
      </c>
      <c r="N234" s="16" t="s">
        <v>102</v>
      </c>
    </row>
    <row r="235" customFormat="false" ht="15" hidden="false" customHeight="false" outlineLevel="0" collapsed="false">
      <c r="A235" s="13" t="s">
        <v>555</v>
      </c>
      <c r="B235" s="14" t="s">
        <v>556</v>
      </c>
      <c r="C235" s="15" t="n">
        <v>518</v>
      </c>
      <c r="D235" s="15" t="n">
        <v>1329</v>
      </c>
      <c r="E235" s="13" t="s">
        <v>82</v>
      </c>
      <c r="F235" s="15" t="str">
        <f aca="false">IF(C235&gt;=J235,"ja","nein")</f>
        <v>nein</v>
      </c>
      <c r="G235" s="15" t="str">
        <f aca="false">IF(C235&gt;=K235,"ja","nein")</f>
        <v>nein</v>
      </c>
      <c r="H235" s="15" t="str">
        <f aca="false">IF(C235&gt;=L235,"ja","nein")</f>
        <v>nein</v>
      </c>
      <c r="I235" s="15" t="str">
        <f aca="false">IF(C235&gt;=M235,"ja","nein")</f>
        <v>nein</v>
      </c>
      <c r="J235" s="15" t="n">
        <f aca="false">ROUND(Annahmen!$K$35*(1+Annahmen!$B$20*D235/1000),0)</f>
        <v>940</v>
      </c>
      <c r="K235" s="15" t="n">
        <f aca="false">ROUND(Annahmen!$K$36*(1+Annahmen!$B$20*D235/1000),0)</f>
        <v>1221</v>
      </c>
      <c r="L235" s="15" t="n">
        <f aca="false">ROUND(Annahmen!$K$37*(1+Annahmen!$B$20*D235/1000),0)</f>
        <v>1248</v>
      </c>
      <c r="M235" s="15" t="n">
        <f aca="false">ROUND(Annahmen!$K$38*(1+Annahmen!$B$20*D235/1000),0)</f>
        <v>1248</v>
      </c>
      <c r="N235" s="16" t="s">
        <v>102</v>
      </c>
    </row>
    <row r="236" customFormat="false" ht="15" hidden="false" customHeight="false" outlineLevel="0" collapsed="false">
      <c r="A236" s="13" t="s">
        <v>557</v>
      </c>
      <c r="B236" s="14" t="s">
        <v>558</v>
      </c>
      <c r="C236" s="15" t="n">
        <v>510</v>
      </c>
      <c r="D236" s="15" t="n">
        <v>7</v>
      </c>
      <c r="E236" s="13" t="s">
        <v>82</v>
      </c>
      <c r="F236" s="15" t="str">
        <f aca="false">IF(C236&gt;=J236,"ja","nein")</f>
        <v>nein</v>
      </c>
      <c r="G236" s="15" t="str">
        <f aca="false">IF(C236&gt;=K236,"ja","nein")</f>
        <v>nein</v>
      </c>
      <c r="H236" s="15" t="str">
        <f aca="false">IF(C236&gt;=L236,"ja","nein")</f>
        <v>nein</v>
      </c>
      <c r="I236" s="15" t="str">
        <f aca="false">IF(C236&gt;=M236,"ja","nein")</f>
        <v>nein</v>
      </c>
      <c r="J236" s="15" t="n">
        <f aca="false">ROUND(Annahmen!$K$35*(1+Annahmen!$B$20*D236/1000),0)</f>
        <v>841</v>
      </c>
      <c r="K236" s="15" t="n">
        <f aca="false">ROUND(Annahmen!$K$36*(1+Annahmen!$B$20*D236/1000),0)</f>
        <v>1092</v>
      </c>
      <c r="L236" s="15" t="n">
        <f aca="false">ROUND(Annahmen!$K$37*(1+Annahmen!$B$20*D236/1000),0)</f>
        <v>1116</v>
      </c>
      <c r="M236" s="15" t="n">
        <f aca="false">ROUND(Annahmen!$K$38*(1+Annahmen!$B$20*D236/1000),0)</f>
        <v>1116</v>
      </c>
      <c r="N236" s="16" t="s">
        <v>102</v>
      </c>
    </row>
    <row r="237" customFormat="false" ht="15" hidden="false" customHeight="false" outlineLevel="0" collapsed="false">
      <c r="A237" s="13" t="s">
        <v>559</v>
      </c>
      <c r="B237" s="14" t="s">
        <v>560</v>
      </c>
      <c r="C237" s="15" t="n">
        <v>510</v>
      </c>
      <c r="D237" s="15" t="n">
        <v>129</v>
      </c>
      <c r="E237" s="13" t="s">
        <v>82</v>
      </c>
      <c r="F237" s="15" t="str">
        <f aca="false">IF(C237&gt;=J237,"ja","nein")</f>
        <v>nein</v>
      </c>
      <c r="G237" s="15" t="str">
        <f aca="false">IF(C237&gt;=K237,"ja","nein")</f>
        <v>nein</v>
      </c>
      <c r="H237" s="15" t="str">
        <f aca="false">IF(C237&gt;=L237,"ja","nein")</f>
        <v>nein</v>
      </c>
      <c r="I237" s="15" t="str">
        <f aca="false">IF(C237&gt;=M237,"ja","nein")</f>
        <v>nein</v>
      </c>
      <c r="J237" s="15" t="n">
        <f aca="false">ROUND(Annahmen!$K$35*(1+Annahmen!$B$20*D237/1000),0)</f>
        <v>850</v>
      </c>
      <c r="K237" s="15" t="n">
        <f aca="false">ROUND(Annahmen!$K$36*(1+Annahmen!$B$20*D237/1000),0)</f>
        <v>1104</v>
      </c>
      <c r="L237" s="15" t="n">
        <f aca="false">ROUND(Annahmen!$K$37*(1+Annahmen!$B$20*D237/1000),0)</f>
        <v>1128</v>
      </c>
      <c r="M237" s="15" t="n">
        <f aca="false">ROUND(Annahmen!$K$38*(1+Annahmen!$B$20*D237/1000),0)</f>
        <v>1128</v>
      </c>
      <c r="N237" s="16" t="s">
        <v>102</v>
      </c>
    </row>
    <row r="238" customFormat="false" ht="15" hidden="false" customHeight="false" outlineLevel="0" collapsed="false">
      <c r="A238" s="11" t="s">
        <v>561</v>
      </c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</row>
    <row r="239" customFormat="false" ht="15" hidden="false" customHeight="false" outlineLevel="0" collapsed="false">
      <c r="A239" s="13" t="s">
        <v>562</v>
      </c>
      <c r="B239" s="14" t="s">
        <v>563</v>
      </c>
      <c r="C239" s="15" t="n">
        <v>3600</v>
      </c>
      <c r="D239" s="15" t="n">
        <v>17</v>
      </c>
      <c r="E239" s="13" t="s">
        <v>82</v>
      </c>
      <c r="F239" s="15" t="str">
        <f aca="false">IF(C239&gt;=J239,"ja","nein")</f>
        <v>ja</v>
      </c>
      <c r="G239" s="15" t="str">
        <f aca="false">IF(C239&gt;=K239,"ja","nein")</f>
        <v>ja</v>
      </c>
      <c r="H239" s="15" t="str">
        <f aca="false">IF(C239&gt;=L239,"ja","nein")</f>
        <v>ja</v>
      </c>
      <c r="I239" s="15" t="str">
        <f aca="false">IF(C239&gt;=M239,"ja","nein")</f>
        <v>ja</v>
      </c>
      <c r="J239" s="15" t="n">
        <f aca="false">ROUND(Annahmen!$K$35*(1+Annahmen!$B$20*D239/1000),0)</f>
        <v>841</v>
      </c>
      <c r="K239" s="15" t="n">
        <f aca="false">ROUND(Annahmen!$K$36*(1+Annahmen!$B$20*D239/1000),0)</f>
        <v>1093</v>
      </c>
      <c r="L239" s="15" t="n">
        <f aca="false">ROUND(Annahmen!$K$37*(1+Annahmen!$B$20*D239/1000),0)</f>
        <v>1117</v>
      </c>
      <c r="M239" s="15" t="n">
        <f aca="false">ROUND(Annahmen!$K$38*(1+Annahmen!$B$20*D239/1000),0)</f>
        <v>1117</v>
      </c>
      <c r="N239" s="16" t="s">
        <v>83</v>
      </c>
    </row>
    <row r="240" customFormat="false" ht="15" hidden="false" customHeight="false" outlineLevel="0" collapsed="false">
      <c r="A240" s="13" t="s">
        <v>564</v>
      </c>
      <c r="B240" s="14" t="s">
        <v>565</v>
      </c>
      <c r="C240" s="15" t="n">
        <v>3100</v>
      </c>
      <c r="D240" s="15" t="n">
        <v>247</v>
      </c>
      <c r="E240" s="13" t="s">
        <v>82</v>
      </c>
      <c r="F240" s="15" t="str">
        <f aca="false">IF(C240&gt;=J240,"ja","nein")</f>
        <v>ja</v>
      </c>
      <c r="G240" s="15" t="str">
        <f aca="false">IF(C240&gt;=K240,"ja","nein")</f>
        <v>ja</v>
      </c>
      <c r="H240" s="15" t="str">
        <f aca="false">IF(C240&gt;=L240,"ja","nein")</f>
        <v>ja</v>
      </c>
      <c r="I240" s="15" t="str">
        <f aca="false">IF(C240&gt;=M240,"ja","nein")</f>
        <v>ja</v>
      </c>
      <c r="J240" s="15" t="n">
        <f aca="false">ROUND(Annahmen!$K$35*(1+Annahmen!$B$20*D240/1000),0)</f>
        <v>859</v>
      </c>
      <c r="K240" s="15" t="n">
        <f aca="false">ROUND(Annahmen!$K$36*(1+Annahmen!$B$20*D240/1000),0)</f>
        <v>1115</v>
      </c>
      <c r="L240" s="15" t="n">
        <f aca="false">ROUND(Annahmen!$K$37*(1+Annahmen!$B$20*D240/1000),0)</f>
        <v>1140</v>
      </c>
      <c r="M240" s="15" t="n">
        <f aca="false">ROUND(Annahmen!$K$38*(1+Annahmen!$B$20*D240/1000),0)</f>
        <v>1140</v>
      </c>
      <c r="N240" s="16" t="s">
        <v>83</v>
      </c>
    </row>
    <row r="241" customFormat="false" ht="15" hidden="false" customHeight="false" outlineLevel="0" collapsed="false">
      <c r="A241" s="13" t="s">
        <v>566</v>
      </c>
      <c r="B241" s="14" t="s">
        <v>567</v>
      </c>
      <c r="C241" s="15" t="n">
        <v>2992</v>
      </c>
      <c r="D241" s="15" t="n">
        <v>170</v>
      </c>
      <c r="E241" s="13" t="s">
        <v>82</v>
      </c>
      <c r="F241" s="15" t="str">
        <f aca="false">IF(C241&gt;=J241,"ja","nein")</f>
        <v>ja</v>
      </c>
      <c r="G241" s="15" t="str">
        <f aca="false">IF(C241&gt;=K241,"ja","nein")</f>
        <v>ja</v>
      </c>
      <c r="H241" s="15" t="str">
        <f aca="false">IF(C241&gt;=L241,"ja","nein")</f>
        <v>ja</v>
      </c>
      <c r="I241" s="15" t="str">
        <f aca="false">IF(C241&gt;=M241,"ja","nein")</f>
        <v>ja</v>
      </c>
      <c r="J241" s="15" t="n">
        <f aca="false">ROUND(Annahmen!$K$35*(1+Annahmen!$B$20*D241/1000),0)</f>
        <v>853</v>
      </c>
      <c r="K241" s="15" t="n">
        <f aca="false">ROUND(Annahmen!$K$36*(1+Annahmen!$B$20*D241/1000),0)</f>
        <v>1108</v>
      </c>
      <c r="L241" s="15" t="n">
        <f aca="false">ROUND(Annahmen!$K$37*(1+Annahmen!$B$20*D241/1000),0)</f>
        <v>1132</v>
      </c>
      <c r="M241" s="15" t="n">
        <f aca="false">ROUND(Annahmen!$K$38*(1+Annahmen!$B$20*D241/1000),0)</f>
        <v>1132</v>
      </c>
      <c r="N241" s="16" t="s">
        <v>231</v>
      </c>
    </row>
    <row r="242" customFormat="false" ht="15" hidden="false" customHeight="false" outlineLevel="0" collapsed="false">
      <c r="A242" s="13" t="s">
        <v>568</v>
      </c>
      <c r="B242" s="14" t="s">
        <v>569</v>
      </c>
      <c r="C242" s="15" t="n">
        <v>2777</v>
      </c>
      <c r="D242" s="15" t="n">
        <v>82</v>
      </c>
      <c r="E242" s="13" t="s">
        <v>82</v>
      </c>
      <c r="F242" s="15" t="str">
        <f aca="false">IF(C242&gt;=J242,"ja","nein")</f>
        <v>ja</v>
      </c>
      <c r="G242" s="15" t="str">
        <f aca="false">IF(C242&gt;=K242,"ja","nein")</f>
        <v>ja</v>
      </c>
      <c r="H242" s="15" t="str">
        <f aca="false">IF(C242&gt;=L242,"ja","nein")</f>
        <v>ja</v>
      </c>
      <c r="I242" s="15" t="str">
        <f aca="false">IF(C242&gt;=M242,"ja","nein")</f>
        <v>ja</v>
      </c>
      <c r="J242" s="15" t="n">
        <f aca="false">ROUND(Annahmen!$K$35*(1+Annahmen!$B$20*D242/1000),0)</f>
        <v>846</v>
      </c>
      <c r="K242" s="15" t="n">
        <f aca="false">ROUND(Annahmen!$K$36*(1+Annahmen!$B$20*D242/1000),0)</f>
        <v>1099</v>
      </c>
      <c r="L242" s="15" t="n">
        <f aca="false">ROUND(Annahmen!$K$37*(1+Annahmen!$B$20*D242/1000),0)</f>
        <v>1123</v>
      </c>
      <c r="M242" s="15" t="n">
        <f aca="false">ROUND(Annahmen!$K$38*(1+Annahmen!$B$20*D242/1000),0)</f>
        <v>1123</v>
      </c>
      <c r="N242" s="16" t="s">
        <v>83</v>
      </c>
    </row>
    <row r="243" customFormat="false" ht="15" hidden="false" customHeight="false" outlineLevel="0" collapsed="false">
      <c r="A243" s="13" t="s">
        <v>570</v>
      </c>
      <c r="B243" s="14" t="s">
        <v>571</v>
      </c>
      <c r="C243" s="15" t="n">
        <v>2654</v>
      </c>
      <c r="D243" s="15" t="n">
        <v>10</v>
      </c>
      <c r="E243" s="13" t="s">
        <v>82</v>
      </c>
      <c r="F243" s="15" t="str">
        <f aca="false">IF(C243&gt;=J243,"ja","nein")</f>
        <v>ja</v>
      </c>
      <c r="G243" s="15" t="str">
        <f aca="false">IF(C243&gt;=K243,"ja","nein")</f>
        <v>ja</v>
      </c>
      <c r="H243" s="15" t="str">
        <f aca="false">IF(C243&gt;=L243,"ja","nein")</f>
        <v>ja</v>
      </c>
      <c r="I243" s="15" t="str">
        <f aca="false">IF(C243&gt;=M243,"ja","nein")</f>
        <v>ja</v>
      </c>
      <c r="J243" s="15" t="n">
        <f aca="false">ROUND(Annahmen!$K$35*(1+Annahmen!$B$20*D243/1000),0)</f>
        <v>841</v>
      </c>
      <c r="K243" s="15" t="n">
        <f aca="false">ROUND(Annahmen!$K$36*(1+Annahmen!$B$20*D243/1000),0)</f>
        <v>1092</v>
      </c>
      <c r="L243" s="15" t="n">
        <f aca="false">ROUND(Annahmen!$K$37*(1+Annahmen!$B$20*D243/1000),0)</f>
        <v>1116</v>
      </c>
      <c r="M243" s="15" t="n">
        <f aca="false">ROUND(Annahmen!$K$38*(1+Annahmen!$B$20*D243/1000),0)</f>
        <v>1116</v>
      </c>
      <c r="N243" s="16" t="s">
        <v>83</v>
      </c>
    </row>
    <row r="244" customFormat="false" ht="15" hidden="false" customHeight="false" outlineLevel="0" collapsed="false">
      <c r="A244" s="13" t="s">
        <v>572</v>
      </c>
      <c r="B244" s="14" t="s">
        <v>573</v>
      </c>
      <c r="C244" s="15" t="n">
        <v>2599</v>
      </c>
      <c r="D244" s="15" t="n">
        <v>97</v>
      </c>
      <c r="E244" s="13" t="s">
        <v>82</v>
      </c>
      <c r="F244" s="15" t="str">
        <f aca="false">IF(C244&gt;=J244,"ja","nein")</f>
        <v>ja</v>
      </c>
      <c r="G244" s="15" t="str">
        <f aca="false">IF(C244&gt;=K244,"ja","nein")</f>
        <v>ja</v>
      </c>
      <c r="H244" s="15" t="str">
        <f aca="false">IF(C244&gt;=L244,"ja","nein")</f>
        <v>ja</v>
      </c>
      <c r="I244" s="15" t="str">
        <f aca="false">IF(C244&gt;=M244,"ja","nein")</f>
        <v>ja</v>
      </c>
      <c r="J244" s="15" t="n">
        <f aca="false">ROUND(Annahmen!$K$35*(1+Annahmen!$B$20*D244/1000),0)</f>
        <v>847</v>
      </c>
      <c r="K244" s="15" t="n">
        <f aca="false">ROUND(Annahmen!$K$36*(1+Annahmen!$B$20*D244/1000),0)</f>
        <v>1101</v>
      </c>
      <c r="L244" s="15" t="n">
        <f aca="false">ROUND(Annahmen!$K$37*(1+Annahmen!$B$20*D244/1000),0)</f>
        <v>1125</v>
      </c>
      <c r="M244" s="15" t="n">
        <f aca="false">ROUND(Annahmen!$K$38*(1+Annahmen!$B$20*D244/1000),0)</f>
        <v>1125</v>
      </c>
      <c r="N244" s="16" t="s">
        <v>86</v>
      </c>
    </row>
    <row r="245" customFormat="false" ht="15" hidden="false" customHeight="false" outlineLevel="0" collapsed="false">
      <c r="A245" s="13" t="s">
        <v>574</v>
      </c>
      <c r="B245" s="14" t="s">
        <v>575</v>
      </c>
      <c r="C245" s="15" t="n">
        <v>2002</v>
      </c>
      <c r="D245" s="15" t="n">
        <v>52</v>
      </c>
      <c r="E245" s="13" t="s">
        <v>82</v>
      </c>
      <c r="F245" s="15" t="str">
        <f aca="false">IF(C245&gt;=J245,"ja","nein")</f>
        <v>ja</v>
      </c>
      <c r="G245" s="15" t="str">
        <f aca="false">IF(C245&gt;=K245,"ja","nein")</f>
        <v>ja</v>
      </c>
      <c r="H245" s="15" t="str">
        <f aca="false">IF(C245&gt;=L245,"ja","nein")</f>
        <v>ja</v>
      </c>
      <c r="I245" s="15" t="str">
        <f aca="false">IF(C245&gt;=M245,"ja","nein")</f>
        <v>ja</v>
      </c>
      <c r="J245" s="15" t="n">
        <f aca="false">ROUND(Annahmen!$K$35*(1+Annahmen!$B$20*D245/1000),0)</f>
        <v>844</v>
      </c>
      <c r="K245" s="15" t="n">
        <f aca="false">ROUND(Annahmen!$K$36*(1+Annahmen!$B$20*D245/1000),0)</f>
        <v>1096</v>
      </c>
      <c r="L245" s="15" t="n">
        <f aca="false">ROUND(Annahmen!$K$37*(1+Annahmen!$B$20*D245/1000),0)</f>
        <v>1120</v>
      </c>
      <c r="M245" s="15" t="n">
        <f aca="false">ROUND(Annahmen!$K$38*(1+Annahmen!$B$20*D245/1000),0)</f>
        <v>1120</v>
      </c>
      <c r="N245" s="16" t="s">
        <v>86</v>
      </c>
    </row>
    <row r="246" customFormat="false" ht="15" hidden="false" customHeight="false" outlineLevel="0" collapsed="false">
      <c r="A246" s="13" t="s">
        <v>576</v>
      </c>
      <c r="B246" s="14" t="s">
        <v>577</v>
      </c>
      <c r="C246" s="15" t="n">
        <v>1845</v>
      </c>
      <c r="D246" s="15" t="n">
        <v>56</v>
      </c>
      <c r="E246" s="13" t="s">
        <v>82</v>
      </c>
      <c r="F246" s="15" t="str">
        <f aca="false">IF(C246&gt;=J246,"ja","nein")</f>
        <v>ja</v>
      </c>
      <c r="G246" s="15" t="str">
        <f aca="false">IF(C246&gt;=K246,"ja","nein")</f>
        <v>ja</v>
      </c>
      <c r="H246" s="15" t="str">
        <f aca="false">IF(C246&gt;=L246,"ja","nein")</f>
        <v>ja</v>
      </c>
      <c r="I246" s="15" t="str">
        <f aca="false">IF(C246&gt;=M246,"ja","nein")</f>
        <v>ja</v>
      </c>
      <c r="J246" s="15" t="n">
        <f aca="false">ROUND(Annahmen!$K$35*(1+Annahmen!$B$20*D246/1000),0)</f>
        <v>844</v>
      </c>
      <c r="K246" s="15" t="n">
        <f aca="false">ROUND(Annahmen!$K$36*(1+Annahmen!$B$20*D246/1000),0)</f>
        <v>1096</v>
      </c>
      <c r="L246" s="15" t="n">
        <f aca="false">ROUND(Annahmen!$K$37*(1+Annahmen!$B$20*D246/1000),0)</f>
        <v>1121</v>
      </c>
      <c r="M246" s="15" t="n">
        <f aca="false">ROUND(Annahmen!$K$38*(1+Annahmen!$B$20*D246/1000),0)</f>
        <v>1121</v>
      </c>
      <c r="N246" s="16" t="s">
        <v>83</v>
      </c>
    </row>
    <row r="247" customFormat="false" ht="15" hidden="false" customHeight="false" outlineLevel="0" collapsed="false">
      <c r="A247" s="13" t="s">
        <v>578</v>
      </c>
      <c r="B247" s="14" t="s">
        <v>579</v>
      </c>
      <c r="C247" s="15" t="n">
        <v>1797</v>
      </c>
      <c r="D247" s="15" t="n">
        <v>24</v>
      </c>
      <c r="E247" s="13" t="s">
        <v>82</v>
      </c>
      <c r="F247" s="15" t="str">
        <f aca="false">IF(C247&gt;=J247,"ja","nein")</f>
        <v>ja</v>
      </c>
      <c r="G247" s="15" t="str">
        <f aca="false">IF(C247&gt;=K247,"ja","nein")</f>
        <v>ja</v>
      </c>
      <c r="H247" s="15" t="str">
        <f aca="false">IF(C247&gt;=L247,"ja","nein")</f>
        <v>ja</v>
      </c>
      <c r="I247" s="15" t="str">
        <f aca="false">IF(C247&gt;=M247,"ja","nein")</f>
        <v>ja</v>
      </c>
      <c r="J247" s="15" t="n">
        <f aca="false">ROUND(Annahmen!$K$35*(1+Annahmen!$B$20*D247/1000),0)</f>
        <v>842</v>
      </c>
      <c r="K247" s="15" t="n">
        <f aca="false">ROUND(Annahmen!$K$36*(1+Annahmen!$B$20*D247/1000),0)</f>
        <v>1093</v>
      </c>
      <c r="L247" s="15" t="n">
        <f aca="false">ROUND(Annahmen!$K$37*(1+Annahmen!$B$20*D247/1000),0)</f>
        <v>1117</v>
      </c>
      <c r="M247" s="15" t="n">
        <f aca="false">ROUND(Annahmen!$K$38*(1+Annahmen!$B$20*D247/1000),0)</f>
        <v>1117</v>
      </c>
      <c r="N247" s="16" t="s">
        <v>86</v>
      </c>
    </row>
    <row r="248" customFormat="false" ht="15" hidden="false" customHeight="false" outlineLevel="0" collapsed="false">
      <c r="A248" s="13" t="s">
        <v>580</v>
      </c>
      <c r="B248" s="14" t="s">
        <v>581</v>
      </c>
      <c r="C248" s="15" t="n">
        <v>1740</v>
      </c>
      <c r="D248" s="15" t="n">
        <v>146</v>
      </c>
      <c r="E248" s="13" t="s">
        <v>82</v>
      </c>
      <c r="F248" s="15" t="str">
        <f aca="false">IF(C248&gt;=J248,"ja","nein")</f>
        <v>ja</v>
      </c>
      <c r="G248" s="15" t="str">
        <f aca="false">IF(C248&gt;=K248,"ja","nein")</f>
        <v>ja</v>
      </c>
      <c r="H248" s="15" t="str">
        <f aca="false">IF(C248&gt;=L248,"ja","nein")</f>
        <v>ja</v>
      </c>
      <c r="I248" s="15" t="str">
        <f aca="false">IF(C248&gt;=M248,"ja","nein")</f>
        <v>ja</v>
      </c>
      <c r="J248" s="15" t="n">
        <f aca="false">ROUND(Annahmen!$K$35*(1+Annahmen!$B$20*D248/1000),0)</f>
        <v>851</v>
      </c>
      <c r="K248" s="15" t="n">
        <f aca="false">ROUND(Annahmen!$K$36*(1+Annahmen!$B$20*D248/1000),0)</f>
        <v>1105</v>
      </c>
      <c r="L248" s="15" t="n">
        <f aca="false">ROUND(Annahmen!$K$37*(1+Annahmen!$B$20*D248/1000),0)</f>
        <v>1130</v>
      </c>
      <c r="M248" s="15" t="n">
        <f aca="false">ROUND(Annahmen!$K$38*(1+Annahmen!$B$20*D248/1000),0)</f>
        <v>1130</v>
      </c>
      <c r="N248" s="16" t="s">
        <v>86</v>
      </c>
    </row>
    <row r="249" customFormat="false" ht="15" hidden="false" customHeight="false" outlineLevel="0" collapsed="false">
      <c r="A249" s="13" t="s">
        <v>582</v>
      </c>
      <c r="B249" s="14" t="s">
        <v>583</v>
      </c>
      <c r="C249" s="15" t="n">
        <v>1600</v>
      </c>
      <c r="D249" s="15" t="n">
        <v>23</v>
      </c>
      <c r="E249" s="13" t="s">
        <v>82</v>
      </c>
      <c r="F249" s="15" t="str">
        <f aca="false">IF(C249&gt;=J249,"ja","nein")</f>
        <v>ja</v>
      </c>
      <c r="G249" s="15" t="str">
        <f aca="false">IF(C249&gt;=K249,"ja","nein")</f>
        <v>ja</v>
      </c>
      <c r="H249" s="15" t="str">
        <f aca="false">IF(C249&gt;=L249,"ja","nein")</f>
        <v>ja</v>
      </c>
      <c r="I249" s="15" t="str">
        <f aca="false">IF(C249&gt;=M249,"ja","nein")</f>
        <v>ja</v>
      </c>
      <c r="J249" s="15" t="n">
        <f aca="false">ROUND(Annahmen!$K$35*(1+Annahmen!$B$20*D249/1000),0)</f>
        <v>842</v>
      </c>
      <c r="K249" s="15" t="n">
        <f aca="false">ROUND(Annahmen!$K$36*(1+Annahmen!$B$20*D249/1000),0)</f>
        <v>1093</v>
      </c>
      <c r="L249" s="15" t="n">
        <f aca="false">ROUND(Annahmen!$K$37*(1+Annahmen!$B$20*D249/1000),0)</f>
        <v>1117</v>
      </c>
      <c r="M249" s="15" t="n">
        <f aca="false">ROUND(Annahmen!$K$38*(1+Annahmen!$B$20*D249/1000),0)</f>
        <v>1117</v>
      </c>
      <c r="N249" s="16" t="s">
        <v>86</v>
      </c>
    </row>
    <row r="250" customFormat="false" ht="15" hidden="false" customHeight="false" outlineLevel="0" collapsed="false">
      <c r="A250" s="13" t="s">
        <v>584</v>
      </c>
      <c r="B250" s="14" t="s">
        <v>585</v>
      </c>
      <c r="C250" s="15" t="n">
        <v>1450</v>
      </c>
      <c r="D250" s="15" t="n">
        <v>17</v>
      </c>
      <c r="E250" s="13" t="s">
        <v>82</v>
      </c>
      <c r="F250" s="15" t="str">
        <f aca="false">IF(C250&gt;=J250,"ja","nein")</f>
        <v>ja</v>
      </c>
      <c r="G250" s="15" t="str">
        <f aca="false">IF(C250&gt;=K250,"ja","nein")</f>
        <v>ja</v>
      </c>
      <c r="H250" s="15" t="str">
        <f aca="false">IF(C250&gt;=L250,"ja","nein")</f>
        <v>ja</v>
      </c>
      <c r="I250" s="15" t="str">
        <f aca="false">IF(C250&gt;=M250,"ja","nein")</f>
        <v>ja</v>
      </c>
      <c r="J250" s="15" t="n">
        <f aca="false">ROUND(Annahmen!$K$35*(1+Annahmen!$B$20*D250/1000),0)</f>
        <v>841</v>
      </c>
      <c r="K250" s="15" t="n">
        <f aca="false">ROUND(Annahmen!$K$36*(1+Annahmen!$B$20*D250/1000),0)</f>
        <v>1093</v>
      </c>
      <c r="L250" s="15" t="n">
        <f aca="false">ROUND(Annahmen!$K$37*(1+Annahmen!$B$20*D250/1000),0)</f>
        <v>1117</v>
      </c>
      <c r="M250" s="15" t="n">
        <f aca="false">ROUND(Annahmen!$K$38*(1+Annahmen!$B$20*D250/1000),0)</f>
        <v>1117</v>
      </c>
      <c r="N250" s="16" t="s">
        <v>86</v>
      </c>
    </row>
    <row r="251" customFormat="false" ht="15" hidden="false" customHeight="false" outlineLevel="0" collapsed="false">
      <c r="A251" s="13" t="s">
        <v>586</v>
      </c>
      <c r="B251" s="14" t="s">
        <v>587</v>
      </c>
      <c r="C251" s="15" t="n">
        <v>1212</v>
      </c>
      <c r="D251" s="15" t="n">
        <v>119</v>
      </c>
      <c r="E251" s="13" t="s">
        <v>82</v>
      </c>
      <c r="F251" s="15" t="str">
        <f aca="false">IF(C251&gt;=J251,"ja","nein")</f>
        <v>ja</v>
      </c>
      <c r="G251" s="15" t="str">
        <f aca="false">IF(C251&gt;=K251,"ja","nein")</f>
        <v>ja</v>
      </c>
      <c r="H251" s="15" t="str">
        <f aca="false">IF(C251&gt;=L251,"ja","nein")</f>
        <v>ja</v>
      </c>
      <c r="I251" s="15" t="str">
        <f aca="false">IF(C251&gt;=M251,"ja","nein")</f>
        <v>ja</v>
      </c>
      <c r="J251" s="15" t="n">
        <f aca="false">ROUND(Annahmen!$K$35*(1+Annahmen!$B$20*D251/1000),0)</f>
        <v>849</v>
      </c>
      <c r="K251" s="15" t="n">
        <f aca="false">ROUND(Annahmen!$K$36*(1+Annahmen!$B$20*D251/1000),0)</f>
        <v>1103</v>
      </c>
      <c r="L251" s="15" t="n">
        <f aca="false">ROUND(Annahmen!$K$37*(1+Annahmen!$B$20*D251/1000),0)</f>
        <v>1127</v>
      </c>
      <c r="M251" s="15" t="n">
        <f aca="false">ROUND(Annahmen!$K$38*(1+Annahmen!$B$20*D251/1000),0)</f>
        <v>1127</v>
      </c>
      <c r="N251" s="16" t="s">
        <v>102</v>
      </c>
    </row>
    <row r="252" customFormat="false" ht="15" hidden="false" customHeight="false" outlineLevel="0" collapsed="false">
      <c r="A252" s="13" t="s">
        <v>588</v>
      </c>
      <c r="B252" s="14" t="s">
        <v>589</v>
      </c>
      <c r="C252" s="15" t="n">
        <v>1200</v>
      </c>
      <c r="D252" s="15" t="n">
        <v>16</v>
      </c>
      <c r="E252" s="13" t="s">
        <v>82</v>
      </c>
      <c r="F252" s="15" t="str">
        <f aca="false">IF(C252&gt;=J252,"ja","nein")</f>
        <v>ja</v>
      </c>
      <c r="G252" s="15" t="str">
        <f aca="false">IF(C252&gt;=K252,"ja","nein")</f>
        <v>ja</v>
      </c>
      <c r="H252" s="15" t="str">
        <f aca="false">IF(C252&gt;=L252,"ja","nein")</f>
        <v>ja</v>
      </c>
      <c r="I252" s="15" t="str">
        <f aca="false">IF(C252&gt;=M252,"ja","nein")</f>
        <v>ja</v>
      </c>
      <c r="J252" s="15" t="n">
        <f aca="false">ROUND(Annahmen!$K$35*(1+Annahmen!$B$20*D252/1000),0)</f>
        <v>841</v>
      </c>
      <c r="K252" s="15" t="n">
        <f aca="false">ROUND(Annahmen!$K$36*(1+Annahmen!$B$20*D252/1000),0)</f>
        <v>1093</v>
      </c>
      <c r="L252" s="15" t="n">
        <f aca="false">ROUND(Annahmen!$K$37*(1+Annahmen!$B$20*D252/1000),0)</f>
        <v>1117</v>
      </c>
      <c r="M252" s="15" t="n">
        <f aca="false">ROUND(Annahmen!$K$38*(1+Annahmen!$B$20*D252/1000),0)</f>
        <v>1117</v>
      </c>
      <c r="N252" s="16" t="s">
        <v>86</v>
      </c>
    </row>
    <row r="253" customFormat="false" ht="15" hidden="false" customHeight="false" outlineLevel="0" collapsed="false">
      <c r="A253" s="13" t="s">
        <v>590</v>
      </c>
      <c r="B253" s="14" t="s">
        <v>591</v>
      </c>
      <c r="C253" s="15" t="n">
        <v>1199</v>
      </c>
      <c r="D253" s="15" t="n">
        <v>167</v>
      </c>
      <c r="E253" s="13" t="s">
        <v>82</v>
      </c>
      <c r="F253" s="15" t="str">
        <f aca="false">IF(C253&gt;=J253,"ja","nein")</f>
        <v>ja</v>
      </c>
      <c r="G253" s="15" t="str">
        <f aca="false">IF(C253&gt;=K253,"ja","nein")</f>
        <v>ja</v>
      </c>
      <c r="H253" s="15" t="str">
        <f aca="false">IF(C253&gt;=L253,"ja","nein")</f>
        <v>ja</v>
      </c>
      <c r="I253" s="15" t="str">
        <f aca="false">IF(C253&gt;=M253,"ja","nein")</f>
        <v>ja</v>
      </c>
      <c r="J253" s="15" t="n">
        <f aca="false">ROUND(Annahmen!$K$35*(1+Annahmen!$B$20*D253/1000),0)</f>
        <v>853</v>
      </c>
      <c r="K253" s="15" t="n">
        <f aca="false">ROUND(Annahmen!$K$36*(1+Annahmen!$B$20*D253/1000),0)</f>
        <v>1107</v>
      </c>
      <c r="L253" s="15" t="n">
        <f aca="false">ROUND(Annahmen!$K$37*(1+Annahmen!$B$20*D253/1000),0)</f>
        <v>1132</v>
      </c>
      <c r="M253" s="15" t="n">
        <f aca="false">ROUND(Annahmen!$K$38*(1+Annahmen!$B$20*D253/1000),0)</f>
        <v>1132</v>
      </c>
      <c r="N253" s="16" t="s">
        <v>102</v>
      </c>
    </row>
    <row r="254" customFormat="false" ht="15" hidden="false" customHeight="false" outlineLevel="0" collapsed="false">
      <c r="A254" s="13" t="s">
        <v>592</v>
      </c>
      <c r="B254" s="14" t="s">
        <v>593</v>
      </c>
      <c r="C254" s="15" t="n">
        <v>1199</v>
      </c>
      <c r="D254" s="15" t="n">
        <v>49</v>
      </c>
      <c r="E254" s="13" t="s">
        <v>82</v>
      </c>
      <c r="F254" s="15" t="str">
        <f aca="false">IF(C254&gt;=J254,"ja","nein")</f>
        <v>ja</v>
      </c>
      <c r="G254" s="15" t="str">
        <f aca="false">IF(C254&gt;=K254,"ja","nein")</f>
        <v>ja</v>
      </c>
      <c r="H254" s="15" t="str">
        <f aca="false">IF(C254&gt;=L254,"ja","nein")</f>
        <v>ja</v>
      </c>
      <c r="I254" s="15" t="str">
        <f aca="false">IF(C254&gt;=M254,"ja","nein")</f>
        <v>ja</v>
      </c>
      <c r="J254" s="15" t="n">
        <f aca="false">ROUND(Annahmen!$K$35*(1+Annahmen!$B$20*D254/1000),0)</f>
        <v>844</v>
      </c>
      <c r="K254" s="15" t="n">
        <f aca="false">ROUND(Annahmen!$K$36*(1+Annahmen!$B$20*D254/1000),0)</f>
        <v>1096</v>
      </c>
      <c r="L254" s="15" t="n">
        <f aca="false">ROUND(Annahmen!$K$37*(1+Annahmen!$B$20*D254/1000),0)</f>
        <v>1120</v>
      </c>
      <c r="M254" s="15" t="n">
        <f aca="false">ROUND(Annahmen!$K$38*(1+Annahmen!$B$20*D254/1000),0)</f>
        <v>1120</v>
      </c>
      <c r="N254" s="16" t="s">
        <v>102</v>
      </c>
    </row>
    <row r="255" customFormat="false" ht="15" hidden="false" customHeight="false" outlineLevel="0" collapsed="false">
      <c r="A255" s="13" t="s">
        <v>594</v>
      </c>
      <c r="B255" s="14" t="s">
        <v>595</v>
      </c>
      <c r="C255" s="15" t="n">
        <v>1199</v>
      </c>
      <c r="D255" s="15" t="n">
        <v>92</v>
      </c>
      <c r="E255" s="13" t="s">
        <v>82</v>
      </c>
      <c r="F255" s="15" t="str">
        <f aca="false">IF(C255&gt;=J255,"ja","nein")</f>
        <v>ja</v>
      </c>
      <c r="G255" s="15" t="str">
        <f aca="false">IF(C255&gt;=K255,"ja","nein")</f>
        <v>ja</v>
      </c>
      <c r="H255" s="15" t="str">
        <f aca="false">IF(C255&gt;=L255,"ja","nein")</f>
        <v>ja</v>
      </c>
      <c r="I255" s="15" t="str">
        <f aca="false">IF(C255&gt;=M255,"ja","nein")</f>
        <v>ja</v>
      </c>
      <c r="J255" s="15" t="n">
        <f aca="false">ROUND(Annahmen!$K$35*(1+Annahmen!$B$20*D255/1000),0)</f>
        <v>847</v>
      </c>
      <c r="K255" s="15" t="n">
        <f aca="false">ROUND(Annahmen!$K$36*(1+Annahmen!$B$20*D255/1000),0)</f>
        <v>1100</v>
      </c>
      <c r="L255" s="15" t="n">
        <f aca="false">ROUND(Annahmen!$K$37*(1+Annahmen!$B$20*D255/1000),0)</f>
        <v>1124</v>
      </c>
      <c r="M255" s="15" t="n">
        <f aca="false">ROUND(Annahmen!$K$38*(1+Annahmen!$B$20*D255/1000),0)</f>
        <v>1124</v>
      </c>
      <c r="N255" s="16" t="s">
        <v>86</v>
      </c>
    </row>
    <row r="256" customFormat="false" ht="15" hidden="false" customHeight="false" outlineLevel="0" collapsed="false">
      <c r="A256" s="13" t="s">
        <v>596</v>
      </c>
      <c r="B256" s="14" t="s">
        <v>597</v>
      </c>
      <c r="C256" s="15" t="n">
        <v>1199</v>
      </c>
      <c r="D256" s="15" t="n">
        <v>74</v>
      </c>
      <c r="E256" s="13" t="s">
        <v>82</v>
      </c>
      <c r="F256" s="15" t="str">
        <f aca="false">IF(C256&gt;=J256,"ja","nein")</f>
        <v>ja</v>
      </c>
      <c r="G256" s="15" t="str">
        <f aca="false">IF(C256&gt;=K256,"ja","nein")</f>
        <v>ja</v>
      </c>
      <c r="H256" s="15" t="str">
        <f aca="false">IF(C256&gt;=L256,"ja","nein")</f>
        <v>ja</v>
      </c>
      <c r="I256" s="15" t="str">
        <f aca="false">IF(C256&gt;=M256,"ja","nein")</f>
        <v>ja</v>
      </c>
      <c r="J256" s="15" t="n">
        <f aca="false">ROUND(Annahmen!$K$35*(1+Annahmen!$B$20*D256/1000),0)</f>
        <v>846</v>
      </c>
      <c r="K256" s="15" t="n">
        <f aca="false">ROUND(Annahmen!$K$36*(1+Annahmen!$B$20*D256/1000),0)</f>
        <v>1098</v>
      </c>
      <c r="L256" s="15" t="n">
        <f aca="false">ROUND(Annahmen!$K$37*(1+Annahmen!$B$20*D256/1000),0)</f>
        <v>1122</v>
      </c>
      <c r="M256" s="15" t="n">
        <f aca="false">ROUND(Annahmen!$K$38*(1+Annahmen!$B$20*D256/1000),0)</f>
        <v>1122</v>
      </c>
      <c r="N256" s="16" t="s">
        <v>86</v>
      </c>
    </row>
    <row r="257" customFormat="false" ht="15" hidden="false" customHeight="false" outlineLevel="0" collapsed="false">
      <c r="A257" s="13" t="s">
        <v>598</v>
      </c>
      <c r="B257" s="14" t="s">
        <v>599</v>
      </c>
      <c r="C257" s="15" t="n">
        <v>1120</v>
      </c>
      <c r="D257" s="15" t="n">
        <v>81</v>
      </c>
      <c r="E257" s="13" t="s">
        <v>82</v>
      </c>
      <c r="F257" s="15" t="str">
        <f aca="false">IF(C257&gt;=J257,"ja","nein")</f>
        <v>ja</v>
      </c>
      <c r="G257" s="15" t="str">
        <f aca="false">IF(C257&gt;=K257,"ja","nein")</f>
        <v>ja</v>
      </c>
      <c r="H257" s="15" t="str">
        <f aca="false">IF(C257&gt;=L257,"ja","nein")</f>
        <v>nein</v>
      </c>
      <c r="I257" s="15" t="str">
        <f aca="false">IF(C257&gt;=M257,"ja","nein")</f>
        <v>nein</v>
      </c>
      <c r="J257" s="15" t="n">
        <f aca="false">ROUND(Annahmen!$K$35*(1+Annahmen!$B$20*D257/1000),0)</f>
        <v>846</v>
      </c>
      <c r="K257" s="15" t="n">
        <f aca="false">ROUND(Annahmen!$K$36*(1+Annahmen!$B$20*D257/1000),0)</f>
        <v>1099</v>
      </c>
      <c r="L257" s="15" t="n">
        <f aca="false">ROUND(Annahmen!$K$37*(1+Annahmen!$B$20*D257/1000),0)</f>
        <v>1123</v>
      </c>
      <c r="M257" s="15" t="n">
        <f aca="false">ROUND(Annahmen!$K$38*(1+Annahmen!$B$20*D257/1000),0)</f>
        <v>1123</v>
      </c>
      <c r="N257" s="16" t="s">
        <v>102</v>
      </c>
    </row>
    <row r="258" customFormat="false" ht="15" hidden="false" customHeight="false" outlineLevel="0" collapsed="false">
      <c r="A258" s="13" t="s">
        <v>600</v>
      </c>
      <c r="B258" s="14" t="s">
        <v>601</v>
      </c>
      <c r="C258" s="15" t="n">
        <v>1074</v>
      </c>
      <c r="D258" s="15" t="n">
        <v>88</v>
      </c>
      <c r="E258" s="13" t="s">
        <v>82</v>
      </c>
      <c r="F258" s="15" t="str">
        <f aca="false">IF(C258&gt;=J258,"ja","nein")</f>
        <v>ja</v>
      </c>
      <c r="G258" s="15" t="str">
        <f aca="false">IF(C258&gt;=K258,"ja","nein")</f>
        <v>nein</v>
      </c>
      <c r="H258" s="15" t="str">
        <f aca="false">IF(C258&gt;=L258,"ja","nein")</f>
        <v>nein</v>
      </c>
      <c r="I258" s="15" t="str">
        <f aca="false">IF(C258&gt;=M258,"ja","nein")</f>
        <v>nein</v>
      </c>
      <c r="J258" s="15" t="n">
        <f aca="false">ROUND(Annahmen!$K$35*(1+Annahmen!$B$20*D258/1000),0)</f>
        <v>847</v>
      </c>
      <c r="K258" s="15" t="n">
        <f aca="false">ROUND(Annahmen!$K$36*(1+Annahmen!$B$20*D258/1000),0)</f>
        <v>1100</v>
      </c>
      <c r="L258" s="15" t="n">
        <f aca="false">ROUND(Annahmen!$K$37*(1+Annahmen!$B$20*D258/1000),0)</f>
        <v>1124</v>
      </c>
      <c r="M258" s="15" t="n">
        <f aca="false">ROUND(Annahmen!$K$38*(1+Annahmen!$B$20*D258/1000),0)</f>
        <v>1124</v>
      </c>
      <c r="N258" s="16" t="s">
        <v>102</v>
      </c>
    </row>
    <row r="259" customFormat="false" ht="15" hidden="false" customHeight="false" outlineLevel="0" collapsed="false">
      <c r="A259" s="13" t="s">
        <v>602</v>
      </c>
      <c r="B259" s="14" t="s">
        <v>603</v>
      </c>
      <c r="C259" s="15" t="n">
        <v>1006</v>
      </c>
      <c r="D259" s="15" t="n">
        <v>143</v>
      </c>
      <c r="E259" s="13" t="s">
        <v>82</v>
      </c>
      <c r="F259" s="15" t="str">
        <f aca="false">IF(C259&gt;=J259,"ja","nein")</f>
        <v>ja</v>
      </c>
      <c r="G259" s="15" t="str">
        <f aca="false">IF(C259&gt;=K259,"ja","nein")</f>
        <v>nein</v>
      </c>
      <c r="H259" s="15" t="str">
        <f aca="false">IF(C259&gt;=L259,"ja","nein")</f>
        <v>nein</v>
      </c>
      <c r="I259" s="15" t="str">
        <f aca="false">IF(C259&gt;=M259,"ja","nein")</f>
        <v>nein</v>
      </c>
      <c r="J259" s="15" t="n">
        <f aca="false">ROUND(Annahmen!$K$35*(1+Annahmen!$B$20*D259/1000),0)</f>
        <v>851</v>
      </c>
      <c r="K259" s="15" t="n">
        <f aca="false">ROUND(Annahmen!$K$36*(1+Annahmen!$B$20*D259/1000),0)</f>
        <v>1105</v>
      </c>
      <c r="L259" s="15" t="n">
        <f aca="false">ROUND(Annahmen!$K$37*(1+Annahmen!$B$20*D259/1000),0)</f>
        <v>1129</v>
      </c>
      <c r="M259" s="15" t="n">
        <f aca="false">ROUND(Annahmen!$K$38*(1+Annahmen!$B$20*D259/1000),0)</f>
        <v>1129</v>
      </c>
      <c r="N259" s="16" t="s">
        <v>86</v>
      </c>
    </row>
    <row r="260" customFormat="false" ht="15" hidden="false" customHeight="false" outlineLevel="0" collapsed="false">
      <c r="A260" s="13" t="s">
        <v>604</v>
      </c>
      <c r="B260" s="14" t="s">
        <v>605</v>
      </c>
      <c r="C260" s="15" t="n">
        <v>1004</v>
      </c>
      <c r="D260" s="15" t="n">
        <v>97</v>
      </c>
      <c r="E260" s="13" t="s">
        <v>82</v>
      </c>
      <c r="F260" s="15" t="str">
        <f aca="false">IF(C260&gt;=J260,"ja","nein")</f>
        <v>ja</v>
      </c>
      <c r="G260" s="15" t="str">
        <f aca="false">IF(C260&gt;=K260,"ja","nein")</f>
        <v>nein</v>
      </c>
      <c r="H260" s="15" t="str">
        <f aca="false">IF(C260&gt;=L260,"ja","nein")</f>
        <v>nein</v>
      </c>
      <c r="I260" s="15" t="str">
        <f aca="false">IF(C260&gt;=M260,"ja","nein")</f>
        <v>nein</v>
      </c>
      <c r="J260" s="15" t="n">
        <f aca="false">ROUND(Annahmen!$K$35*(1+Annahmen!$B$20*D260/1000),0)</f>
        <v>847</v>
      </c>
      <c r="K260" s="15" t="n">
        <f aca="false">ROUND(Annahmen!$K$36*(1+Annahmen!$B$20*D260/1000),0)</f>
        <v>1101</v>
      </c>
      <c r="L260" s="15" t="n">
        <f aca="false">ROUND(Annahmen!$K$37*(1+Annahmen!$B$20*D260/1000),0)</f>
        <v>1125</v>
      </c>
      <c r="M260" s="15" t="n">
        <f aca="false">ROUND(Annahmen!$K$38*(1+Annahmen!$B$20*D260/1000),0)</f>
        <v>1125</v>
      </c>
      <c r="N260" s="16" t="s">
        <v>102</v>
      </c>
    </row>
    <row r="261" customFormat="false" ht="15" hidden="false" customHeight="false" outlineLevel="0" collapsed="false">
      <c r="A261" s="13" t="s">
        <v>606</v>
      </c>
      <c r="B261" s="14" t="s">
        <v>607</v>
      </c>
      <c r="C261" s="15" t="n">
        <v>928</v>
      </c>
      <c r="D261" s="15" t="n">
        <v>25</v>
      </c>
      <c r="E261" s="13" t="s">
        <v>82</v>
      </c>
      <c r="F261" s="15" t="str">
        <f aca="false">IF(C261&gt;=J261,"ja","nein")</f>
        <v>ja</v>
      </c>
      <c r="G261" s="15" t="str">
        <f aca="false">IF(C261&gt;=K261,"ja","nein")</f>
        <v>nein</v>
      </c>
      <c r="H261" s="15" t="str">
        <f aca="false">IF(C261&gt;=L261,"ja","nein")</f>
        <v>nein</v>
      </c>
      <c r="I261" s="15" t="str">
        <f aca="false">IF(C261&gt;=M261,"ja","nein")</f>
        <v>nein</v>
      </c>
      <c r="J261" s="15" t="n">
        <f aca="false">ROUND(Annahmen!$K$35*(1+Annahmen!$B$20*D261/1000),0)</f>
        <v>842</v>
      </c>
      <c r="K261" s="15" t="n">
        <f aca="false">ROUND(Annahmen!$K$36*(1+Annahmen!$B$20*D261/1000),0)</f>
        <v>1093</v>
      </c>
      <c r="L261" s="15" t="n">
        <f aca="false">ROUND(Annahmen!$K$37*(1+Annahmen!$B$20*D261/1000),0)</f>
        <v>1118</v>
      </c>
      <c r="M261" s="15" t="n">
        <f aca="false">ROUND(Annahmen!$K$38*(1+Annahmen!$B$20*D261/1000),0)</f>
        <v>1118</v>
      </c>
      <c r="N261" s="16" t="s">
        <v>102</v>
      </c>
    </row>
    <row r="262" customFormat="false" ht="15" hidden="false" customHeight="false" outlineLevel="0" collapsed="false">
      <c r="A262" s="11" t="s">
        <v>608</v>
      </c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</row>
    <row r="263" customFormat="false" ht="15" hidden="false" customHeight="false" outlineLevel="0" collapsed="false">
      <c r="A263" s="13" t="s">
        <v>609</v>
      </c>
      <c r="B263" s="14" t="s">
        <v>610</v>
      </c>
      <c r="C263" s="15" t="n">
        <v>3480</v>
      </c>
      <c r="D263" s="15" t="n">
        <v>131</v>
      </c>
      <c r="E263" s="13" t="s">
        <v>82</v>
      </c>
      <c r="F263" s="15" t="str">
        <f aca="false">IF(C263&gt;=J263,"ja","nein")</f>
        <v>ja</v>
      </c>
      <c r="G263" s="15" t="str">
        <f aca="false">IF(C263&gt;=K263,"ja","nein")</f>
        <v>ja</v>
      </c>
      <c r="H263" s="15" t="str">
        <f aca="false">IF(C263&gt;=L263,"ja","nein")</f>
        <v>ja</v>
      </c>
      <c r="I263" s="15" t="str">
        <f aca="false">IF(C263&gt;=M263,"ja","nein")</f>
        <v>ja</v>
      </c>
      <c r="J263" s="15" t="n">
        <f aca="false">ROUND(Annahmen!$K$35*(1+Annahmen!$B$20*D263/1000),0)</f>
        <v>850</v>
      </c>
      <c r="K263" s="15" t="n">
        <f aca="false">ROUND(Annahmen!$K$36*(1+Annahmen!$B$20*D263/1000),0)</f>
        <v>1104</v>
      </c>
      <c r="L263" s="15" t="n">
        <f aca="false">ROUND(Annahmen!$K$37*(1+Annahmen!$B$20*D263/1000),0)</f>
        <v>1128</v>
      </c>
      <c r="M263" s="15" t="n">
        <f aca="false">ROUND(Annahmen!$K$38*(1+Annahmen!$B$20*D263/1000),0)</f>
        <v>1128</v>
      </c>
      <c r="N263" s="16" t="s">
        <v>83</v>
      </c>
    </row>
    <row r="264" customFormat="false" ht="15" hidden="false" customHeight="false" outlineLevel="0" collapsed="false">
      <c r="A264" s="13" t="s">
        <v>611</v>
      </c>
      <c r="B264" s="14" t="s">
        <v>612</v>
      </c>
      <c r="C264" s="15" t="n">
        <v>2000</v>
      </c>
      <c r="D264" s="15" t="n">
        <v>14</v>
      </c>
      <c r="E264" s="13" t="s">
        <v>82</v>
      </c>
      <c r="F264" s="15" t="str">
        <f aca="false">IF(C264&gt;=J264,"ja","nein")</f>
        <v>ja</v>
      </c>
      <c r="G264" s="15" t="str">
        <f aca="false">IF(C264&gt;=K264,"ja","nein")</f>
        <v>ja</v>
      </c>
      <c r="H264" s="15" t="str">
        <f aca="false">IF(C264&gt;=L264,"ja","nein")</f>
        <v>ja</v>
      </c>
      <c r="I264" s="15" t="str">
        <f aca="false">IF(C264&gt;=M264,"ja","nein")</f>
        <v>ja</v>
      </c>
      <c r="J264" s="15" t="n">
        <f aca="false">ROUND(Annahmen!$K$35*(1+Annahmen!$B$20*D264/1000),0)</f>
        <v>841</v>
      </c>
      <c r="K264" s="15" t="n">
        <f aca="false">ROUND(Annahmen!$K$36*(1+Annahmen!$B$20*D264/1000),0)</f>
        <v>1092</v>
      </c>
      <c r="L264" s="15" t="n">
        <f aca="false">ROUND(Annahmen!$K$37*(1+Annahmen!$B$20*D264/1000),0)</f>
        <v>1116</v>
      </c>
      <c r="M264" s="15" t="n">
        <f aca="false">ROUND(Annahmen!$K$38*(1+Annahmen!$B$20*D264/1000),0)</f>
        <v>1116</v>
      </c>
      <c r="N264" s="16" t="s">
        <v>86</v>
      </c>
    </row>
    <row r="265" customFormat="false" ht="15" hidden="false" customHeight="false" outlineLevel="0" collapsed="false">
      <c r="A265" s="13" t="s">
        <v>613</v>
      </c>
      <c r="B265" s="14" t="s">
        <v>614</v>
      </c>
      <c r="C265" s="15" t="n">
        <v>1970</v>
      </c>
      <c r="D265" s="15" t="n">
        <v>47</v>
      </c>
      <c r="E265" s="13" t="s">
        <v>82</v>
      </c>
      <c r="F265" s="15" t="str">
        <f aca="false">IF(C265&gt;=J265,"ja","nein")</f>
        <v>ja</v>
      </c>
      <c r="G265" s="15" t="str">
        <f aca="false">IF(C265&gt;=K265,"ja","nein")</f>
        <v>ja</v>
      </c>
      <c r="H265" s="15" t="str">
        <f aca="false">IF(C265&gt;=L265,"ja","nein")</f>
        <v>ja</v>
      </c>
      <c r="I265" s="15" t="str">
        <f aca="false">IF(C265&gt;=M265,"ja","nein")</f>
        <v>ja</v>
      </c>
      <c r="J265" s="15" t="n">
        <f aca="false">ROUND(Annahmen!$K$35*(1+Annahmen!$B$20*D265/1000),0)</f>
        <v>844</v>
      </c>
      <c r="K265" s="15" t="n">
        <f aca="false">ROUND(Annahmen!$K$36*(1+Annahmen!$B$20*D265/1000),0)</f>
        <v>1096</v>
      </c>
      <c r="L265" s="15" t="n">
        <f aca="false">ROUND(Annahmen!$K$37*(1+Annahmen!$B$20*D265/1000),0)</f>
        <v>1120</v>
      </c>
      <c r="M265" s="15" t="n">
        <f aca="false">ROUND(Annahmen!$K$38*(1+Annahmen!$B$20*D265/1000),0)</f>
        <v>1120</v>
      </c>
      <c r="N265" s="16" t="s">
        <v>86</v>
      </c>
    </row>
    <row r="266" customFormat="false" ht="15" hidden="false" customHeight="false" outlineLevel="0" collapsed="false">
      <c r="A266" s="13" t="s">
        <v>615</v>
      </c>
      <c r="B266" s="14" t="s">
        <v>616</v>
      </c>
      <c r="C266" s="15" t="n">
        <v>1800</v>
      </c>
      <c r="D266" s="15" t="n">
        <v>220</v>
      </c>
      <c r="E266" s="13" t="s">
        <v>82</v>
      </c>
      <c r="F266" s="15" t="str">
        <f aca="false">IF(C266&gt;=J266,"ja","nein")</f>
        <v>ja</v>
      </c>
      <c r="G266" s="15" t="str">
        <f aca="false">IF(C266&gt;=K266,"ja","nein")</f>
        <v>ja</v>
      </c>
      <c r="H266" s="15" t="str">
        <f aca="false">IF(C266&gt;=L266,"ja","nein")</f>
        <v>ja</v>
      </c>
      <c r="I266" s="15" t="str">
        <f aca="false">IF(C266&gt;=M266,"ja","nein")</f>
        <v>ja</v>
      </c>
      <c r="J266" s="15" t="n">
        <f aca="false">ROUND(Annahmen!$K$35*(1+Annahmen!$B$20*D266/1000),0)</f>
        <v>857</v>
      </c>
      <c r="K266" s="15" t="n">
        <f aca="false">ROUND(Annahmen!$K$36*(1+Annahmen!$B$20*D266/1000),0)</f>
        <v>1113</v>
      </c>
      <c r="L266" s="15" t="n">
        <f aca="false">ROUND(Annahmen!$K$37*(1+Annahmen!$B$20*D266/1000),0)</f>
        <v>1137</v>
      </c>
      <c r="M266" s="15" t="n">
        <f aca="false">ROUND(Annahmen!$K$38*(1+Annahmen!$B$20*D266/1000),0)</f>
        <v>1137</v>
      </c>
      <c r="N266" s="16" t="s">
        <v>86</v>
      </c>
    </row>
    <row r="267" customFormat="false" ht="15" hidden="false" customHeight="false" outlineLevel="0" collapsed="false">
      <c r="A267" s="13" t="s">
        <v>617</v>
      </c>
      <c r="B267" s="14" t="s">
        <v>618</v>
      </c>
      <c r="C267" s="15" t="n">
        <v>1520</v>
      </c>
      <c r="D267" s="15" t="n">
        <v>18</v>
      </c>
      <c r="E267" s="13" t="s">
        <v>82</v>
      </c>
      <c r="F267" s="15" t="str">
        <f aca="false">IF(C267&gt;=J267,"ja","nein")</f>
        <v>ja</v>
      </c>
      <c r="G267" s="15" t="str">
        <f aca="false">IF(C267&gt;=K267,"ja","nein")</f>
        <v>ja</v>
      </c>
      <c r="H267" s="15" t="str">
        <f aca="false">IF(C267&gt;=L267,"ja","nein")</f>
        <v>ja</v>
      </c>
      <c r="I267" s="15" t="str">
        <f aca="false">IF(C267&gt;=M267,"ja","nein")</f>
        <v>ja</v>
      </c>
      <c r="J267" s="15" t="n">
        <f aca="false">ROUND(Annahmen!$K$35*(1+Annahmen!$B$20*D267/1000),0)</f>
        <v>841</v>
      </c>
      <c r="K267" s="15" t="n">
        <f aca="false">ROUND(Annahmen!$K$36*(1+Annahmen!$B$20*D267/1000),0)</f>
        <v>1093</v>
      </c>
      <c r="L267" s="15" t="n">
        <f aca="false">ROUND(Annahmen!$K$37*(1+Annahmen!$B$20*D267/1000),0)</f>
        <v>1117</v>
      </c>
      <c r="M267" s="15" t="n">
        <f aca="false">ROUND(Annahmen!$K$38*(1+Annahmen!$B$20*D267/1000),0)</f>
        <v>1117</v>
      </c>
      <c r="N267" s="16" t="s">
        <v>86</v>
      </c>
    </row>
    <row r="268" customFormat="false" ht="15" hidden="false" customHeight="false" outlineLevel="0" collapsed="false">
      <c r="A268" s="11" t="s">
        <v>619</v>
      </c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</row>
    <row r="269" customFormat="false" ht="15" hidden="false" customHeight="false" outlineLevel="0" collapsed="false">
      <c r="A269" s="13" t="s">
        <v>620</v>
      </c>
      <c r="B269" s="14" t="s">
        <v>621</v>
      </c>
      <c r="C269" s="15" t="n">
        <v>3500</v>
      </c>
      <c r="D269" s="15" t="n">
        <v>179</v>
      </c>
      <c r="E269" s="13" t="s">
        <v>82</v>
      </c>
      <c r="F269" s="15" t="str">
        <f aca="false">IF(C269&gt;=J269,"ja","nein")</f>
        <v>ja</v>
      </c>
      <c r="G269" s="15" t="str">
        <f aca="false">IF(C269&gt;=K269,"ja","nein")</f>
        <v>ja</v>
      </c>
      <c r="H269" s="15" t="str">
        <f aca="false">IF(C269&gt;=L269,"ja","nein")</f>
        <v>ja</v>
      </c>
      <c r="I269" s="15" t="str">
        <f aca="false">IF(C269&gt;=M269,"ja","nein")</f>
        <v>ja</v>
      </c>
      <c r="J269" s="15" t="n">
        <f aca="false">ROUND(Annahmen!$K$35*(1+Annahmen!$B$20*D269/1000),0)</f>
        <v>854</v>
      </c>
      <c r="K269" s="15" t="n">
        <f aca="false">ROUND(Annahmen!$K$36*(1+Annahmen!$B$20*D269/1000),0)</f>
        <v>1109</v>
      </c>
      <c r="L269" s="15" t="n">
        <f aca="false">ROUND(Annahmen!$K$37*(1+Annahmen!$B$20*D269/1000),0)</f>
        <v>1133</v>
      </c>
      <c r="M269" s="15" t="n">
        <f aca="false">ROUND(Annahmen!$K$38*(1+Annahmen!$B$20*D269/1000),0)</f>
        <v>1133</v>
      </c>
      <c r="N269" s="16" t="s">
        <v>83</v>
      </c>
    </row>
    <row r="270" customFormat="false" ht="15" hidden="false" customHeight="false" outlineLevel="0" collapsed="false">
      <c r="A270" s="13" t="s">
        <v>622</v>
      </c>
      <c r="B270" s="14" t="s">
        <v>623</v>
      </c>
      <c r="C270" s="15" t="n">
        <v>3002</v>
      </c>
      <c r="D270" s="15" t="n">
        <v>642</v>
      </c>
      <c r="E270" s="13" t="s">
        <v>82</v>
      </c>
      <c r="F270" s="15" t="str">
        <f aca="false">IF(C270&gt;=J270,"ja","nein")</f>
        <v>ja</v>
      </c>
      <c r="G270" s="15" t="str">
        <f aca="false">IF(C270&gt;=K270,"ja","nein")</f>
        <v>ja</v>
      </c>
      <c r="H270" s="15" t="str">
        <f aca="false">IF(C270&gt;=L270,"ja","nein")</f>
        <v>ja</v>
      </c>
      <c r="I270" s="15" t="str">
        <f aca="false">IF(C270&gt;=M270,"ja","nein")</f>
        <v>ja</v>
      </c>
      <c r="J270" s="15" t="n">
        <f aca="false">ROUND(Annahmen!$K$35*(1+Annahmen!$B$20*D270/1000),0)</f>
        <v>889</v>
      </c>
      <c r="K270" s="15" t="n">
        <f aca="false">ROUND(Annahmen!$K$36*(1+Annahmen!$B$20*D270/1000),0)</f>
        <v>1154</v>
      </c>
      <c r="L270" s="15" t="n">
        <f aca="false">ROUND(Annahmen!$K$37*(1+Annahmen!$B$20*D270/1000),0)</f>
        <v>1179</v>
      </c>
      <c r="M270" s="15" t="n">
        <f aca="false">ROUND(Annahmen!$K$38*(1+Annahmen!$B$20*D270/1000),0)</f>
        <v>1179</v>
      </c>
      <c r="N270" s="16" t="s">
        <v>83</v>
      </c>
    </row>
    <row r="271" customFormat="false" ht="15" hidden="false" customHeight="false" outlineLevel="0" collapsed="false">
      <c r="A271" s="13" t="s">
        <v>624</v>
      </c>
      <c r="B271" s="14" t="s">
        <v>625</v>
      </c>
      <c r="C271" s="15" t="n">
        <v>2800</v>
      </c>
      <c r="D271" s="15" t="n">
        <v>323</v>
      </c>
      <c r="E271" s="13" t="s">
        <v>82</v>
      </c>
      <c r="F271" s="15" t="str">
        <f aca="false">IF(C271&gt;=J271,"ja","nein")</f>
        <v>ja</v>
      </c>
      <c r="G271" s="15" t="str">
        <f aca="false">IF(C271&gt;=K271,"ja","nein")</f>
        <v>ja</v>
      </c>
      <c r="H271" s="15" t="str">
        <f aca="false">IF(C271&gt;=L271,"ja","nein")</f>
        <v>ja</v>
      </c>
      <c r="I271" s="15" t="str">
        <f aca="false">IF(C271&gt;=M271,"ja","nein")</f>
        <v>ja</v>
      </c>
      <c r="J271" s="15" t="n">
        <f aca="false">ROUND(Annahmen!$K$35*(1+Annahmen!$B$20*D271/1000),0)</f>
        <v>864</v>
      </c>
      <c r="K271" s="15" t="n">
        <f aca="false">ROUND(Annahmen!$K$36*(1+Annahmen!$B$20*D271/1000),0)</f>
        <v>1123</v>
      </c>
      <c r="L271" s="15" t="n">
        <f aca="false">ROUND(Annahmen!$K$37*(1+Annahmen!$B$20*D271/1000),0)</f>
        <v>1147</v>
      </c>
      <c r="M271" s="15" t="n">
        <f aca="false">ROUND(Annahmen!$K$38*(1+Annahmen!$B$20*D271/1000),0)</f>
        <v>1147</v>
      </c>
      <c r="N271" s="16" t="s">
        <v>83</v>
      </c>
    </row>
    <row r="272" customFormat="false" ht="15" hidden="false" customHeight="false" outlineLevel="0" collapsed="false">
      <c r="A272" s="13" t="s">
        <v>626</v>
      </c>
      <c r="B272" s="14" t="s">
        <v>627</v>
      </c>
      <c r="C272" s="15" t="n">
        <v>2700</v>
      </c>
      <c r="D272" s="15" t="n">
        <v>151</v>
      </c>
      <c r="E272" s="13" t="s">
        <v>82</v>
      </c>
      <c r="F272" s="15" t="str">
        <f aca="false">IF(C272&gt;=J272,"ja","nein")</f>
        <v>ja</v>
      </c>
      <c r="G272" s="15" t="str">
        <f aca="false">IF(C272&gt;=K272,"ja","nein")</f>
        <v>ja</v>
      </c>
      <c r="H272" s="15" t="str">
        <f aca="false">IF(C272&gt;=L272,"ja","nein")</f>
        <v>ja</v>
      </c>
      <c r="I272" s="15" t="str">
        <f aca="false">IF(C272&gt;=M272,"ja","nein")</f>
        <v>ja</v>
      </c>
      <c r="J272" s="15" t="n">
        <f aca="false">ROUND(Annahmen!$K$35*(1+Annahmen!$B$20*D272/1000),0)</f>
        <v>851</v>
      </c>
      <c r="K272" s="15" t="n">
        <f aca="false">ROUND(Annahmen!$K$36*(1+Annahmen!$B$20*D272/1000),0)</f>
        <v>1106</v>
      </c>
      <c r="L272" s="15" t="n">
        <f aca="false">ROUND(Annahmen!$K$37*(1+Annahmen!$B$20*D272/1000),0)</f>
        <v>1130</v>
      </c>
      <c r="M272" s="15" t="n">
        <f aca="false">ROUND(Annahmen!$K$38*(1+Annahmen!$B$20*D272/1000),0)</f>
        <v>1130</v>
      </c>
      <c r="N272" s="16" t="s">
        <v>86</v>
      </c>
    </row>
    <row r="273" customFormat="false" ht="15" hidden="false" customHeight="false" outlineLevel="0" collapsed="false">
      <c r="A273" s="13" t="s">
        <v>628</v>
      </c>
      <c r="B273" s="14" t="s">
        <v>629</v>
      </c>
      <c r="C273" s="15" t="n">
        <v>2700</v>
      </c>
      <c r="D273" s="15" t="n">
        <v>390</v>
      </c>
      <c r="E273" s="13" t="s">
        <v>82</v>
      </c>
      <c r="F273" s="15" t="str">
        <f aca="false">IF(C273&gt;=J273,"ja","nein")</f>
        <v>ja</v>
      </c>
      <c r="G273" s="15" t="str">
        <f aca="false">IF(C273&gt;=K273,"ja","nein")</f>
        <v>ja</v>
      </c>
      <c r="H273" s="15" t="str">
        <f aca="false">IF(C273&gt;=L273,"ja","nein")</f>
        <v>ja</v>
      </c>
      <c r="I273" s="15" t="str">
        <f aca="false">IF(C273&gt;=M273,"ja","nein")</f>
        <v>ja</v>
      </c>
      <c r="J273" s="15" t="n">
        <f aca="false">ROUND(Annahmen!$K$35*(1+Annahmen!$B$20*D273/1000),0)</f>
        <v>869</v>
      </c>
      <c r="K273" s="15" t="n">
        <f aca="false">ROUND(Annahmen!$K$36*(1+Annahmen!$B$20*D273/1000),0)</f>
        <v>1129</v>
      </c>
      <c r="L273" s="15" t="n">
        <f aca="false">ROUND(Annahmen!$K$37*(1+Annahmen!$B$20*D273/1000),0)</f>
        <v>1154</v>
      </c>
      <c r="M273" s="15" t="n">
        <f aca="false">ROUND(Annahmen!$K$38*(1+Annahmen!$B$20*D273/1000),0)</f>
        <v>1154</v>
      </c>
      <c r="N273" s="16" t="s">
        <v>83</v>
      </c>
    </row>
    <row r="274" customFormat="false" ht="15" hidden="false" customHeight="false" outlineLevel="0" collapsed="false">
      <c r="A274" s="13" t="s">
        <v>630</v>
      </c>
      <c r="B274" s="14" t="s">
        <v>631</v>
      </c>
      <c r="C274" s="15" t="n">
        <v>2660</v>
      </c>
      <c r="D274" s="15" t="n">
        <v>19</v>
      </c>
      <c r="E274" s="13" t="s">
        <v>82</v>
      </c>
      <c r="F274" s="15" t="str">
        <f aca="false">IF(C274&gt;=J274,"ja","nein")</f>
        <v>ja</v>
      </c>
      <c r="G274" s="15" t="str">
        <f aca="false">IF(C274&gt;=K274,"ja","nein")</f>
        <v>ja</v>
      </c>
      <c r="H274" s="15" t="str">
        <f aca="false">IF(C274&gt;=L274,"ja","nein")</f>
        <v>ja</v>
      </c>
      <c r="I274" s="15" t="str">
        <f aca="false">IF(C274&gt;=M274,"ja","nein")</f>
        <v>ja</v>
      </c>
      <c r="J274" s="15" t="n">
        <f aca="false">ROUND(Annahmen!$K$35*(1+Annahmen!$B$20*D274/1000),0)</f>
        <v>841</v>
      </c>
      <c r="K274" s="15" t="n">
        <f aca="false">ROUND(Annahmen!$K$36*(1+Annahmen!$B$20*D274/1000),0)</f>
        <v>1093</v>
      </c>
      <c r="L274" s="15" t="n">
        <f aca="false">ROUND(Annahmen!$K$37*(1+Annahmen!$B$20*D274/1000),0)</f>
        <v>1117</v>
      </c>
      <c r="M274" s="15" t="n">
        <f aca="false">ROUND(Annahmen!$K$38*(1+Annahmen!$B$20*D274/1000),0)</f>
        <v>1117</v>
      </c>
      <c r="N274" s="16" t="s">
        <v>83</v>
      </c>
    </row>
    <row r="275" customFormat="false" ht="15" hidden="false" customHeight="false" outlineLevel="0" collapsed="false">
      <c r="A275" s="13" t="s">
        <v>632</v>
      </c>
      <c r="B275" s="14" t="s">
        <v>633</v>
      </c>
      <c r="C275" s="15" t="n">
        <v>2601</v>
      </c>
      <c r="D275" s="15" t="n">
        <v>479</v>
      </c>
      <c r="E275" s="13" t="s">
        <v>82</v>
      </c>
      <c r="F275" s="15" t="str">
        <f aca="false">IF(C275&gt;=J275,"ja","nein")</f>
        <v>ja</v>
      </c>
      <c r="G275" s="15" t="str">
        <f aca="false">IF(C275&gt;=K275,"ja","nein")</f>
        <v>ja</v>
      </c>
      <c r="H275" s="15" t="str">
        <f aca="false">IF(C275&gt;=L275,"ja","nein")</f>
        <v>ja</v>
      </c>
      <c r="I275" s="15" t="str">
        <f aca="false">IF(C275&gt;=M275,"ja","nein")</f>
        <v>ja</v>
      </c>
      <c r="J275" s="15" t="n">
        <f aca="false">ROUND(Annahmen!$K$35*(1+Annahmen!$B$20*D275/1000),0)</f>
        <v>876</v>
      </c>
      <c r="K275" s="15" t="n">
        <f aca="false">ROUND(Annahmen!$K$36*(1+Annahmen!$B$20*D275/1000),0)</f>
        <v>1138</v>
      </c>
      <c r="L275" s="15" t="n">
        <f aca="false">ROUND(Annahmen!$K$37*(1+Annahmen!$B$20*D275/1000),0)</f>
        <v>1163</v>
      </c>
      <c r="M275" s="15" t="n">
        <f aca="false">ROUND(Annahmen!$K$38*(1+Annahmen!$B$20*D275/1000),0)</f>
        <v>1163</v>
      </c>
      <c r="N275" s="16" t="s">
        <v>86</v>
      </c>
    </row>
    <row r="276" customFormat="false" ht="15" hidden="false" customHeight="false" outlineLevel="0" collapsed="false">
      <c r="A276" s="13" t="s">
        <v>634</v>
      </c>
      <c r="B276" s="14" t="s">
        <v>635</v>
      </c>
      <c r="C276" s="15" t="n">
        <v>2601</v>
      </c>
      <c r="D276" s="15" t="n">
        <v>459</v>
      </c>
      <c r="E276" s="13" t="s">
        <v>82</v>
      </c>
      <c r="F276" s="15" t="str">
        <f aca="false">IF(C276&gt;=J276,"ja","nein")</f>
        <v>ja</v>
      </c>
      <c r="G276" s="15" t="str">
        <f aca="false">IF(C276&gt;=K276,"ja","nein")</f>
        <v>ja</v>
      </c>
      <c r="H276" s="15" t="str">
        <f aca="false">IF(C276&gt;=L276,"ja","nein")</f>
        <v>ja</v>
      </c>
      <c r="I276" s="15" t="str">
        <f aca="false">IF(C276&gt;=M276,"ja","nein")</f>
        <v>ja</v>
      </c>
      <c r="J276" s="15" t="n">
        <f aca="false">ROUND(Annahmen!$K$35*(1+Annahmen!$B$20*D276/1000),0)</f>
        <v>875</v>
      </c>
      <c r="K276" s="15" t="n">
        <f aca="false">ROUND(Annahmen!$K$36*(1+Annahmen!$B$20*D276/1000),0)</f>
        <v>1136</v>
      </c>
      <c r="L276" s="15" t="n">
        <f aca="false">ROUND(Annahmen!$K$37*(1+Annahmen!$B$20*D276/1000),0)</f>
        <v>1161</v>
      </c>
      <c r="M276" s="15" t="n">
        <f aca="false">ROUND(Annahmen!$K$38*(1+Annahmen!$B$20*D276/1000),0)</f>
        <v>1161</v>
      </c>
      <c r="N276" s="16" t="s">
        <v>86</v>
      </c>
    </row>
    <row r="277" customFormat="false" ht="15" hidden="false" customHeight="false" outlineLevel="0" collapsed="false">
      <c r="A277" s="13" t="s">
        <v>636</v>
      </c>
      <c r="B277" s="14" t="s">
        <v>637</v>
      </c>
      <c r="C277" s="15" t="n">
        <v>2503</v>
      </c>
      <c r="D277" s="15" t="n">
        <v>61</v>
      </c>
      <c r="E277" s="13" t="s">
        <v>82</v>
      </c>
      <c r="F277" s="15" t="str">
        <f aca="false">IF(C277&gt;=J277,"ja","nein")</f>
        <v>ja</v>
      </c>
      <c r="G277" s="15" t="str">
        <f aca="false">IF(C277&gt;=K277,"ja","nein")</f>
        <v>ja</v>
      </c>
      <c r="H277" s="15" t="str">
        <f aca="false">IF(C277&gt;=L277,"ja","nein")</f>
        <v>ja</v>
      </c>
      <c r="I277" s="15" t="str">
        <f aca="false">IF(C277&gt;=M277,"ja","nein")</f>
        <v>ja</v>
      </c>
      <c r="J277" s="15" t="n">
        <f aca="false">ROUND(Annahmen!$K$35*(1+Annahmen!$B$20*D277/1000),0)</f>
        <v>845</v>
      </c>
      <c r="K277" s="15" t="n">
        <f aca="false">ROUND(Annahmen!$K$36*(1+Annahmen!$B$20*D277/1000),0)</f>
        <v>1097</v>
      </c>
      <c r="L277" s="15" t="n">
        <f aca="false">ROUND(Annahmen!$K$37*(1+Annahmen!$B$20*D277/1000),0)</f>
        <v>1121</v>
      </c>
      <c r="M277" s="15" t="n">
        <f aca="false">ROUND(Annahmen!$K$38*(1+Annahmen!$B$20*D277/1000),0)</f>
        <v>1121</v>
      </c>
      <c r="N277" s="16" t="s">
        <v>86</v>
      </c>
    </row>
    <row r="278" customFormat="false" ht="15" hidden="false" customHeight="false" outlineLevel="0" collapsed="false">
      <c r="A278" s="13" t="s">
        <v>638</v>
      </c>
      <c r="B278" s="14" t="s">
        <v>639</v>
      </c>
      <c r="C278" s="15" t="n">
        <v>2501</v>
      </c>
      <c r="D278" s="15" t="n">
        <v>47</v>
      </c>
      <c r="E278" s="13" t="s">
        <v>82</v>
      </c>
      <c r="F278" s="15" t="str">
        <f aca="false">IF(C278&gt;=J278,"ja","nein")</f>
        <v>ja</v>
      </c>
      <c r="G278" s="15" t="str">
        <f aca="false">IF(C278&gt;=K278,"ja","nein")</f>
        <v>ja</v>
      </c>
      <c r="H278" s="15" t="str">
        <f aca="false">IF(C278&gt;=L278,"ja","nein")</f>
        <v>ja</v>
      </c>
      <c r="I278" s="15" t="str">
        <f aca="false">IF(C278&gt;=M278,"ja","nein")</f>
        <v>ja</v>
      </c>
      <c r="J278" s="15" t="n">
        <f aca="false">ROUND(Annahmen!$K$35*(1+Annahmen!$B$20*D278/1000),0)</f>
        <v>844</v>
      </c>
      <c r="K278" s="15" t="n">
        <f aca="false">ROUND(Annahmen!$K$36*(1+Annahmen!$B$20*D278/1000),0)</f>
        <v>1096</v>
      </c>
      <c r="L278" s="15" t="n">
        <f aca="false">ROUND(Annahmen!$K$37*(1+Annahmen!$B$20*D278/1000),0)</f>
        <v>1120</v>
      </c>
      <c r="M278" s="15" t="n">
        <f aca="false">ROUND(Annahmen!$K$38*(1+Annahmen!$B$20*D278/1000),0)</f>
        <v>1120</v>
      </c>
      <c r="N278" s="16" t="s">
        <v>83</v>
      </c>
    </row>
    <row r="279" customFormat="false" ht="15" hidden="false" customHeight="false" outlineLevel="0" collapsed="false">
      <c r="A279" s="13" t="s">
        <v>640</v>
      </c>
      <c r="B279" s="14" t="s">
        <v>641</v>
      </c>
      <c r="C279" s="15" t="n">
        <v>2500</v>
      </c>
      <c r="D279" s="15" t="n">
        <v>398</v>
      </c>
      <c r="E279" s="13" t="s">
        <v>82</v>
      </c>
      <c r="F279" s="15" t="str">
        <f aca="false">IF(C279&gt;=J279,"ja","nein")</f>
        <v>ja</v>
      </c>
      <c r="G279" s="15" t="str">
        <f aca="false">IF(C279&gt;=K279,"ja","nein")</f>
        <v>ja</v>
      </c>
      <c r="H279" s="15" t="str">
        <f aca="false">IF(C279&gt;=L279,"ja","nein")</f>
        <v>ja</v>
      </c>
      <c r="I279" s="15" t="str">
        <f aca="false">IF(C279&gt;=M279,"ja","nein")</f>
        <v>ja</v>
      </c>
      <c r="J279" s="15" t="n">
        <f aca="false">ROUND(Annahmen!$K$35*(1+Annahmen!$B$20*D279/1000),0)</f>
        <v>870</v>
      </c>
      <c r="K279" s="15" t="n">
        <f aca="false">ROUND(Annahmen!$K$36*(1+Annahmen!$B$20*D279/1000),0)</f>
        <v>1130</v>
      </c>
      <c r="L279" s="15" t="n">
        <f aca="false">ROUND(Annahmen!$K$37*(1+Annahmen!$B$20*D279/1000),0)</f>
        <v>1155</v>
      </c>
      <c r="M279" s="15" t="n">
        <f aca="false">ROUND(Annahmen!$K$38*(1+Annahmen!$B$20*D279/1000),0)</f>
        <v>1155</v>
      </c>
      <c r="N279" s="16" t="s">
        <v>86</v>
      </c>
    </row>
    <row r="280" customFormat="false" ht="15" hidden="false" customHeight="false" outlineLevel="0" collapsed="false">
      <c r="A280" s="13" t="s">
        <v>642</v>
      </c>
      <c r="B280" s="14" t="s">
        <v>643</v>
      </c>
      <c r="C280" s="15" t="n">
        <v>2500</v>
      </c>
      <c r="D280" s="15" t="n">
        <v>84</v>
      </c>
      <c r="E280" s="13" t="s">
        <v>82</v>
      </c>
      <c r="F280" s="15" t="str">
        <f aca="false">IF(C280&gt;=J280,"ja","nein")</f>
        <v>ja</v>
      </c>
      <c r="G280" s="15" t="str">
        <f aca="false">IF(C280&gt;=K280,"ja","nein")</f>
        <v>ja</v>
      </c>
      <c r="H280" s="15" t="str">
        <f aca="false">IF(C280&gt;=L280,"ja","nein")</f>
        <v>ja</v>
      </c>
      <c r="I280" s="15" t="str">
        <f aca="false">IF(C280&gt;=M280,"ja","nein")</f>
        <v>ja</v>
      </c>
      <c r="J280" s="15" t="n">
        <f aca="false">ROUND(Annahmen!$K$35*(1+Annahmen!$B$20*D280/1000),0)</f>
        <v>846</v>
      </c>
      <c r="K280" s="15" t="n">
        <f aca="false">ROUND(Annahmen!$K$36*(1+Annahmen!$B$20*D280/1000),0)</f>
        <v>1099</v>
      </c>
      <c r="L280" s="15" t="n">
        <f aca="false">ROUND(Annahmen!$K$37*(1+Annahmen!$B$20*D280/1000),0)</f>
        <v>1123</v>
      </c>
      <c r="M280" s="15" t="n">
        <f aca="false">ROUND(Annahmen!$K$38*(1+Annahmen!$B$20*D280/1000),0)</f>
        <v>1123</v>
      </c>
      <c r="N280" s="16" t="s">
        <v>86</v>
      </c>
    </row>
    <row r="281" customFormat="false" ht="15" hidden="false" customHeight="false" outlineLevel="0" collapsed="false">
      <c r="A281" s="13" t="s">
        <v>644</v>
      </c>
      <c r="B281" s="14" t="s">
        <v>645</v>
      </c>
      <c r="C281" s="15" t="n">
        <v>2500</v>
      </c>
      <c r="D281" s="15" t="n">
        <v>866</v>
      </c>
      <c r="E281" s="13" t="s">
        <v>82</v>
      </c>
      <c r="F281" s="15" t="str">
        <f aca="false">IF(C281&gt;=J281,"ja","nein")</f>
        <v>ja</v>
      </c>
      <c r="G281" s="15" t="str">
        <f aca="false">IF(C281&gt;=K281,"ja","nein")</f>
        <v>ja</v>
      </c>
      <c r="H281" s="15" t="str">
        <f aca="false">IF(C281&gt;=L281,"ja","nein")</f>
        <v>ja</v>
      </c>
      <c r="I281" s="15" t="str">
        <f aca="false">IF(C281&gt;=M281,"ja","nein")</f>
        <v>ja</v>
      </c>
      <c r="J281" s="15" t="n">
        <f aca="false">ROUND(Annahmen!$K$35*(1+Annahmen!$B$20*D281/1000),0)</f>
        <v>905</v>
      </c>
      <c r="K281" s="15" t="n">
        <f aca="false">ROUND(Annahmen!$K$36*(1+Annahmen!$B$20*D281/1000),0)</f>
        <v>1176</v>
      </c>
      <c r="L281" s="15" t="n">
        <f aca="false">ROUND(Annahmen!$K$37*(1+Annahmen!$B$20*D281/1000),0)</f>
        <v>1202</v>
      </c>
      <c r="M281" s="15" t="n">
        <f aca="false">ROUND(Annahmen!$K$38*(1+Annahmen!$B$20*D281/1000),0)</f>
        <v>1202</v>
      </c>
      <c r="N281" s="16" t="s">
        <v>86</v>
      </c>
    </row>
    <row r="282" customFormat="false" ht="15" hidden="false" customHeight="false" outlineLevel="0" collapsed="false">
      <c r="A282" s="13" t="s">
        <v>646</v>
      </c>
      <c r="B282" s="14" t="s">
        <v>647</v>
      </c>
      <c r="C282" s="15" t="n">
        <v>2500</v>
      </c>
      <c r="D282" s="15" t="n">
        <v>644</v>
      </c>
      <c r="E282" s="13" t="s">
        <v>82</v>
      </c>
      <c r="F282" s="15" t="str">
        <f aca="false">IF(C282&gt;=J282,"ja","nein")</f>
        <v>ja</v>
      </c>
      <c r="G282" s="15" t="str">
        <f aca="false">IF(C282&gt;=K282,"ja","nein")</f>
        <v>ja</v>
      </c>
      <c r="H282" s="15" t="str">
        <f aca="false">IF(C282&gt;=L282,"ja","nein")</f>
        <v>ja</v>
      </c>
      <c r="I282" s="15" t="str">
        <f aca="false">IF(C282&gt;=M282,"ja","nein")</f>
        <v>ja</v>
      </c>
      <c r="J282" s="15" t="n">
        <f aca="false">ROUND(Annahmen!$K$35*(1+Annahmen!$B$20*D282/1000),0)</f>
        <v>889</v>
      </c>
      <c r="K282" s="15" t="n">
        <f aca="false">ROUND(Annahmen!$K$36*(1+Annahmen!$B$20*D282/1000),0)</f>
        <v>1154</v>
      </c>
      <c r="L282" s="15" t="n">
        <f aca="false">ROUND(Annahmen!$K$37*(1+Annahmen!$B$20*D282/1000),0)</f>
        <v>1180</v>
      </c>
      <c r="M282" s="15" t="n">
        <f aca="false">ROUND(Annahmen!$K$38*(1+Annahmen!$B$20*D282/1000),0)</f>
        <v>1180</v>
      </c>
      <c r="N282" s="16" t="s">
        <v>83</v>
      </c>
    </row>
    <row r="283" customFormat="false" ht="15" hidden="false" customHeight="false" outlineLevel="0" collapsed="false">
      <c r="A283" s="13" t="s">
        <v>648</v>
      </c>
      <c r="B283" s="14" t="s">
        <v>649</v>
      </c>
      <c r="C283" s="15" t="n">
        <v>2500</v>
      </c>
      <c r="D283" s="15" t="n">
        <v>349</v>
      </c>
      <c r="E283" s="13" t="s">
        <v>82</v>
      </c>
      <c r="F283" s="15" t="str">
        <f aca="false">IF(C283&gt;=J283,"ja","nein")</f>
        <v>ja</v>
      </c>
      <c r="G283" s="15" t="str">
        <f aca="false">IF(C283&gt;=K283,"ja","nein")</f>
        <v>ja</v>
      </c>
      <c r="H283" s="15" t="str">
        <f aca="false">IF(C283&gt;=L283,"ja","nein")</f>
        <v>ja</v>
      </c>
      <c r="I283" s="15" t="str">
        <f aca="false">IF(C283&gt;=M283,"ja","nein")</f>
        <v>ja</v>
      </c>
      <c r="J283" s="15" t="n">
        <f aca="false">ROUND(Annahmen!$K$35*(1+Annahmen!$B$20*D283/1000),0)</f>
        <v>866</v>
      </c>
      <c r="K283" s="15" t="n">
        <f aca="false">ROUND(Annahmen!$K$36*(1+Annahmen!$B$20*D283/1000),0)</f>
        <v>1125</v>
      </c>
      <c r="L283" s="15" t="n">
        <f aca="false">ROUND(Annahmen!$K$37*(1+Annahmen!$B$20*D283/1000),0)</f>
        <v>1150</v>
      </c>
      <c r="M283" s="15" t="n">
        <f aca="false">ROUND(Annahmen!$K$38*(1+Annahmen!$B$20*D283/1000),0)</f>
        <v>1150</v>
      </c>
      <c r="N283" s="16" t="s">
        <v>83</v>
      </c>
    </row>
    <row r="284" customFormat="false" ht="15" hidden="false" customHeight="false" outlineLevel="0" collapsed="false">
      <c r="A284" s="13" t="s">
        <v>650</v>
      </c>
      <c r="B284" s="14" t="s">
        <v>651</v>
      </c>
      <c r="C284" s="15" t="n">
        <v>2500</v>
      </c>
      <c r="D284" s="15" t="n">
        <v>161</v>
      </c>
      <c r="E284" s="13" t="s">
        <v>82</v>
      </c>
      <c r="F284" s="15" t="str">
        <f aca="false">IF(C284&gt;=J284,"ja","nein")</f>
        <v>ja</v>
      </c>
      <c r="G284" s="15" t="str">
        <f aca="false">IF(C284&gt;=K284,"ja","nein")</f>
        <v>ja</v>
      </c>
      <c r="H284" s="15" t="str">
        <f aca="false">IF(C284&gt;=L284,"ja","nein")</f>
        <v>ja</v>
      </c>
      <c r="I284" s="15" t="str">
        <f aca="false">IF(C284&gt;=M284,"ja","nein")</f>
        <v>ja</v>
      </c>
      <c r="J284" s="15" t="n">
        <f aca="false">ROUND(Annahmen!$K$35*(1+Annahmen!$B$20*D284/1000),0)</f>
        <v>852</v>
      </c>
      <c r="K284" s="15" t="n">
        <f aca="false">ROUND(Annahmen!$K$36*(1+Annahmen!$B$20*D284/1000),0)</f>
        <v>1107</v>
      </c>
      <c r="L284" s="15" t="n">
        <f aca="false">ROUND(Annahmen!$K$37*(1+Annahmen!$B$20*D284/1000),0)</f>
        <v>1131</v>
      </c>
      <c r="M284" s="15" t="n">
        <f aca="false">ROUND(Annahmen!$K$38*(1+Annahmen!$B$20*D284/1000),0)</f>
        <v>1131</v>
      </c>
      <c r="N284" s="16" t="s">
        <v>83</v>
      </c>
    </row>
    <row r="285" customFormat="false" ht="15" hidden="false" customHeight="false" outlineLevel="0" collapsed="false">
      <c r="A285" s="13" t="s">
        <v>652</v>
      </c>
      <c r="B285" s="14" t="s">
        <v>653</v>
      </c>
      <c r="C285" s="15" t="n">
        <v>2499</v>
      </c>
      <c r="D285" s="15" t="n">
        <v>481</v>
      </c>
      <c r="E285" s="13" t="s">
        <v>82</v>
      </c>
      <c r="F285" s="15" t="str">
        <f aca="false">IF(C285&gt;=J285,"ja","nein")</f>
        <v>ja</v>
      </c>
      <c r="G285" s="15" t="str">
        <f aca="false">IF(C285&gt;=K285,"ja","nein")</f>
        <v>ja</v>
      </c>
      <c r="H285" s="15" t="str">
        <f aca="false">IF(C285&gt;=L285,"ja","nein")</f>
        <v>ja</v>
      </c>
      <c r="I285" s="15" t="str">
        <f aca="false">IF(C285&gt;=M285,"ja","nein")</f>
        <v>ja</v>
      </c>
      <c r="J285" s="15" t="n">
        <f aca="false">ROUND(Annahmen!$K$35*(1+Annahmen!$B$20*D285/1000),0)</f>
        <v>876</v>
      </c>
      <c r="K285" s="15" t="n">
        <f aca="false">ROUND(Annahmen!$K$36*(1+Annahmen!$B$20*D285/1000),0)</f>
        <v>1138</v>
      </c>
      <c r="L285" s="15" t="n">
        <f aca="false">ROUND(Annahmen!$K$37*(1+Annahmen!$B$20*D285/1000),0)</f>
        <v>1163</v>
      </c>
      <c r="M285" s="15" t="n">
        <f aca="false">ROUND(Annahmen!$K$38*(1+Annahmen!$B$20*D285/1000),0)</f>
        <v>1163</v>
      </c>
      <c r="N285" s="16" t="s">
        <v>83</v>
      </c>
    </row>
    <row r="286" customFormat="false" ht="15" hidden="false" customHeight="false" outlineLevel="0" collapsed="false">
      <c r="A286" s="13" t="s">
        <v>654</v>
      </c>
      <c r="B286" s="14" t="s">
        <v>655</v>
      </c>
      <c r="C286" s="15" t="n">
        <v>2499</v>
      </c>
      <c r="D286" s="15" t="n">
        <v>483</v>
      </c>
      <c r="E286" s="13" t="s">
        <v>82</v>
      </c>
      <c r="F286" s="15" t="str">
        <f aca="false">IF(C286&gt;=J286,"ja","nein")</f>
        <v>ja</v>
      </c>
      <c r="G286" s="15" t="str">
        <f aca="false">IF(C286&gt;=K286,"ja","nein")</f>
        <v>ja</v>
      </c>
      <c r="H286" s="15" t="str">
        <f aca="false">IF(C286&gt;=L286,"ja","nein")</f>
        <v>ja</v>
      </c>
      <c r="I286" s="15" t="str">
        <f aca="false">IF(C286&gt;=M286,"ja","nein")</f>
        <v>ja</v>
      </c>
      <c r="J286" s="15" t="n">
        <f aca="false">ROUND(Annahmen!$K$35*(1+Annahmen!$B$20*D286/1000),0)</f>
        <v>877</v>
      </c>
      <c r="K286" s="15" t="n">
        <f aca="false">ROUND(Annahmen!$K$36*(1+Annahmen!$B$20*D286/1000),0)</f>
        <v>1138</v>
      </c>
      <c r="L286" s="15" t="n">
        <f aca="false">ROUND(Annahmen!$K$37*(1+Annahmen!$B$20*D286/1000),0)</f>
        <v>1163</v>
      </c>
      <c r="M286" s="15" t="n">
        <f aca="false">ROUND(Annahmen!$K$38*(1+Annahmen!$B$20*D286/1000),0)</f>
        <v>1163</v>
      </c>
      <c r="N286" s="16" t="s">
        <v>86</v>
      </c>
    </row>
    <row r="287" customFormat="false" ht="15" hidden="false" customHeight="false" outlineLevel="0" collapsed="false">
      <c r="A287" s="13" t="s">
        <v>656</v>
      </c>
      <c r="B287" s="14" t="s">
        <v>657</v>
      </c>
      <c r="C287" s="15" t="n">
        <v>2351</v>
      </c>
      <c r="D287" s="15" t="n">
        <v>44</v>
      </c>
      <c r="E287" s="13" t="s">
        <v>82</v>
      </c>
      <c r="F287" s="15" t="str">
        <f aca="false">IF(C287&gt;=J287,"ja","nein")</f>
        <v>ja</v>
      </c>
      <c r="G287" s="15" t="str">
        <f aca="false">IF(C287&gt;=K287,"ja","nein")</f>
        <v>ja</v>
      </c>
      <c r="H287" s="15" t="str">
        <f aca="false">IF(C287&gt;=L287,"ja","nein")</f>
        <v>ja</v>
      </c>
      <c r="I287" s="15" t="str">
        <f aca="false">IF(C287&gt;=M287,"ja","nein")</f>
        <v>ja</v>
      </c>
      <c r="J287" s="15" t="n">
        <f aca="false">ROUND(Annahmen!$K$35*(1+Annahmen!$B$20*D287/1000),0)</f>
        <v>843</v>
      </c>
      <c r="K287" s="15" t="n">
        <f aca="false">ROUND(Annahmen!$K$36*(1+Annahmen!$B$20*D287/1000),0)</f>
        <v>1095</v>
      </c>
      <c r="L287" s="15" t="n">
        <f aca="false">ROUND(Annahmen!$K$37*(1+Annahmen!$B$20*D287/1000),0)</f>
        <v>1119</v>
      </c>
      <c r="M287" s="15" t="n">
        <f aca="false">ROUND(Annahmen!$K$38*(1+Annahmen!$B$20*D287/1000),0)</f>
        <v>1119</v>
      </c>
      <c r="N287" s="16" t="s">
        <v>86</v>
      </c>
    </row>
    <row r="288" customFormat="false" ht="15" hidden="false" customHeight="false" outlineLevel="0" collapsed="false">
      <c r="A288" s="13" t="s">
        <v>658</v>
      </c>
      <c r="B288" s="14" t="s">
        <v>659</v>
      </c>
      <c r="C288" s="15" t="n">
        <v>2300</v>
      </c>
      <c r="D288" s="15" t="n">
        <v>311</v>
      </c>
      <c r="E288" s="13" t="s">
        <v>82</v>
      </c>
      <c r="F288" s="15" t="str">
        <f aca="false">IF(C288&gt;=J288,"ja","nein")</f>
        <v>ja</v>
      </c>
      <c r="G288" s="15" t="str">
        <f aca="false">IF(C288&gt;=K288,"ja","nein")</f>
        <v>ja</v>
      </c>
      <c r="H288" s="15" t="str">
        <f aca="false">IF(C288&gt;=L288,"ja","nein")</f>
        <v>ja</v>
      </c>
      <c r="I288" s="15" t="str">
        <f aca="false">IF(C288&gt;=M288,"ja","nein")</f>
        <v>ja</v>
      </c>
      <c r="J288" s="15" t="n">
        <f aca="false">ROUND(Annahmen!$K$35*(1+Annahmen!$B$20*D288/1000),0)</f>
        <v>864</v>
      </c>
      <c r="K288" s="15" t="n">
        <f aca="false">ROUND(Annahmen!$K$36*(1+Annahmen!$B$20*D288/1000),0)</f>
        <v>1122</v>
      </c>
      <c r="L288" s="15" t="n">
        <f aca="false">ROUND(Annahmen!$K$37*(1+Annahmen!$B$20*D288/1000),0)</f>
        <v>1146</v>
      </c>
      <c r="M288" s="15" t="n">
        <f aca="false">ROUND(Annahmen!$K$38*(1+Annahmen!$B$20*D288/1000),0)</f>
        <v>1146</v>
      </c>
      <c r="N288" s="16" t="s">
        <v>86</v>
      </c>
    </row>
    <row r="289" customFormat="false" ht="15" hidden="false" customHeight="false" outlineLevel="0" collapsed="false">
      <c r="A289" s="13" t="s">
        <v>660</v>
      </c>
      <c r="B289" s="14" t="s">
        <v>661</v>
      </c>
      <c r="C289" s="15" t="n">
        <v>2001</v>
      </c>
      <c r="D289" s="15" t="n">
        <v>1005</v>
      </c>
      <c r="E289" s="13" t="s">
        <v>82</v>
      </c>
      <c r="F289" s="15" t="str">
        <f aca="false">IF(C289&gt;=J289,"ja","nein")</f>
        <v>ja</v>
      </c>
      <c r="G289" s="15" t="str">
        <f aca="false">IF(C289&gt;=K289,"ja","nein")</f>
        <v>ja</v>
      </c>
      <c r="H289" s="15" t="str">
        <f aca="false">IF(C289&gt;=L289,"ja","nein")</f>
        <v>ja</v>
      </c>
      <c r="I289" s="15" t="str">
        <f aca="false">IF(C289&gt;=M289,"ja","nein")</f>
        <v>ja</v>
      </c>
      <c r="J289" s="15" t="n">
        <f aca="false">ROUND(Annahmen!$K$35*(1+Annahmen!$B$20*D289/1000),0)</f>
        <v>916</v>
      </c>
      <c r="K289" s="15" t="n">
        <f aca="false">ROUND(Annahmen!$K$36*(1+Annahmen!$B$20*D289/1000),0)</f>
        <v>1190</v>
      </c>
      <c r="L289" s="15" t="n">
        <f aca="false">ROUND(Annahmen!$K$37*(1+Annahmen!$B$20*D289/1000),0)</f>
        <v>1216</v>
      </c>
      <c r="M289" s="15" t="n">
        <f aca="false">ROUND(Annahmen!$K$38*(1+Annahmen!$B$20*D289/1000),0)</f>
        <v>1216</v>
      </c>
      <c r="N289" s="16" t="s">
        <v>86</v>
      </c>
    </row>
    <row r="290" customFormat="false" ht="15" hidden="false" customHeight="false" outlineLevel="0" collapsed="false">
      <c r="A290" s="13" t="s">
        <v>662</v>
      </c>
      <c r="B290" s="14" t="s">
        <v>663</v>
      </c>
      <c r="C290" s="15" t="n">
        <v>2000</v>
      </c>
      <c r="D290" s="15" t="n">
        <v>302</v>
      </c>
      <c r="E290" s="13" t="s">
        <v>82</v>
      </c>
      <c r="F290" s="15" t="str">
        <f aca="false">IF(C290&gt;=J290,"ja","nein")</f>
        <v>ja</v>
      </c>
      <c r="G290" s="15" t="str">
        <f aca="false">IF(C290&gt;=K290,"ja","nein")</f>
        <v>ja</v>
      </c>
      <c r="H290" s="15" t="str">
        <f aca="false">IF(C290&gt;=L290,"ja","nein")</f>
        <v>ja</v>
      </c>
      <c r="I290" s="15" t="str">
        <f aca="false">IF(C290&gt;=M290,"ja","nein")</f>
        <v>ja</v>
      </c>
      <c r="J290" s="15" t="n">
        <f aca="false">ROUND(Annahmen!$K$35*(1+Annahmen!$B$20*D290/1000),0)</f>
        <v>863</v>
      </c>
      <c r="K290" s="15" t="n">
        <f aca="false">ROUND(Annahmen!$K$36*(1+Annahmen!$B$20*D290/1000),0)</f>
        <v>1121</v>
      </c>
      <c r="L290" s="15" t="n">
        <f aca="false">ROUND(Annahmen!$K$37*(1+Annahmen!$B$20*D290/1000),0)</f>
        <v>1145</v>
      </c>
      <c r="M290" s="15" t="n">
        <f aca="false">ROUND(Annahmen!$K$38*(1+Annahmen!$B$20*D290/1000),0)</f>
        <v>1145</v>
      </c>
      <c r="N290" s="16" t="s">
        <v>86</v>
      </c>
    </row>
    <row r="291" customFormat="false" ht="15" hidden="false" customHeight="false" outlineLevel="0" collapsed="false">
      <c r="A291" s="13" t="s">
        <v>664</v>
      </c>
      <c r="B291" s="14" t="s">
        <v>665</v>
      </c>
      <c r="C291" s="15" t="n">
        <v>2000</v>
      </c>
      <c r="D291" s="15" t="n">
        <v>286</v>
      </c>
      <c r="E291" s="13" t="s">
        <v>82</v>
      </c>
      <c r="F291" s="15" t="str">
        <f aca="false">IF(C291&gt;=J291,"ja","nein")</f>
        <v>ja</v>
      </c>
      <c r="G291" s="15" t="str">
        <f aca="false">IF(C291&gt;=K291,"ja","nein")</f>
        <v>ja</v>
      </c>
      <c r="H291" s="15" t="str">
        <f aca="false">IF(C291&gt;=L291,"ja","nein")</f>
        <v>ja</v>
      </c>
      <c r="I291" s="15" t="str">
        <f aca="false">IF(C291&gt;=M291,"ja","nein")</f>
        <v>ja</v>
      </c>
      <c r="J291" s="15" t="n">
        <f aca="false">ROUND(Annahmen!$K$35*(1+Annahmen!$B$20*D291/1000),0)</f>
        <v>862</v>
      </c>
      <c r="K291" s="15" t="n">
        <f aca="false">ROUND(Annahmen!$K$36*(1+Annahmen!$B$20*D291/1000),0)</f>
        <v>1119</v>
      </c>
      <c r="L291" s="15" t="n">
        <f aca="false">ROUND(Annahmen!$K$37*(1+Annahmen!$B$20*D291/1000),0)</f>
        <v>1144</v>
      </c>
      <c r="M291" s="15" t="n">
        <f aca="false">ROUND(Annahmen!$K$38*(1+Annahmen!$B$20*D291/1000),0)</f>
        <v>1144</v>
      </c>
      <c r="N291" s="16" t="s">
        <v>86</v>
      </c>
    </row>
    <row r="292" customFormat="false" ht="15" hidden="false" customHeight="false" outlineLevel="0" collapsed="false">
      <c r="A292" s="13" t="s">
        <v>666</v>
      </c>
      <c r="B292" s="14" t="s">
        <v>667</v>
      </c>
      <c r="C292" s="15" t="n">
        <v>1990</v>
      </c>
      <c r="D292" s="15" t="n">
        <v>397</v>
      </c>
      <c r="E292" s="13" t="s">
        <v>82</v>
      </c>
      <c r="F292" s="15" t="str">
        <f aca="false">IF(C292&gt;=J292,"ja","nein")</f>
        <v>ja</v>
      </c>
      <c r="G292" s="15" t="str">
        <f aca="false">IF(C292&gt;=K292,"ja","nein")</f>
        <v>ja</v>
      </c>
      <c r="H292" s="15" t="str">
        <f aca="false">IF(C292&gt;=L292,"ja","nein")</f>
        <v>ja</v>
      </c>
      <c r="I292" s="15" t="str">
        <f aca="false">IF(C292&gt;=M292,"ja","nein")</f>
        <v>ja</v>
      </c>
      <c r="J292" s="15" t="n">
        <f aca="false">ROUND(Annahmen!$K$35*(1+Annahmen!$B$20*D292/1000),0)</f>
        <v>870</v>
      </c>
      <c r="K292" s="15" t="n">
        <f aca="false">ROUND(Annahmen!$K$36*(1+Annahmen!$B$20*D292/1000),0)</f>
        <v>1130</v>
      </c>
      <c r="L292" s="15" t="n">
        <f aca="false">ROUND(Annahmen!$K$37*(1+Annahmen!$B$20*D292/1000),0)</f>
        <v>1155</v>
      </c>
      <c r="M292" s="15" t="n">
        <f aca="false">ROUND(Annahmen!$K$38*(1+Annahmen!$B$20*D292/1000),0)</f>
        <v>1155</v>
      </c>
      <c r="N292" s="16" t="s">
        <v>102</v>
      </c>
    </row>
    <row r="293" customFormat="false" ht="15" hidden="false" customHeight="false" outlineLevel="0" collapsed="false">
      <c r="A293" s="13" t="s">
        <v>668</v>
      </c>
      <c r="B293" s="14" t="s">
        <v>669</v>
      </c>
      <c r="C293" s="15" t="n">
        <v>1903</v>
      </c>
      <c r="D293" s="15" t="n">
        <v>17</v>
      </c>
      <c r="E293" s="13" t="s">
        <v>82</v>
      </c>
      <c r="F293" s="15" t="str">
        <f aca="false">IF(C293&gt;=J293,"ja","nein")</f>
        <v>ja</v>
      </c>
      <c r="G293" s="15" t="str">
        <f aca="false">IF(C293&gt;=K293,"ja","nein")</f>
        <v>ja</v>
      </c>
      <c r="H293" s="15" t="str">
        <f aca="false">IF(C293&gt;=L293,"ja","nein")</f>
        <v>ja</v>
      </c>
      <c r="I293" s="15" t="str">
        <f aca="false">IF(C293&gt;=M293,"ja","nein")</f>
        <v>ja</v>
      </c>
      <c r="J293" s="15" t="n">
        <f aca="false">ROUND(Annahmen!$K$35*(1+Annahmen!$B$20*D293/1000),0)</f>
        <v>841</v>
      </c>
      <c r="K293" s="15" t="n">
        <f aca="false">ROUND(Annahmen!$K$36*(1+Annahmen!$B$20*D293/1000),0)</f>
        <v>1093</v>
      </c>
      <c r="L293" s="15" t="n">
        <f aca="false">ROUND(Annahmen!$K$37*(1+Annahmen!$B$20*D293/1000),0)</f>
        <v>1117</v>
      </c>
      <c r="M293" s="15" t="n">
        <f aca="false">ROUND(Annahmen!$K$38*(1+Annahmen!$B$20*D293/1000),0)</f>
        <v>1117</v>
      </c>
      <c r="N293" s="16" t="s">
        <v>86</v>
      </c>
    </row>
    <row r="294" customFormat="false" ht="15" hidden="false" customHeight="false" outlineLevel="0" collapsed="false">
      <c r="A294" s="13" t="s">
        <v>670</v>
      </c>
      <c r="B294" s="14" t="s">
        <v>671</v>
      </c>
      <c r="C294" s="15" t="n">
        <v>1702</v>
      </c>
      <c r="D294" s="15" t="n">
        <v>329</v>
      </c>
      <c r="E294" s="13" t="s">
        <v>82</v>
      </c>
      <c r="F294" s="15" t="str">
        <f aca="false">IF(C294&gt;=J294,"ja","nein")</f>
        <v>ja</v>
      </c>
      <c r="G294" s="15" t="str">
        <f aca="false">IF(C294&gt;=K294,"ja","nein")</f>
        <v>ja</v>
      </c>
      <c r="H294" s="15" t="str">
        <f aca="false">IF(C294&gt;=L294,"ja","nein")</f>
        <v>ja</v>
      </c>
      <c r="I294" s="15" t="str">
        <f aca="false">IF(C294&gt;=M294,"ja","nein")</f>
        <v>ja</v>
      </c>
      <c r="J294" s="15" t="n">
        <f aca="false">ROUND(Annahmen!$K$35*(1+Annahmen!$B$20*D294/1000),0)</f>
        <v>865</v>
      </c>
      <c r="K294" s="15" t="n">
        <f aca="false">ROUND(Annahmen!$K$36*(1+Annahmen!$B$20*D294/1000),0)</f>
        <v>1123</v>
      </c>
      <c r="L294" s="15" t="n">
        <f aca="false">ROUND(Annahmen!$K$37*(1+Annahmen!$B$20*D294/1000),0)</f>
        <v>1148</v>
      </c>
      <c r="M294" s="15" t="n">
        <f aca="false">ROUND(Annahmen!$K$38*(1+Annahmen!$B$20*D294/1000),0)</f>
        <v>1148</v>
      </c>
      <c r="N294" s="16" t="s">
        <v>86</v>
      </c>
    </row>
    <row r="295" customFormat="false" ht="15" hidden="false" customHeight="false" outlineLevel="0" collapsed="false">
      <c r="A295" s="13" t="s">
        <v>672</v>
      </c>
      <c r="B295" s="14" t="s">
        <v>673</v>
      </c>
      <c r="C295" s="15" t="n">
        <v>1600</v>
      </c>
      <c r="D295" s="15" t="n">
        <v>20</v>
      </c>
      <c r="E295" s="13" t="s">
        <v>82</v>
      </c>
      <c r="F295" s="15" t="str">
        <f aca="false">IF(C295&gt;=J295,"ja","nein")</f>
        <v>ja</v>
      </c>
      <c r="G295" s="15" t="str">
        <f aca="false">IF(C295&gt;=K295,"ja","nein")</f>
        <v>ja</v>
      </c>
      <c r="H295" s="15" t="str">
        <f aca="false">IF(C295&gt;=L295,"ja","nein")</f>
        <v>ja</v>
      </c>
      <c r="I295" s="15" t="str">
        <f aca="false">IF(C295&gt;=M295,"ja","nein")</f>
        <v>ja</v>
      </c>
      <c r="J295" s="15" t="n">
        <f aca="false">ROUND(Annahmen!$K$35*(1+Annahmen!$B$20*D295/1000),0)</f>
        <v>842</v>
      </c>
      <c r="K295" s="15" t="n">
        <f aca="false">ROUND(Annahmen!$K$36*(1+Annahmen!$B$20*D295/1000),0)</f>
        <v>1093</v>
      </c>
      <c r="L295" s="15" t="n">
        <f aca="false">ROUND(Annahmen!$K$37*(1+Annahmen!$B$20*D295/1000),0)</f>
        <v>1117</v>
      </c>
      <c r="M295" s="15" t="n">
        <f aca="false">ROUND(Annahmen!$K$38*(1+Annahmen!$B$20*D295/1000),0)</f>
        <v>1117</v>
      </c>
      <c r="N295" s="16" t="s">
        <v>102</v>
      </c>
    </row>
    <row r="296" customFormat="false" ht="15" hidden="false" customHeight="false" outlineLevel="0" collapsed="false">
      <c r="A296" s="13" t="s">
        <v>674</v>
      </c>
      <c r="B296" s="14" t="s">
        <v>675</v>
      </c>
      <c r="C296" s="15" t="n">
        <v>1500</v>
      </c>
      <c r="D296" s="15" t="n">
        <v>364</v>
      </c>
      <c r="E296" s="13" t="s">
        <v>82</v>
      </c>
      <c r="F296" s="15" t="str">
        <f aca="false">IF(C296&gt;=J296,"ja","nein")</f>
        <v>ja</v>
      </c>
      <c r="G296" s="15" t="str">
        <f aca="false">IF(C296&gt;=K296,"ja","nein")</f>
        <v>ja</v>
      </c>
      <c r="H296" s="15" t="str">
        <f aca="false">IF(C296&gt;=L296,"ja","nein")</f>
        <v>ja</v>
      </c>
      <c r="I296" s="15" t="str">
        <f aca="false">IF(C296&gt;=M296,"ja","nein")</f>
        <v>ja</v>
      </c>
      <c r="J296" s="15" t="n">
        <f aca="false">ROUND(Annahmen!$K$35*(1+Annahmen!$B$20*D296/1000),0)</f>
        <v>868</v>
      </c>
      <c r="K296" s="15" t="n">
        <f aca="false">ROUND(Annahmen!$K$36*(1+Annahmen!$B$20*D296/1000),0)</f>
        <v>1127</v>
      </c>
      <c r="L296" s="15" t="n">
        <f aca="false">ROUND(Annahmen!$K$37*(1+Annahmen!$B$20*D296/1000),0)</f>
        <v>1152</v>
      </c>
      <c r="M296" s="15" t="n">
        <f aca="false">ROUND(Annahmen!$K$38*(1+Annahmen!$B$20*D296/1000),0)</f>
        <v>1152</v>
      </c>
      <c r="N296" s="16" t="s">
        <v>86</v>
      </c>
    </row>
    <row r="297" customFormat="false" ht="15" hidden="false" customHeight="false" outlineLevel="0" collapsed="false">
      <c r="A297" s="13" t="s">
        <v>676</v>
      </c>
      <c r="B297" s="14" t="s">
        <v>677</v>
      </c>
      <c r="C297" s="15" t="n">
        <v>1500</v>
      </c>
      <c r="D297" s="15" t="n">
        <v>602</v>
      </c>
      <c r="E297" s="13" t="s">
        <v>82</v>
      </c>
      <c r="F297" s="15" t="str">
        <f aca="false">IF(C297&gt;=J297,"ja","nein")</f>
        <v>ja</v>
      </c>
      <c r="G297" s="15" t="str">
        <f aca="false">IF(C297&gt;=K297,"ja","nein")</f>
        <v>ja</v>
      </c>
      <c r="H297" s="15" t="str">
        <f aca="false">IF(C297&gt;=L297,"ja","nein")</f>
        <v>ja</v>
      </c>
      <c r="I297" s="15" t="str">
        <f aca="false">IF(C297&gt;=M297,"ja","nein")</f>
        <v>ja</v>
      </c>
      <c r="J297" s="15" t="n">
        <f aca="false">ROUND(Annahmen!$K$35*(1+Annahmen!$B$20*D297/1000),0)</f>
        <v>886</v>
      </c>
      <c r="K297" s="15" t="n">
        <f aca="false">ROUND(Annahmen!$K$36*(1+Annahmen!$B$20*D297/1000),0)</f>
        <v>1150</v>
      </c>
      <c r="L297" s="15" t="n">
        <f aca="false">ROUND(Annahmen!$K$37*(1+Annahmen!$B$20*D297/1000),0)</f>
        <v>1175</v>
      </c>
      <c r="M297" s="15" t="n">
        <f aca="false">ROUND(Annahmen!$K$38*(1+Annahmen!$B$20*D297/1000),0)</f>
        <v>1175</v>
      </c>
      <c r="N297" s="16" t="s">
        <v>86</v>
      </c>
    </row>
    <row r="298" customFormat="false" ht="15" hidden="false" customHeight="false" outlineLevel="0" collapsed="false">
      <c r="A298" s="13" t="s">
        <v>678</v>
      </c>
      <c r="B298" s="14" t="s">
        <v>679</v>
      </c>
      <c r="C298" s="15" t="n">
        <v>1500</v>
      </c>
      <c r="D298" s="15" t="n">
        <v>252</v>
      </c>
      <c r="E298" s="13" t="s">
        <v>82</v>
      </c>
      <c r="F298" s="15" t="str">
        <f aca="false">IF(C298&gt;=J298,"ja","nein")</f>
        <v>ja</v>
      </c>
      <c r="G298" s="15" t="str">
        <f aca="false">IF(C298&gt;=K298,"ja","nein")</f>
        <v>ja</v>
      </c>
      <c r="H298" s="15" t="str">
        <f aca="false">IF(C298&gt;=L298,"ja","nein")</f>
        <v>ja</v>
      </c>
      <c r="I298" s="15" t="str">
        <f aca="false">IF(C298&gt;=M298,"ja","nein")</f>
        <v>ja</v>
      </c>
      <c r="J298" s="15" t="n">
        <f aca="false">ROUND(Annahmen!$K$35*(1+Annahmen!$B$20*D298/1000),0)</f>
        <v>859</v>
      </c>
      <c r="K298" s="15" t="n">
        <f aca="false">ROUND(Annahmen!$K$36*(1+Annahmen!$B$20*D298/1000),0)</f>
        <v>1116</v>
      </c>
      <c r="L298" s="15" t="n">
        <f aca="false">ROUND(Annahmen!$K$37*(1+Annahmen!$B$20*D298/1000),0)</f>
        <v>1140</v>
      </c>
      <c r="M298" s="15" t="n">
        <f aca="false">ROUND(Annahmen!$K$38*(1+Annahmen!$B$20*D298/1000),0)</f>
        <v>1140</v>
      </c>
      <c r="N298" s="16" t="s">
        <v>86</v>
      </c>
    </row>
    <row r="299" customFormat="false" ht="15" hidden="false" customHeight="false" outlineLevel="0" collapsed="false">
      <c r="A299" s="13" t="s">
        <v>680</v>
      </c>
      <c r="B299" s="14" t="s">
        <v>681</v>
      </c>
      <c r="C299" s="15" t="n">
        <v>1400</v>
      </c>
      <c r="D299" s="15" t="n">
        <v>692</v>
      </c>
      <c r="E299" s="13" t="s">
        <v>82</v>
      </c>
      <c r="F299" s="15" t="str">
        <f aca="false">IF(C299&gt;=J299,"ja","nein")</f>
        <v>ja</v>
      </c>
      <c r="G299" s="15" t="str">
        <f aca="false">IF(C299&gt;=K299,"ja","nein")</f>
        <v>ja</v>
      </c>
      <c r="H299" s="15" t="str">
        <f aca="false">IF(C299&gt;=L299,"ja","nein")</f>
        <v>ja</v>
      </c>
      <c r="I299" s="15" t="str">
        <f aca="false">IF(C299&gt;=M299,"ja","nein")</f>
        <v>ja</v>
      </c>
      <c r="J299" s="15" t="n">
        <f aca="false">ROUND(Annahmen!$K$35*(1+Annahmen!$B$20*D299/1000),0)</f>
        <v>892</v>
      </c>
      <c r="K299" s="15" t="n">
        <f aca="false">ROUND(Annahmen!$K$36*(1+Annahmen!$B$20*D299/1000),0)</f>
        <v>1159</v>
      </c>
      <c r="L299" s="15" t="n">
        <f aca="false">ROUND(Annahmen!$K$37*(1+Annahmen!$B$20*D299/1000),0)</f>
        <v>1184</v>
      </c>
      <c r="M299" s="15" t="n">
        <f aca="false">ROUND(Annahmen!$K$38*(1+Annahmen!$B$20*D299/1000),0)</f>
        <v>1184</v>
      </c>
      <c r="N299" s="16" t="s">
        <v>102</v>
      </c>
    </row>
    <row r="300" customFormat="false" ht="15" hidden="false" customHeight="false" outlineLevel="0" collapsed="false">
      <c r="A300" s="13" t="s">
        <v>682</v>
      </c>
      <c r="B300" s="14" t="s">
        <v>683</v>
      </c>
      <c r="C300" s="15" t="n">
        <v>1324</v>
      </c>
      <c r="D300" s="15" t="n">
        <v>417</v>
      </c>
      <c r="E300" s="13" t="s">
        <v>82</v>
      </c>
      <c r="F300" s="15" t="str">
        <f aca="false">IF(C300&gt;=J300,"ja","nein")</f>
        <v>ja</v>
      </c>
      <c r="G300" s="15" t="str">
        <f aca="false">IF(C300&gt;=K300,"ja","nein")</f>
        <v>ja</v>
      </c>
      <c r="H300" s="15" t="str">
        <f aca="false">IF(C300&gt;=L300,"ja","nein")</f>
        <v>ja</v>
      </c>
      <c r="I300" s="15" t="str">
        <f aca="false">IF(C300&gt;=M300,"ja","nein")</f>
        <v>ja</v>
      </c>
      <c r="J300" s="15" t="n">
        <f aca="false">ROUND(Annahmen!$K$35*(1+Annahmen!$B$20*D300/1000),0)</f>
        <v>872</v>
      </c>
      <c r="K300" s="15" t="n">
        <f aca="false">ROUND(Annahmen!$K$36*(1+Annahmen!$B$20*D300/1000),0)</f>
        <v>1132</v>
      </c>
      <c r="L300" s="15" t="n">
        <f aca="false">ROUND(Annahmen!$K$37*(1+Annahmen!$B$20*D300/1000),0)</f>
        <v>1157</v>
      </c>
      <c r="M300" s="15" t="n">
        <f aca="false">ROUND(Annahmen!$K$38*(1+Annahmen!$B$20*D300/1000),0)</f>
        <v>1157</v>
      </c>
      <c r="N300" s="16" t="s">
        <v>102</v>
      </c>
    </row>
    <row r="301" customFormat="false" ht="15" hidden="false" customHeight="false" outlineLevel="0" collapsed="false">
      <c r="A301" s="13" t="s">
        <v>684</v>
      </c>
      <c r="B301" s="14" t="s">
        <v>685</v>
      </c>
      <c r="C301" s="15" t="n">
        <v>1260</v>
      </c>
      <c r="D301" s="15" t="n">
        <v>430</v>
      </c>
      <c r="E301" s="13" t="s">
        <v>82</v>
      </c>
      <c r="F301" s="15" t="str">
        <f aca="false">IF(C301&gt;=J301,"ja","nein")</f>
        <v>ja</v>
      </c>
      <c r="G301" s="15" t="str">
        <f aca="false">IF(C301&gt;=K301,"ja","nein")</f>
        <v>ja</v>
      </c>
      <c r="H301" s="15" t="str">
        <f aca="false">IF(C301&gt;=L301,"ja","nein")</f>
        <v>ja</v>
      </c>
      <c r="I301" s="15" t="str">
        <f aca="false">IF(C301&gt;=M301,"ja","nein")</f>
        <v>ja</v>
      </c>
      <c r="J301" s="15" t="n">
        <f aca="false">ROUND(Annahmen!$K$35*(1+Annahmen!$B$20*D301/1000),0)</f>
        <v>873</v>
      </c>
      <c r="K301" s="15" t="n">
        <f aca="false">ROUND(Annahmen!$K$36*(1+Annahmen!$B$20*D301/1000),0)</f>
        <v>1133</v>
      </c>
      <c r="L301" s="15" t="n">
        <f aca="false">ROUND(Annahmen!$K$37*(1+Annahmen!$B$20*D301/1000),0)</f>
        <v>1158</v>
      </c>
      <c r="M301" s="15" t="n">
        <f aca="false">ROUND(Annahmen!$K$38*(1+Annahmen!$B$20*D301/1000),0)</f>
        <v>1158</v>
      </c>
      <c r="N301" s="16" t="s">
        <v>102</v>
      </c>
    </row>
    <row r="302" customFormat="false" ht="15" hidden="false" customHeight="false" outlineLevel="0" collapsed="false">
      <c r="A302" s="13" t="s">
        <v>686</v>
      </c>
      <c r="B302" s="14" t="s">
        <v>687</v>
      </c>
      <c r="C302" s="15" t="n">
        <v>1200</v>
      </c>
      <c r="D302" s="15" t="n">
        <v>43</v>
      </c>
      <c r="E302" s="13" t="s">
        <v>82</v>
      </c>
      <c r="F302" s="15" t="str">
        <f aca="false">IF(C302&gt;=J302,"ja","nein")</f>
        <v>ja</v>
      </c>
      <c r="G302" s="15" t="str">
        <f aca="false">IF(C302&gt;=K302,"ja","nein")</f>
        <v>ja</v>
      </c>
      <c r="H302" s="15" t="str">
        <f aca="false">IF(C302&gt;=L302,"ja","nein")</f>
        <v>ja</v>
      </c>
      <c r="I302" s="15" t="str">
        <f aca="false">IF(C302&gt;=M302,"ja","nein")</f>
        <v>ja</v>
      </c>
      <c r="J302" s="15" t="n">
        <f aca="false">ROUND(Annahmen!$K$35*(1+Annahmen!$B$20*D302/1000),0)</f>
        <v>843</v>
      </c>
      <c r="K302" s="15" t="n">
        <f aca="false">ROUND(Annahmen!$K$36*(1+Annahmen!$B$20*D302/1000),0)</f>
        <v>1095</v>
      </c>
      <c r="L302" s="15" t="n">
        <f aca="false">ROUND(Annahmen!$K$37*(1+Annahmen!$B$20*D302/1000),0)</f>
        <v>1119</v>
      </c>
      <c r="M302" s="15" t="n">
        <f aca="false">ROUND(Annahmen!$K$38*(1+Annahmen!$B$20*D302/1000),0)</f>
        <v>1119</v>
      </c>
      <c r="N302" s="16" t="s">
        <v>102</v>
      </c>
    </row>
    <row r="303" customFormat="false" ht="15" hidden="false" customHeight="false" outlineLevel="0" collapsed="false">
      <c r="A303" s="13" t="s">
        <v>688</v>
      </c>
      <c r="B303" s="14" t="s">
        <v>689</v>
      </c>
      <c r="C303" s="15" t="n">
        <v>1200</v>
      </c>
      <c r="D303" s="15" t="n">
        <v>502</v>
      </c>
      <c r="E303" s="13" t="s">
        <v>82</v>
      </c>
      <c r="F303" s="15" t="str">
        <f aca="false">IF(C303&gt;=J303,"ja","nein")</f>
        <v>ja</v>
      </c>
      <c r="G303" s="15" t="str">
        <f aca="false">IF(C303&gt;=K303,"ja","nein")</f>
        <v>ja</v>
      </c>
      <c r="H303" s="15" t="str">
        <f aca="false">IF(C303&gt;=L303,"ja","nein")</f>
        <v>ja</v>
      </c>
      <c r="I303" s="15" t="str">
        <f aca="false">IF(C303&gt;=M303,"ja","nein")</f>
        <v>ja</v>
      </c>
      <c r="J303" s="15" t="n">
        <f aca="false">ROUND(Annahmen!$K$35*(1+Annahmen!$B$20*D303/1000),0)</f>
        <v>878</v>
      </c>
      <c r="K303" s="15" t="n">
        <f aca="false">ROUND(Annahmen!$K$36*(1+Annahmen!$B$20*D303/1000),0)</f>
        <v>1140</v>
      </c>
      <c r="L303" s="15" t="n">
        <f aca="false">ROUND(Annahmen!$K$37*(1+Annahmen!$B$20*D303/1000),0)</f>
        <v>1165</v>
      </c>
      <c r="M303" s="15" t="n">
        <f aca="false">ROUND(Annahmen!$K$38*(1+Annahmen!$B$20*D303/1000),0)</f>
        <v>1165</v>
      </c>
      <c r="N303" s="16" t="s">
        <v>102</v>
      </c>
    </row>
    <row r="304" customFormat="false" ht="15" hidden="false" customHeight="false" outlineLevel="0" collapsed="false">
      <c r="A304" s="13" t="s">
        <v>690</v>
      </c>
      <c r="B304" s="14" t="s">
        <v>691</v>
      </c>
      <c r="C304" s="15" t="n">
        <v>1200</v>
      </c>
      <c r="D304" s="15" t="n">
        <v>331</v>
      </c>
      <c r="E304" s="13" t="s">
        <v>82</v>
      </c>
      <c r="F304" s="15" t="str">
        <f aca="false">IF(C304&gt;=J304,"ja","nein")</f>
        <v>ja</v>
      </c>
      <c r="G304" s="15" t="str">
        <f aca="false">IF(C304&gt;=K304,"ja","nein")</f>
        <v>ja</v>
      </c>
      <c r="H304" s="15" t="str">
        <f aca="false">IF(C304&gt;=L304,"ja","nein")</f>
        <v>ja</v>
      </c>
      <c r="I304" s="15" t="str">
        <f aca="false">IF(C304&gt;=M304,"ja","nein")</f>
        <v>ja</v>
      </c>
      <c r="J304" s="15" t="n">
        <f aca="false">ROUND(Annahmen!$K$35*(1+Annahmen!$B$20*D304/1000),0)</f>
        <v>865</v>
      </c>
      <c r="K304" s="15" t="n">
        <f aca="false">ROUND(Annahmen!$K$36*(1+Annahmen!$B$20*D304/1000),0)</f>
        <v>1124</v>
      </c>
      <c r="L304" s="15" t="n">
        <f aca="false">ROUND(Annahmen!$K$37*(1+Annahmen!$B$20*D304/1000),0)</f>
        <v>1148</v>
      </c>
      <c r="M304" s="15" t="n">
        <f aca="false">ROUND(Annahmen!$K$38*(1+Annahmen!$B$20*D304/1000),0)</f>
        <v>1148</v>
      </c>
      <c r="N304" s="16" t="s">
        <v>102</v>
      </c>
    </row>
    <row r="305" customFormat="false" ht="15" hidden="false" customHeight="false" outlineLevel="0" collapsed="false">
      <c r="A305" s="13" t="s">
        <v>692</v>
      </c>
      <c r="B305" s="14" t="s">
        <v>693</v>
      </c>
      <c r="C305" s="15" t="n">
        <v>1200</v>
      </c>
      <c r="D305" s="15" t="n">
        <v>367</v>
      </c>
      <c r="E305" s="13" t="s">
        <v>82</v>
      </c>
      <c r="F305" s="15" t="str">
        <f aca="false">IF(C305&gt;=J305,"ja","nein")</f>
        <v>ja</v>
      </c>
      <c r="G305" s="15" t="str">
        <f aca="false">IF(C305&gt;=K305,"ja","nein")</f>
        <v>ja</v>
      </c>
      <c r="H305" s="15" t="str">
        <f aca="false">IF(C305&gt;=L305,"ja","nein")</f>
        <v>ja</v>
      </c>
      <c r="I305" s="15" t="str">
        <f aca="false">IF(C305&gt;=M305,"ja","nein")</f>
        <v>ja</v>
      </c>
      <c r="J305" s="15" t="n">
        <f aca="false">ROUND(Annahmen!$K$35*(1+Annahmen!$B$20*D305/1000),0)</f>
        <v>868</v>
      </c>
      <c r="K305" s="15" t="n">
        <f aca="false">ROUND(Annahmen!$K$36*(1+Annahmen!$B$20*D305/1000),0)</f>
        <v>1127</v>
      </c>
      <c r="L305" s="15" t="n">
        <f aca="false">ROUND(Annahmen!$K$37*(1+Annahmen!$B$20*D305/1000),0)</f>
        <v>1152</v>
      </c>
      <c r="M305" s="15" t="n">
        <f aca="false">ROUND(Annahmen!$K$38*(1+Annahmen!$B$20*D305/1000),0)</f>
        <v>1152</v>
      </c>
      <c r="N305" s="16" t="s">
        <v>102</v>
      </c>
    </row>
    <row r="306" customFormat="false" ht="15" hidden="false" customHeight="false" outlineLevel="0" collapsed="false">
      <c r="A306" s="13" t="s">
        <v>694</v>
      </c>
      <c r="B306" s="14" t="s">
        <v>695</v>
      </c>
      <c r="C306" s="15" t="n">
        <v>1200</v>
      </c>
      <c r="D306" s="15" t="n">
        <v>541</v>
      </c>
      <c r="E306" s="13" t="s">
        <v>82</v>
      </c>
      <c r="F306" s="15" t="str">
        <f aca="false">IF(C306&gt;=J306,"ja","nein")</f>
        <v>ja</v>
      </c>
      <c r="G306" s="15" t="str">
        <f aca="false">IF(C306&gt;=K306,"ja","nein")</f>
        <v>ja</v>
      </c>
      <c r="H306" s="15" t="str">
        <f aca="false">IF(C306&gt;=L306,"ja","nein")</f>
        <v>ja</v>
      </c>
      <c r="I306" s="15" t="str">
        <f aca="false">IF(C306&gt;=M306,"ja","nein")</f>
        <v>ja</v>
      </c>
      <c r="J306" s="15" t="n">
        <f aca="false">ROUND(Annahmen!$K$35*(1+Annahmen!$B$20*D306/1000),0)</f>
        <v>881</v>
      </c>
      <c r="K306" s="15" t="n">
        <f aca="false">ROUND(Annahmen!$K$36*(1+Annahmen!$B$20*D306/1000),0)</f>
        <v>1144</v>
      </c>
      <c r="L306" s="15" t="n">
        <f aca="false">ROUND(Annahmen!$K$37*(1+Annahmen!$B$20*D306/1000),0)</f>
        <v>1169</v>
      </c>
      <c r="M306" s="15" t="n">
        <f aca="false">ROUND(Annahmen!$K$38*(1+Annahmen!$B$20*D306/1000),0)</f>
        <v>1169</v>
      </c>
      <c r="N306" s="16" t="s">
        <v>102</v>
      </c>
    </row>
    <row r="307" customFormat="false" ht="15" hidden="false" customHeight="false" outlineLevel="0" collapsed="false">
      <c r="A307" s="13" t="s">
        <v>696</v>
      </c>
      <c r="B307" s="14" t="s">
        <v>697</v>
      </c>
      <c r="C307" s="15" t="n">
        <v>1160</v>
      </c>
      <c r="D307" s="15" t="n">
        <v>407</v>
      </c>
      <c r="E307" s="13" t="s">
        <v>82</v>
      </c>
      <c r="F307" s="15" t="str">
        <f aca="false">IF(C307&gt;=J307,"ja","nein")</f>
        <v>ja</v>
      </c>
      <c r="G307" s="15" t="str">
        <f aca="false">IF(C307&gt;=K307,"ja","nein")</f>
        <v>ja</v>
      </c>
      <c r="H307" s="15" t="str">
        <f aca="false">IF(C307&gt;=L307,"ja","nein")</f>
        <v>ja</v>
      </c>
      <c r="I307" s="15" t="str">
        <f aca="false">IF(C307&gt;=M307,"ja","nein")</f>
        <v>ja</v>
      </c>
      <c r="J307" s="15" t="n">
        <f aca="false">ROUND(Annahmen!$K$35*(1+Annahmen!$B$20*D307/1000),0)</f>
        <v>871</v>
      </c>
      <c r="K307" s="15" t="n">
        <f aca="false">ROUND(Annahmen!$K$36*(1+Annahmen!$B$20*D307/1000),0)</f>
        <v>1131</v>
      </c>
      <c r="L307" s="15" t="n">
        <f aca="false">ROUND(Annahmen!$K$37*(1+Annahmen!$B$20*D307/1000),0)</f>
        <v>1156</v>
      </c>
      <c r="M307" s="15" t="n">
        <f aca="false">ROUND(Annahmen!$K$38*(1+Annahmen!$B$20*D307/1000),0)</f>
        <v>1156</v>
      </c>
      <c r="N307" s="16" t="s">
        <v>86</v>
      </c>
    </row>
    <row r="308" customFormat="false" ht="15" hidden="false" customHeight="false" outlineLevel="0" collapsed="false">
      <c r="A308" s="13" t="s">
        <v>698</v>
      </c>
      <c r="B308" s="14" t="s">
        <v>699</v>
      </c>
      <c r="C308" s="15" t="n">
        <v>1150</v>
      </c>
      <c r="D308" s="15" t="n">
        <v>148</v>
      </c>
      <c r="E308" s="13" t="s">
        <v>82</v>
      </c>
      <c r="F308" s="15" t="str">
        <f aca="false">IF(C308&gt;=J308,"ja","nein")</f>
        <v>ja</v>
      </c>
      <c r="G308" s="15" t="str">
        <f aca="false">IF(C308&gt;=K308,"ja","nein")</f>
        <v>ja</v>
      </c>
      <c r="H308" s="15" t="str">
        <f aca="false">IF(C308&gt;=L308,"ja","nein")</f>
        <v>ja</v>
      </c>
      <c r="I308" s="15" t="str">
        <f aca="false">IF(C308&gt;=M308,"ja","nein")</f>
        <v>ja</v>
      </c>
      <c r="J308" s="15" t="n">
        <f aca="false">ROUND(Annahmen!$K$35*(1+Annahmen!$B$20*D308/1000),0)</f>
        <v>851</v>
      </c>
      <c r="K308" s="15" t="n">
        <f aca="false">ROUND(Annahmen!$K$36*(1+Annahmen!$B$20*D308/1000),0)</f>
        <v>1106</v>
      </c>
      <c r="L308" s="15" t="n">
        <f aca="false">ROUND(Annahmen!$K$37*(1+Annahmen!$B$20*D308/1000),0)</f>
        <v>1130</v>
      </c>
      <c r="M308" s="15" t="n">
        <f aca="false">ROUND(Annahmen!$K$38*(1+Annahmen!$B$20*D308/1000),0)</f>
        <v>1130</v>
      </c>
      <c r="N308" s="16" t="s">
        <v>102</v>
      </c>
    </row>
    <row r="309" customFormat="false" ht="15" hidden="false" customHeight="false" outlineLevel="0" collapsed="false">
      <c r="A309" s="13" t="s">
        <v>700</v>
      </c>
      <c r="B309" s="14" t="s">
        <v>701</v>
      </c>
      <c r="C309" s="15" t="n">
        <v>1100</v>
      </c>
      <c r="D309" s="15" t="n">
        <v>338</v>
      </c>
      <c r="E309" s="13" t="s">
        <v>82</v>
      </c>
      <c r="F309" s="15" t="str">
        <f aca="false">IF(C309&gt;=J309,"ja","nein")</f>
        <v>ja</v>
      </c>
      <c r="G309" s="15" t="str">
        <f aca="false">IF(C309&gt;=K309,"ja","nein")</f>
        <v>nein</v>
      </c>
      <c r="H309" s="15" t="str">
        <f aca="false">IF(C309&gt;=L309,"ja","nein")</f>
        <v>nein</v>
      </c>
      <c r="I309" s="15" t="str">
        <f aca="false">IF(C309&gt;=M309,"ja","nein")</f>
        <v>nein</v>
      </c>
      <c r="J309" s="15" t="n">
        <f aca="false">ROUND(Annahmen!$K$35*(1+Annahmen!$B$20*D309/1000),0)</f>
        <v>866</v>
      </c>
      <c r="K309" s="15" t="n">
        <f aca="false">ROUND(Annahmen!$K$36*(1+Annahmen!$B$20*D309/1000),0)</f>
        <v>1124</v>
      </c>
      <c r="L309" s="15" t="n">
        <f aca="false">ROUND(Annahmen!$K$37*(1+Annahmen!$B$20*D309/1000),0)</f>
        <v>1149</v>
      </c>
      <c r="M309" s="15" t="n">
        <f aca="false">ROUND(Annahmen!$K$38*(1+Annahmen!$B$20*D309/1000),0)</f>
        <v>1149</v>
      </c>
      <c r="N309" s="16" t="s">
        <v>102</v>
      </c>
    </row>
    <row r="310" customFormat="false" ht="15" hidden="false" customHeight="false" outlineLevel="0" collapsed="false">
      <c r="A310" s="13" t="s">
        <v>702</v>
      </c>
      <c r="B310" s="14" t="s">
        <v>703</v>
      </c>
      <c r="C310" s="15" t="n">
        <v>1000</v>
      </c>
      <c r="D310" s="15" t="n">
        <v>259</v>
      </c>
      <c r="E310" s="13" t="s">
        <v>82</v>
      </c>
      <c r="F310" s="15" t="str">
        <f aca="false">IF(C310&gt;=J310,"ja","nein")</f>
        <v>ja</v>
      </c>
      <c r="G310" s="15" t="str">
        <f aca="false">IF(C310&gt;=K310,"ja","nein")</f>
        <v>nein</v>
      </c>
      <c r="H310" s="15" t="str">
        <f aca="false">IF(C310&gt;=L310,"ja","nein")</f>
        <v>nein</v>
      </c>
      <c r="I310" s="15" t="str">
        <f aca="false">IF(C310&gt;=M310,"ja","nein")</f>
        <v>nein</v>
      </c>
      <c r="J310" s="15" t="n">
        <f aca="false">ROUND(Annahmen!$K$35*(1+Annahmen!$B$20*D310/1000),0)</f>
        <v>860</v>
      </c>
      <c r="K310" s="15" t="n">
        <f aca="false">ROUND(Annahmen!$K$36*(1+Annahmen!$B$20*D310/1000),0)</f>
        <v>1116</v>
      </c>
      <c r="L310" s="15" t="n">
        <f aca="false">ROUND(Annahmen!$K$37*(1+Annahmen!$B$20*D310/1000),0)</f>
        <v>1141</v>
      </c>
      <c r="M310" s="15" t="n">
        <f aca="false">ROUND(Annahmen!$K$38*(1+Annahmen!$B$20*D310/1000),0)</f>
        <v>1141</v>
      </c>
      <c r="N310" s="16" t="s">
        <v>102</v>
      </c>
    </row>
    <row r="311" customFormat="false" ht="15" hidden="false" customHeight="false" outlineLevel="0" collapsed="false">
      <c r="A311" s="13" t="s">
        <v>704</v>
      </c>
      <c r="B311" s="14" t="s">
        <v>705</v>
      </c>
      <c r="C311" s="15" t="n">
        <v>1000</v>
      </c>
      <c r="D311" s="15" t="n">
        <v>72</v>
      </c>
      <c r="E311" s="13" t="s">
        <v>82</v>
      </c>
      <c r="F311" s="15" t="str">
        <f aca="false">IF(C311&gt;=J311,"ja","nein")</f>
        <v>ja</v>
      </c>
      <c r="G311" s="15" t="str">
        <f aca="false">IF(C311&gt;=K311,"ja","nein")</f>
        <v>nein</v>
      </c>
      <c r="H311" s="15" t="str">
        <f aca="false">IF(C311&gt;=L311,"ja","nein")</f>
        <v>nein</v>
      </c>
      <c r="I311" s="15" t="str">
        <f aca="false">IF(C311&gt;=M311,"ja","nein")</f>
        <v>nein</v>
      </c>
      <c r="J311" s="15" t="n">
        <f aca="false">ROUND(Annahmen!$K$35*(1+Annahmen!$B$20*D311/1000),0)</f>
        <v>845</v>
      </c>
      <c r="K311" s="15" t="n">
        <f aca="false">ROUND(Annahmen!$K$36*(1+Annahmen!$B$20*D311/1000),0)</f>
        <v>1098</v>
      </c>
      <c r="L311" s="15" t="n">
        <f aca="false">ROUND(Annahmen!$K$37*(1+Annahmen!$B$20*D311/1000),0)</f>
        <v>1122</v>
      </c>
      <c r="M311" s="15" t="n">
        <f aca="false">ROUND(Annahmen!$K$38*(1+Annahmen!$B$20*D311/1000),0)</f>
        <v>1122</v>
      </c>
      <c r="N311" s="16" t="s">
        <v>86</v>
      </c>
    </row>
    <row r="312" customFormat="false" ht="15" hidden="false" customHeight="false" outlineLevel="0" collapsed="false">
      <c r="A312" s="13" t="s">
        <v>706</v>
      </c>
      <c r="B312" s="14" t="s">
        <v>707</v>
      </c>
      <c r="C312" s="15" t="n">
        <v>1000</v>
      </c>
      <c r="D312" s="15" t="n">
        <v>528</v>
      </c>
      <c r="E312" s="13" t="s">
        <v>82</v>
      </c>
      <c r="F312" s="15" t="str">
        <f aca="false">IF(C312&gt;=J312,"ja","nein")</f>
        <v>ja</v>
      </c>
      <c r="G312" s="15" t="str">
        <f aca="false">IF(C312&gt;=K312,"ja","nein")</f>
        <v>nein</v>
      </c>
      <c r="H312" s="15" t="str">
        <f aca="false">IF(C312&gt;=L312,"ja","nein")</f>
        <v>nein</v>
      </c>
      <c r="I312" s="15" t="str">
        <f aca="false">IF(C312&gt;=M312,"ja","nein")</f>
        <v>nein</v>
      </c>
      <c r="J312" s="15" t="n">
        <f aca="false">ROUND(Annahmen!$K$35*(1+Annahmen!$B$20*D312/1000),0)</f>
        <v>880</v>
      </c>
      <c r="K312" s="15" t="n">
        <f aca="false">ROUND(Annahmen!$K$36*(1+Annahmen!$B$20*D312/1000),0)</f>
        <v>1143</v>
      </c>
      <c r="L312" s="15" t="n">
        <f aca="false">ROUND(Annahmen!$K$37*(1+Annahmen!$B$20*D312/1000),0)</f>
        <v>1168</v>
      </c>
      <c r="M312" s="15" t="n">
        <f aca="false">ROUND(Annahmen!$K$38*(1+Annahmen!$B$20*D312/1000),0)</f>
        <v>1168</v>
      </c>
      <c r="N312" s="16" t="s">
        <v>102</v>
      </c>
    </row>
    <row r="313" customFormat="false" ht="15" hidden="false" customHeight="false" outlineLevel="0" collapsed="false">
      <c r="A313" s="13" t="s">
        <v>708</v>
      </c>
      <c r="B313" s="14" t="s">
        <v>709</v>
      </c>
      <c r="C313" s="15" t="n">
        <v>1000</v>
      </c>
      <c r="D313" s="15" t="n">
        <v>118</v>
      </c>
      <c r="E313" s="13" t="s">
        <v>82</v>
      </c>
      <c r="F313" s="15" t="str">
        <f aca="false">IF(C313&gt;=J313,"ja","nein")</f>
        <v>ja</v>
      </c>
      <c r="G313" s="15" t="str">
        <f aca="false">IF(C313&gt;=K313,"ja","nein")</f>
        <v>nein</v>
      </c>
      <c r="H313" s="15" t="str">
        <f aca="false">IF(C313&gt;=L313,"ja","nein")</f>
        <v>nein</v>
      </c>
      <c r="I313" s="15" t="str">
        <f aca="false">IF(C313&gt;=M313,"ja","nein")</f>
        <v>nein</v>
      </c>
      <c r="J313" s="15" t="n">
        <f aca="false">ROUND(Annahmen!$K$35*(1+Annahmen!$B$20*D313/1000),0)</f>
        <v>849</v>
      </c>
      <c r="K313" s="15" t="n">
        <f aca="false">ROUND(Annahmen!$K$36*(1+Annahmen!$B$20*D313/1000),0)</f>
        <v>1103</v>
      </c>
      <c r="L313" s="15" t="n">
        <f aca="false">ROUND(Annahmen!$K$37*(1+Annahmen!$B$20*D313/1000),0)</f>
        <v>1127</v>
      </c>
      <c r="M313" s="15" t="n">
        <f aca="false">ROUND(Annahmen!$K$38*(1+Annahmen!$B$20*D313/1000),0)</f>
        <v>1127</v>
      </c>
      <c r="N313" s="16" t="s">
        <v>102</v>
      </c>
    </row>
    <row r="314" customFormat="false" ht="15" hidden="false" customHeight="false" outlineLevel="0" collapsed="false">
      <c r="A314" s="13" t="s">
        <v>710</v>
      </c>
      <c r="B314" s="14" t="s">
        <v>711</v>
      </c>
      <c r="C314" s="15" t="n">
        <v>945</v>
      </c>
      <c r="D314" s="15" t="n">
        <v>292</v>
      </c>
      <c r="E314" s="13" t="s">
        <v>82</v>
      </c>
      <c r="F314" s="15" t="str">
        <f aca="false">IF(C314&gt;=J314,"ja","nein")</f>
        <v>ja</v>
      </c>
      <c r="G314" s="15" t="str">
        <f aca="false">IF(C314&gt;=K314,"ja","nein")</f>
        <v>nein</v>
      </c>
      <c r="H314" s="15" t="str">
        <f aca="false">IF(C314&gt;=L314,"ja","nein")</f>
        <v>nein</v>
      </c>
      <c r="I314" s="15" t="str">
        <f aca="false">IF(C314&gt;=M314,"ja","nein")</f>
        <v>nein</v>
      </c>
      <c r="J314" s="15" t="n">
        <f aca="false">ROUND(Annahmen!$K$35*(1+Annahmen!$B$20*D314/1000),0)</f>
        <v>862</v>
      </c>
      <c r="K314" s="15" t="n">
        <f aca="false">ROUND(Annahmen!$K$36*(1+Annahmen!$B$20*D314/1000),0)</f>
        <v>1120</v>
      </c>
      <c r="L314" s="15" t="n">
        <f aca="false">ROUND(Annahmen!$K$37*(1+Annahmen!$B$20*D314/1000),0)</f>
        <v>1144</v>
      </c>
      <c r="M314" s="15" t="n">
        <f aca="false">ROUND(Annahmen!$K$38*(1+Annahmen!$B$20*D314/1000),0)</f>
        <v>1144</v>
      </c>
      <c r="N314" s="16" t="s">
        <v>102</v>
      </c>
    </row>
    <row r="315" customFormat="false" ht="15" hidden="false" customHeight="false" outlineLevel="0" collapsed="false">
      <c r="A315" s="13" t="s">
        <v>712</v>
      </c>
      <c r="B315" s="14" t="s">
        <v>713</v>
      </c>
      <c r="C315" s="15" t="n">
        <v>940</v>
      </c>
      <c r="D315" s="15" t="n">
        <v>374</v>
      </c>
      <c r="E315" s="13" t="s">
        <v>82</v>
      </c>
      <c r="F315" s="15" t="str">
        <f aca="false">IF(C315&gt;=J315,"ja","nein")</f>
        <v>ja</v>
      </c>
      <c r="G315" s="15" t="str">
        <f aca="false">IF(C315&gt;=K315,"ja","nein")</f>
        <v>nein</v>
      </c>
      <c r="H315" s="15" t="str">
        <f aca="false">IF(C315&gt;=L315,"ja","nein")</f>
        <v>nein</v>
      </c>
      <c r="I315" s="15" t="str">
        <f aca="false">IF(C315&gt;=M315,"ja","nein")</f>
        <v>nein</v>
      </c>
      <c r="J315" s="15" t="n">
        <f aca="false">ROUND(Annahmen!$K$35*(1+Annahmen!$B$20*D315/1000),0)</f>
        <v>868</v>
      </c>
      <c r="K315" s="15" t="n">
        <f aca="false">ROUND(Annahmen!$K$36*(1+Annahmen!$B$20*D315/1000),0)</f>
        <v>1128</v>
      </c>
      <c r="L315" s="15" t="n">
        <f aca="false">ROUND(Annahmen!$K$37*(1+Annahmen!$B$20*D315/1000),0)</f>
        <v>1153</v>
      </c>
      <c r="M315" s="15" t="n">
        <f aca="false">ROUND(Annahmen!$K$38*(1+Annahmen!$B$20*D315/1000),0)</f>
        <v>1153</v>
      </c>
      <c r="N315" s="16" t="s">
        <v>102</v>
      </c>
    </row>
    <row r="316" customFormat="false" ht="15" hidden="false" customHeight="false" outlineLevel="0" collapsed="false">
      <c r="A316" s="13" t="s">
        <v>714</v>
      </c>
      <c r="B316" s="14" t="s">
        <v>715</v>
      </c>
      <c r="C316" s="15" t="n">
        <v>930</v>
      </c>
      <c r="D316" s="15" t="n">
        <v>381</v>
      </c>
      <c r="E316" s="13" t="s">
        <v>82</v>
      </c>
      <c r="F316" s="15" t="str">
        <f aca="false">IF(C316&gt;=J316,"ja","nein")</f>
        <v>ja</v>
      </c>
      <c r="G316" s="15" t="str">
        <f aca="false">IF(C316&gt;=K316,"ja","nein")</f>
        <v>nein</v>
      </c>
      <c r="H316" s="15" t="str">
        <f aca="false">IF(C316&gt;=L316,"ja","nein")</f>
        <v>nein</v>
      </c>
      <c r="I316" s="15" t="str">
        <f aca="false">IF(C316&gt;=M316,"ja","nein")</f>
        <v>nein</v>
      </c>
      <c r="J316" s="15" t="n">
        <f aca="false">ROUND(Annahmen!$K$35*(1+Annahmen!$B$20*D316/1000),0)</f>
        <v>869</v>
      </c>
      <c r="K316" s="15" t="n">
        <f aca="false">ROUND(Annahmen!$K$36*(1+Annahmen!$B$20*D316/1000),0)</f>
        <v>1128</v>
      </c>
      <c r="L316" s="15" t="n">
        <f aca="false">ROUND(Annahmen!$K$37*(1+Annahmen!$B$20*D316/1000),0)</f>
        <v>1153</v>
      </c>
      <c r="M316" s="15" t="n">
        <f aca="false">ROUND(Annahmen!$K$38*(1+Annahmen!$B$20*D316/1000),0)</f>
        <v>1153</v>
      </c>
      <c r="N316" s="16" t="s">
        <v>102</v>
      </c>
    </row>
    <row r="317" customFormat="false" ht="15" hidden="false" customHeight="false" outlineLevel="0" collapsed="false">
      <c r="A317" s="13" t="s">
        <v>716</v>
      </c>
      <c r="B317" s="14" t="s">
        <v>717</v>
      </c>
      <c r="C317" s="15" t="n">
        <v>914</v>
      </c>
      <c r="D317" s="15" t="n">
        <v>449</v>
      </c>
      <c r="E317" s="13" t="s">
        <v>82</v>
      </c>
      <c r="F317" s="15" t="str">
        <f aca="false">IF(C317&gt;=J317,"ja","nein")</f>
        <v>ja</v>
      </c>
      <c r="G317" s="15" t="str">
        <f aca="false">IF(C317&gt;=K317,"ja","nein")</f>
        <v>nein</v>
      </c>
      <c r="H317" s="15" t="str">
        <f aca="false">IF(C317&gt;=L317,"ja","nein")</f>
        <v>nein</v>
      </c>
      <c r="I317" s="15" t="str">
        <f aca="false">IF(C317&gt;=M317,"ja","nein")</f>
        <v>nein</v>
      </c>
      <c r="J317" s="15" t="n">
        <f aca="false">ROUND(Annahmen!$K$35*(1+Annahmen!$B$20*D317/1000),0)</f>
        <v>874</v>
      </c>
      <c r="K317" s="15" t="n">
        <f aca="false">ROUND(Annahmen!$K$36*(1+Annahmen!$B$20*D317/1000),0)</f>
        <v>1135</v>
      </c>
      <c r="L317" s="15" t="n">
        <f aca="false">ROUND(Annahmen!$K$37*(1+Annahmen!$B$20*D317/1000),0)</f>
        <v>1160</v>
      </c>
      <c r="M317" s="15" t="n">
        <f aca="false">ROUND(Annahmen!$K$38*(1+Annahmen!$B$20*D317/1000),0)</f>
        <v>1160</v>
      </c>
      <c r="N317" s="16" t="s">
        <v>102</v>
      </c>
    </row>
    <row r="318" customFormat="false" ht="15" hidden="false" customHeight="false" outlineLevel="0" collapsed="false">
      <c r="A318" s="13" t="s">
        <v>718</v>
      </c>
      <c r="B318" s="14" t="s">
        <v>719</v>
      </c>
      <c r="C318" s="15" t="n">
        <v>900</v>
      </c>
      <c r="D318" s="15" t="n">
        <v>502</v>
      </c>
      <c r="E318" s="13" t="s">
        <v>82</v>
      </c>
      <c r="F318" s="15" t="str">
        <f aca="false">IF(C318&gt;=J318,"ja","nein")</f>
        <v>ja</v>
      </c>
      <c r="G318" s="15" t="str">
        <f aca="false">IF(C318&gt;=K318,"ja","nein")</f>
        <v>nein</v>
      </c>
      <c r="H318" s="15" t="str">
        <f aca="false">IF(C318&gt;=L318,"ja","nein")</f>
        <v>nein</v>
      </c>
      <c r="I318" s="15" t="str">
        <f aca="false">IF(C318&gt;=M318,"ja","nein")</f>
        <v>nein</v>
      </c>
      <c r="J318" s="15" t="n">
        <f aca="false">ROUND(Annahmen!$K$35*(1+Annahmen!$B$20*D318/1000),0)</f>
        <v>878</v>
      </c>
      <c r="K318" s="15" t="n">
        <f aca="false">ROUND(Annahmen!$K$36*(1+Annahmen!$B$20*D318/1000),0)</f>
        <v>1140</v>
      </c>
      <c r="L318" s="15" t="n">
        <f aca="false">ROUND(Annahmen!$K$37*(1+Annahmen!$B$20*D318/1000),0)</f>
        <v>1165</v>
      </c>
      <c r="M318" s="15" t="n">
        <f aca="false">ROUND(Annahmen!$K$38*(1+Annahmen!$B$20*D318/1000),0)</f>
        <v>1165</v>
      </c>
      <c r="N318" s="16" t="s">
        <v>102</v>
      </c>
    </row>
    <row r="319" customFormat="false" ht="15" hidden="false" customHeight="false" outlineLevel="0" collapsed="false">
      <c r="A319" s="13" t="s">
        <v>720</v>
      </c>
      <c r="B319" s="14" t="s">
        <v>721</v>
      </c>
      <c r="C319" s="15" t="n">
        <v>899</v>
      </c>
      <c r="D319" s="15" t="n">
        <v>295</v>
      </c>
      <c r="E319" s="13" t="s">
        <v>82</v>
      </c>
      <c r="F319" s="15" t="str">
        <f aca="false">IF(C319&gt;=J319,"ja","nein")</f>
        <v>ja</v>
      </c>
      <c r="G319" s="15" t="str">
        <f aca="false">IF(C319&gt;=K319,"ja","nein")</f>
        <v>nein</v>
      </c>
      <c r="H319" s="15" t="str">
        <f aca="false">IF(C319&gt;=L319,"ja","nein")</f>
        <v>nein</v>
      </c>
      <c r="I319" s="15" t="str">
        <f aca="false">IF(C319&gt;=M319,"ja","nein")</f>
        <v>nein</v>
      </c>
      <c r="J319" s="15" t="n">
        <f aca="false">ROUND(Annahmen!$K$35*(1+Annahmen!$B$20*D319/1000),0)</f>
        <v>862</v>
      </c>
      <c r="K319" s="15" t="n">
        <f aca="false">ROUND(Annahmen!$K$36*(1+Annahmen!$B$20*D319/1000),0)</f>
        <v>1120</v>
      </c>
      <c r="L319" s="15" t="n">
        <f aca="false">ROUND(Annahmen!$K$37*(1+Annahmen!$B$20*D319/1000),0)</f>
        <v>1145</v>
      </c>
      <c r="M319" s="15" t="n">
        <f aca="false">ROUND(Annahmen!$K$38*(1+Annahmen!$B$20*D319/1000),0)</f>
        <v>1145</v>
      </c>
      <c r="N319" s="16" t="s">
        <v>102</v>
      </c>
    </row>
    <row r="320" customFormat="false" ht="15" hidden="false" customHeight="false" outlineLevel="0" collapsed="false">
      <c r="A320" s="13" t="s">
        <v>722</v>
      </c>
      <c r="B320" s="14" t="s">
        <v>723</v>
      </c>
      <c r="C320" s="15" t="n">
        <v>870</v>
      </c>
      <c r="D320" s="15" t="n">
        <v>407</v>
      </c>
      <c r="E320" s="13" t="s">
        <v>82</v>
      </c>
      <c r="F320" s="15" t="str">
        <f aca="false">IF(C320&gt;=J320,"ja","nein")</f>
        <v>nein</v>
      </c>
      <c r="G320" s="15" t="str">
        <f aca="false">IF(C320&gt;=K320,"ja","nein")</f>
        <v>nein</v>
      </c>
      <c r="H320" s="15" t="str">
        <f aca="false">IF(C320&gt;=L320,"ja","nein")</f>
        <v>nein</v>
      </c>
      <c r="I320" s="15" t="str">
        <f aca="false">IF(C320&gt;=M320,"ja","nein")</f>
        <v>nein</v>
      </c>
      <c r="J320" s="15" t="n">
        <f aca="false">ROUND(Annahmen!$K$35*(1+Annahmen!$B$20*D320/1000),0)</f>
        <v>871</v>
      </c>
      <c r="K320" s="15" t="n">
        <f aca="false">ROUND(Annahmen!$K$36*(1+Annahmen!$B$20*D320/1000),0)</f>
        <v>1131</v>
      </c>
      <c r="L320" s="15" t="n">
        <f aca="false">ROUND(Annahmen!$K$37*(1+Annahmen!$B$20*D320/1000),0)</f>
        <v>1156</v>
      </c>
      <c r="M320" s="15" t="n">
        <f aca="false">ROUND(Annahmen!$K$38*(1+Annahmen!$B$20*D320/1000),0)</f>
        <v>1156</v>
      </c>
      <c r="N320" s="16" t="s">
        <v>102</v>
      </c>
    </row>
    <row r="321" customFormat="false" ht="15" hidden="false" customHeight="false" outlineLevel="0" collapsed="false">
      <c r="A321" s="13" t="s">
        <v>724</v>
      </c>
      <c r="B321" s="14" t="s">
        <v>725</v>
      </c>
      <c r="C321" s="15" t="n">
        <v>864</v>
      </c>
      <c r="D321" s="15" t="n">
        <v>738</v>
      </c>
      <c r="E321" s="13" t="s">
        <v>82</v>
      </c>
      <c r="F321" s="15" t="str">
        <f aca="false">IF(C321&gt;=J321,"ja","nein")</f>
        <v>nein</v>
      </c>
      <c r="G321" s="15" t="str">
        <f aca="false">IF(C321&gt;=K321,"ja","nein")</f>
        <v>nein</v>
      </c>
      <c r="H321" s="15" t="str">
        <f aca="false">IF(C321&gt;=L321,"ja","nein")</f>
        <v>nein</v>
      </c>
      <c r="I321" s="15" t="str">
        <f aca="false">IF(C321&gt;=M321,"ja","nein")</f>
        <v>nein</v>
      </c>
      <c r="J321" s="15" t="n">
        <f aca="false">ROUND(Annahmen!$K$35*(1+Annahmen!$B$20*D321/1000),0)</f>
        <v>896</v>
      </c>
      <c r="K321" s="15" t="n">
        <f aca="false">ROUND(Annahmen!$K$36*(1+Annahmen!$B$20*D321/1000),0)</f>
        <v>1163</v>
      </c>
      <c r="L321" s="15" t="n">
        <f aca="false">ROUND(Annahmen!$K$37*(1+Annahmen!$B$20*D321/1000),0)</f>
        <v>1189</v>
      </c>
      <c r="M321" s="15" t="n">
        <f aca="false">ROUND(Annahmen!$K$38*(1+Annahmen!$B$20*D321/1000),0)</f>
        <v>1189</v>
      </c>
      <c r="N321" s="16" t="s">
        <v>102</v>
      </c>
    </row>
    <row r="322" customFormat="false" ht="15" hidden="false" customHeight="false" outlineLevel="0" collapsed="false">
      <c r="A322" s="13" t="s">
        <v>726</v>
      </c>
      <c r="B322" s="14" t="s">
        <v>727</v>
      </c>
      <c r="C322" s="15" t="n">
        <v>843</v>
      </c>
      <c r="D322" s="15" t="n">
        <v>223</v>
      </c>
      <c r="E322" s="13" t="s">
        <v>82</v>
      </c>
      <c r="F322" s="15" t="str">
        <f aca="false">IF(C322&gt;=J322,"ja","nein")</f>
        <v>nein</v>
      </c>
      <c r="G322" s="15" t="str">
        <f aca="false">IF(C322&gt;=K322,"ja","nein")</f>
        <v>nein</v>
      </c>
      <c r="H322" s="15" t="str">
        <f aca="false">IF(C322&gt;=L322,"ja","nein")</f>
        <v>nein</v>
      </c>
      <c r="I322" s="15" t="str">
        <f aca="false">IF(C322&gt;=M322,"ja","nein")</f>
        <v>nein</v>
      </c>
      <c r="J322" s="15" t="n">
        <f aca="false">ROUND(Annahmen!$K$35*(1+Annahmen!$B$20*D322/1000),0)</f>
        <v>857</v>
      </c>
      <c r="K322" s="15" t="n">
        <f aca="false">ROUND(Annahmen!$K$36*(1+Annahmen!$B$20*D322/1000),0)</f>
        <v>1113</v>
      </c>
      <c r="L322" s="15" t="n">
        <f aca="false">ROUND(Annahmen!$K$37*(1+Annahmen!$B$20*D322/1000),0)</f>
        <v>1137</v>
      </c>
      <c r="M322" s="15" t="n">
        <f aca="false">ROUND(Annahmen!$K$38*(1+Annahmen!$B$20*D322/1000),0)</f>
        <v>1137</v>
      </c>
      <c r="N322" s="16" t="s">
        <v>102</v>
      </c>
    </row>
    <row r="323" customFormat="false" ht="15" hidden="false" customHeight="false" outlineLevel="0" collapsed="false">
      <c r="A323" s="13" t="s">
        <v>728</v>
      </c>
      <c r="B323" s="14" t="s">
        <v>729</v>
      </c>
      <c r="C323" s="15" t="n">
        <v>840</v>
      </c>
      <c r="D323" s="15" t="n">
        <v>515</v>
      </c>
      <c r="E323" s="13" t="s">
        <v>82</v>
      </c>
      <c r="F323" s="15" t="str">
        <f aca="false">IF(C323&gt;=J323,"ja","nein")</f>
        <v>nein</v>
      </c>
      <c r="G323" s="15" t="str">
        <f aca="false">IF(C323&gt;=K323,"ja","nein")</f>
        <v>nein</v>
      </c>
      <c r="H323" s="15" t="str">
        <f aca="false">IF(C323&gt;=L323,"ja","nein")</f>
        <v>nein</v>
      </c>
      <c r="I323" s="15" t="str">
        <f aca="false">IF(C323&gt;=M323,"ja","nein")</f>
        <v>nein</v>
      </c>
      <c r="J323" s="15" t="n">
        <f aca="false">ROUND(Annahmen!$K$35*(1+Annahmen!$B$20*D323/1000),0)</f>
        <v>879</v>
      </c>
      <c r="K323" s="15" t="n">
        <f aca="false">ROUND(Annahmen!$K$36*(1+Annahmen!$B$20*D323/1000),0)</f>
        <v>1142</v>
      </c>
      <c r="L323" s="15" t="n">
        <f aca="false">ROUND(Annahmen!$K$37*(1+Annahmen!$B$20*D323/1000),0)</f>
        <v>1167</v>
      </c>
      <c r="M323" s="15" t="n">
        <f aca="false">ROUND(Annahmen!$K$38*(1+Annahmen!$B$20*D323/1000),0)</f>
        <v>1167</v>
      </c>
      <c r="N323" s="16" t="s">
        <v>102</v>
      </c>
    </row>
    <row r="324" customFormat="false" ht="15" hidden="false" customHeight="false" outlineLevel="0" collapsed="false">
      <c r="A324" s="13" t="s">
        <v>730</v>
      </c>
      <c r="B324" s="14" t="s">
        <v>731</v>
      </c>
      <c r="C324" s="15" t="n">
        <v>830</v>
      </c>
      <c r="D324" s="15" t="n">
        <v>505</v>
      </c>
      <c r="E324" s="13" t="s">
        <v>82</v>
      </c>
      <c r="F324" s="15" t="str">
        <f aca="false">IF(C324&gt;=J324,"ja","nein")</f>
        <v>nein</v>
      </c>
      <c r="G324" s="15" t="str">
        <f aca="false">IF(C324&gt;=K324,"ja","nein")</f>
        <v>nein</v>
      </c>
      <c r="H324" s="15" t="str">
        <f aca="false">IF(C324&gt;=L324,"ja","nein")</f>
        <v>nein</v>
      </c>
      <c r="I324" s="15" t="str">
        <f aca="false">IF(C324&gt;=M324,"ja","nein")</f>
        <v>nein</v>
      </c>
      <c r="J324" s="15" t="n">
        <f aca="false">ROUND(Annahmen!$K$35*(1+Annahmen!$B$20*D324/1000),0)</f>
        <v>878</v>
      </c>
      <c r="K324" s="15" t="n">
        <f aca="false">ROUND(Annahmen!$K$36*(1+Annahmen!$B$20*D324/1000),0)</f>
        <v>1141</v>
      </c>
      <c r="L324" s="15" t="n">
        <f aca="false">ROUND(Annahmen!$K$37*(1+Annahmen!$B$20*D324/1000),0)</f>
        <v>1166</v>
      </c>
      <c r="M324" s="15" t="n">
        <f aca="false">ROUND(Annahmen!$K$38*(1+Annahmen!$B$20*D324/1000),0)</f>
        <v>1166</v>
      </c>
      <c r="N324" s="16" t="s">
        <v>102</v>
      </c>
    </row>
    <row r="325" customFormat="false" ht="15" hidden="false" customHeight="false" outlineLevel="0" collapsed="false">
      <c r="A325" s="13" t="s">
        <v>732</v>
      </c>
      <c r="B325" s="14" t="s">
        <v>733</v>
      </c>
      <c r="C325" s="15" t="n">
        <v>800</v>
      </c>
      <c r="D325" s="15" t="n">
        <v>95</v>
      </c>
      <c r="E325" s="13" t="s">
        <v>82</v>
      </c>
      <c r="F325" s="15" t="str">
        <f aca="false">IF(C325&gt;=J325,"ja","nein")</f>
        <v>nein</v>
      </c>
      <c r="G325" s="15" t="str">
        <f aca="false">IF(C325&gt;=K325,"ja","nein")</f>
        <v>nein</v>
      </c>
      <c r="H325" s="15" t="str">
        <f aca="false">IF(C325&gt;=L325,"ja","nein")</f>
        <v>nein</v>
      </c>
      <c r="I325" s="15" t="str">
        <f aca="false">IF(C325&gt;=M325,"ja","nein")</f>
        <v>nein</v>
      </c>
      <c r="J325" s="15" t="n">
        <f aca="false">ROUND(Annahmen!$K$35*(1+Annahmen!$B$20*D325/1000),0)</f>
        <v>847</v>
      </c>
      <c r="K325" s="15" t="n">
        <f aca="false">ROUND(Annahmen!$K$36*(1+Annahmen!$B$20*D325/1000),0)</f>
        <v>1100</v>
      </c>
      <c r="L325" s="15" t="n">
        <f aca="false">ROUND(Annahmen!$K$37*(1+Annahmen!$B$20*D325/1000),0)</f>
        <v>1125</v>
      </c>
      <c r="M325" s="15" t="n">
        <f aca="false">ROUND(Annahmen!$K$38*(1+Annahmen!$B$20*D325/1000),0)</f>
        <v>1125</v>
      </c>
      <c r="N325" s="16" t="s">
        <v>102</v>
      </c>
    </row>
    <row r="326" customFormat="false" ht="15" hidden="false" customHeight="false" outlineLevel="0" collapsed="false">
      <c r="A326" s="13" t="s">
        <v>734</v>
      </c>
      <c r="B326" s="14" t="s">
        <v>735</v>
      </c>
      <c r="C326" s="15" t="n">
        <v>750</v>
      </c>
      <c r="D326" s="15" t="n">
        <v>407</v>
      </c>
      <c r="E326" s="13" t="s">
        <v>82</v>
      </c>
      <c r="F326" s="15" t="str">
        <f aca="false">IF(C326&gt;=J326,"ja","nein")</f>
        <v>nein</v>
      </c>
      <c r="G326" s="15" t="str">
        <f aca="false">IF(C326&gt;=K326,"ja","nein")</f>
        <v>nein</v>
      </c>
      <c r="H326" s="15" t="str">
        <f aca="false">IF(C326&gt;=L326,"ja","nein")</f>
        <v>nein</v>
      </c>
      <c r="I326" s="15" t="str">
        <f aca="false">IF(C326&gt;=M326,"ja","nein")</f>
        <v>nein</v>
      </c>
      <c r="J326" s="15" t="n">
        <f aca="false">ROUND(Annahmen!$K$35*(1+Annahmen!$B$20*D326/1000),0)</f>
        <v>871</v>
      </c>
      <c r="K326" s="15" t="n">
        <f aca="false">ROUND(Annahmen!$K$36*(1+Annahmen!$B$20*D326/1000),0)</f>
        <v>1131</v>
      </c>
      <c r="L326" s="15" t="n">
        <f aca="false">ROUND(Annahmen!$K$37*(1+Annahmen!$B$20*D326/1000),0)</f>
        <v>1156</v>
      </c>
      <c r="M326" s="15" t="n">
        <f aca="false">ROUND(Annahmen!$K$38*(1+Annahmen!$B$20*D326/1000),0)</f>
        <v>1156</v>
      </c>
      <c r="N326" s="16" t="s">
        <v>102</v>
      </c>
    </row>
    <row r="327" customFormat="false" ht="15" hidden="false" customHeight="false" outlineLevel="0" collapsed="false">
      <c r="A327" s="13" t="s">
        <v>736</v>
      </c>
      <c r="B327" s="14" t="s">
        <v>737</v>
      </c>
      <c r="C327" s="15" t="n">
        <v>740</v>
      </c>
      <c r="D327" s="15" t="n">
        <v>390</v>
      </c>
      <c r="E327" s="13" t="s">
        <v>82</v>
      </c>
      <c r="F327" s="15" t="str">
        <f aca="false">IF(C327&gt;=J327,"ja","nein")</f>
        <v>nein</v>
      </c>
      <c r="G327" s="15" t="str">
        <f aca="false">IF(C327&gt;=K327,"ja","nein")</f>
        <v>nein</v>
      </c>
      <c r="H327" s="15" t="str">
        <f aca="false">IF(C327&gt;=L327,"ja","nein")</f>
        <v>nein</v>
      </c>
      <c r="I327" s="15" t="str">
        <f aca="false">IF(C327&gt;=M327,"ja","nein")</f>
        <v>nein</v>
      </c>
      <c r="J327" s="15" t="n">
        <f aca="false">ROUND(Annahmen!$K$35*(1+Annahmen!$B$20*D327/1000),0)</f>
        <v>869</v>
      </c>
      <c r="K327" s="15" t="n">
        <f aca="false">ROUND(Annahmen!$K$36*(1+Annahmen!$B$20*D327/1000),0)</f>
        <v>1129</v>
      </c>
      <c r="L327" s="15" t="n">
        <f aca="false">ROUND(Annahmen!$K$37*(1+Annahmen!$B$20*D327/1000),0)</f>
        <v>1154</v>
      </c>
      <c r="M327" s="15" t="n">
        <f aca="false">ROUND(Annahmen!$K$38*(1+Annahmen!$B$20*D327/1000),0)</f>
        <v>1154</v>
      </c>
      <c r="N327" s="16" t="s">
        <v>102</v>
      </c>
    </row>
    <row r="328" customFormat="false" ht="15" hidden="false" customHeight="false" outlineLevel="0" collapsed="false">
      <c r="A328" s="13" t="s">
        <v>738</v>
      </c>
      <c r="B328" s="14" t="s">
        <v>739</v>
      </c>
      <c r="C328" s="15" t="n">
        <v>700</v>
      </c>
      <c r="D328" s="15" t="n">
        <v>338</v>
      </c>
      <c r="E328" s="13" t="s">
        <v>82</v>
      </c>
      <c r="F328" s="15" t="str">
        <f aca="false">IF(C328&gt;=J328,"ja","nein")</f>
        <v>nein</v>
      </c>
      <c r="G328" s="15" t="str">
        <f aca="false">IF(C328&gt;=K328,"ja","nein")</f>
        <v>nein</v>
      </c>
      <c r="H328" s="15" t="str">
        <f aca="false">IF(C328&gt;=L328,"ja","nein")</f>
        <v>nein</v>
      </c>
      <c r="I328" s="15" t="str">
        <f aca="false">IF(C328&gt;=M328,"ja","nein")</f>
        <v>nein</v>
      </c>
      <c r="J328" s="15" t="n">
        <f aca="false">ROUND(Annahmen!$K$35*(1+Annahmen!$B$20*D328/1000),0)</f>
        <v>866</v>
      </c>
      <c r="K328" s="15" t="n">
        <f aca="false">ROUND(Annahmen!$K$36*(1+Annahmen!$B$20*D328/1000),0)</f>
        <v>1124</v>
      </c>
      <c r="L328" s="15" t="n">
        <f aca="false">ROUND(Annahmen!$K$37*(1+Annahmen!$B$20*D328/1000),0)</f>
        <v>1149</v>
      </c>
      <c r="M328" s="15" t="n">
        <f aca="false">ROUND(Annahmen!$K$38*(1+Annahmen!$B$20*D328/1000),0)</f>
        <v>1149</v>
      </c>
      <c r="N328" s="16" t="s">
        <v>102</v>
      </c>
    </row>
    <row r="329" customFormat="false" ht="15" hidden="false" customHeight="false" outlineLevel="0" collapsed="false">
      <c r="A329" s="13" t="s">
        <v>740</v>
      </c>
      <c r="B329" s="14" t="s">
        <v>741</v>
      </c>
      <c r="C329" s="15" t="n">
        <v>660</v>
      </c>
      <c r="D329" s="15" t="n">
        <v>384</v>
      </c>
      <c r="E329" s="13" t="s">
        <v>82</v>
      </c>
      <c r="F329" s="15" t="str">
        <f aca="false">IF(C329&gt;=J329,"ja","nein")</f>
        <v>nein</v>
      </c>
      <c r="G329" s="15" t="str">
        <f aca="false">IF(C329&gt;=K329,"ja","nein")</f>
        <v>nein</v>
      </c>
      <c r="H329" s="15" t="str">
        <f aca="false">IF(C329&gt;=L329,"ja","nein")</f>
        <v>nein</v>
      </c>
      <c r="I329" s="15" t="str">
        <f aca="false">IF(C329&gt;=M329,"ja","nein")</f>
        <v>nein</v>
      </c>
      <c r="J329" s="15" t="n">
        <f aca="false">ROUND(Annahmen!$K$35*(1+Annahmen!$B$20*D329/1000),0)</f>
        <v>869</v>
      </c>
      <c r="K329" s="15" t="n">
        <f aca="false">ROUND(Annahmen!$K$36*(1+Annahmen!$B$20*D329/1000),0)</f>
        <v>1129</v>
      </c>
      <c r="L329" s="15" t="n">
        <f aca="false">ROUND(Annahmen!$K$37*(1+Annahmen!$B$20*D329/1000),0)</f>
        <v>1154</v>
      </c>
      <c r="M329" s="15" t="n">
        <f aca="false">ROUND(Annahmen!$K$38*(1+Annahmen!$B$20*D329/1000),0)</f>
        <v>1154</v>
      </c>
      <c r="N329" s="16" t="s">
        <v>102</v>
      </c>
    </row>
    <row r="330" customFormat="false" ht="15" hidden="false" customHeight="false" outlineLevel="0" collapsed="false">
      <c r="A330" s="13" t="s">
        <v>742</v>
      </c>
      <c r="B330" s="14" t="s">
        <v>743</v>
      </c>
      <c r="C330" s="15" t="n">
        <v>600</v>
      </c>
      <c r="D330" s="15" t="n">
        <v>7</v>
      </c>
      <c r="E330" s="13" t="s">
        <v>82</v>
      </c>
      <c r="F330" s="15" t="str">
        <f aca="false">IF(C330&gt;=J330,"ja","nein")</f>
        <v>nein</v>
      </c>
      <c r="G330" s="15" t="str">
        <f aca="false">IF(C330&gt;=K330,"ja","nein")</f>
        <v>nein</v>
      </c>
      <c r="H330" s="15" t="str">
        <f aca="false">IF(C330&gt;=L330,"ja","nein")</f>
        <v>nein</v>
      </c>
      <c r="I330" s="15" t="str">
        <f aca="false">IF(C330&gt;=M330,"ja","nein")</f>
        <v>nein</v>
      </c>
      <c r="J330" s="15" t="n">
        <f aca="false">ROUND(Annahmen!$K$35*(1+Annahmen!$B$20*D330/1000),0)</f>
        <v>841</v>
      </c>
      <c r="K330" s="15" t="n">
        <f aca="false">ROUND(Annahmen!$K$36*(1+Annahmen!$B$20*D330/1000),0)</f>
        <v>1092</v>
      </c>
      <c r="L330" s="15" t="n">
        <f aca="false">ROUND(Annahmen!$K$37*(1+Annahmen!$B$20*D330/1000),0)</f>
        <v>1116</v>
      </c>
      <c r="M330" s="15" t="n">
        <f aca="false">ROUND(Annahmen!$K$38*(1+Annahmen!$B$20*D330/1000),0)</f>
        <v>1116</v>
      </c>
      <c r="N330" s="16" t="s">
        <v>102</v>
      </c>
    </row>
    <row r="331" customFormat="false" ht="15" hidden="false" customHeight="false" outlineLevel="0" collapsed="false">
      <c r="A331" s="11" t="s">
        <v>744</v>
      </c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</row>
    <row r="332" customFormat="false" ht="15" hidden="false" customHeight="false" outlineLevel="0" collapsed="false">
      <c r="A332" s="13" t="s">
        <v>745</v>
      </c>
      <c r="B332" s="14" t="s">
        <v>746</v>
      </c>
      <c r="C332" s="15" t="n">
        <v>4215</v>
      </c>
      <c r="D332" s="15" t="n">
        <v>392</v>
      </c>
      <c r="E332" s="13" t="s">
        <v>82</v>
      </c>
      <c r="F332" s="15" t="str">
        <f aca="false">IF(C332&gt;=J332,"ja","nein")</f>
        <v>ja</v>
      </c>
      <c r="G332" s="15" t="str">
        <f aca="false">IF(C332&gt;=K332,"ja","nein")</f>
        <v>ja</v>
      </c>
      <c r="H332" s="15" t="str">
        <f aca="false">IF(C332&gt;=L332,"ja","nein")</f>
        <v>ja</v>
      </c>
      <c r="I332" s="15" t="str">
        <f aca="false">IF(C332&gt;=M332,"ja","nein")</f>
        <v>ja</v>
      </c>
      <c r="J332" s="15" t="n">
        <f aca="false">ROUND(Annahmen!$K$35*(1+Annahmen!$B$20*D332/1000),0)</f>
        <v>870</v>
      </c>
      <c r="K332" s="15" t="n">
        <f aca="false">ROUND(Annahmen!$K$36*(1+Annahmen!$B$20*D332/1000),0)</f>
        <v>1129</v>
      </c>
      <c r="L332" s="15" t="n">
        <f aca="false">ROUND(Annahmen!$K$37*(1+Annahmen!$B$20*D332/1000),0)</f>
        <v>1154</v>
      </c>
      <c r="M332" s="15" t="n">
        <f aca="false">ROUND(Annahmen!$K$38*(1+Annahmen!$B$20*D332/1000),0)</f>
        <v>1154</v>
      </c>
      <c r="N332" s="16" t="s">
        <v>83</v>
      </c>
    </row>
    <row r="333" customFormat="false" ht="15" hidden="false" customHeight="false" outlineLevel="0" collapsed="false">
      <c r="A333" s="13" t="s">
        <v>747</v>
      </c>
      <c r="B333" s="14" t="s">
        <v>748</v>
      </c>
      <c r="C333" s="15" t="n">
        <v>4000</v>
      </c>
      <c r="D333" s="15" t="n">
        <v>821</v>
      </c>
      <c r="E333" s="13" t="s">
        <v>82</v>
      </c>
      <c r="F333" s="15" t="str">
        <f aca="false">IF(C333&gt;=J333,"ja","nein")</f>
        <v>ja</v>
      </c>
      <c r="G333" s="15" t="str">
        <f aca="false">IF(C333&gt;=K333,"ja","nein")</f>
        <v>ja</v>
      </c>
      <c r="H333" s="15" t="str">
        <f aca="false">IF(C333&gt;=L333,"ja","nein")</f>
        <v>ja</v>
      </c>
      <c r="I333" s="15" t="str">
        <f aca="false">IF(C333&gt;=M333,"ja","nein")</f>
        <v>ja</v>
      </c>
      <c r="J333" s="15" t="n">
        <f aca="false">ROUND(Annahmen!$K$35*(1+Annahmen!$B$20*D333/1000),0)</f>
        <v>902</v>
      </c>
      <c r="K333" s="15" t="n">
        <f aca="false">ROUND(Annahmen!$K$36*(1+Annahmen!$B$20*D333/1000),0)</f>
        <v>1172</v>
      </c>
      <c r="L333" s="15" t="n">
        <f aca="false">ROUND(Annahmen!$K$37*(1+Annahmen!$B$20*D333/1000),0)</f>
        <v>1197</v>
      </c>
      <c r="M333" s="15" t="n">
        <f aca="false">ROUND(Annahmen!$K$38*(1+Annahmen!$B$20*D333/1000),0)</f>
        <v>1197</v>
      </c>
      <c r="N333" s="16" t="s">
        <v>83</v>
      </c>
    </row>
    <row r="334" customFormat="false" ht="15" hidden="false" customHeight="false" outlineLevel="0" collapsed="false">
      <c r="A334" s="13" t="s">
        <v>749</v>
      </c>
      <c r="B334" s="14" t="s">
        <v>750</v>
      </c>
      <c r="C334" s="15" t="n">
        <v>3900</v>
      </c>
      <c r="D334" s="15" t="n">
        <v>885</v>
      </c>
      <c r="E334" s="13" t="s">
        <v>82</v>
      </c>
      <c r="F334" s="15" t="str">
        <f aca="false">IF(C334&gt;=J334,"ja","nein")</f>
        <v>ja</v>
      </c>
      <c r="G334" s="15" t="str">
        <f aca="false">IF(C334&gt;=K334,"ja","nein")</f>
        <v>ja</v>
      </c>
      <c r="H334" s="15" t="str">
        <f aca="false">IF(C334&gt;=L334,"ja","nein")</f>
        <v>ja</v>
      </c>
      <c r="I334" s="15" t="str">
        <f aca="false">IF(C334&gt;=M334,"ja","nein")</f>
        <v>ja</v>
      </c>
      <c r="J334" s="15" t="n">
        <f aca="false">ROUND(Annahmen!$K$35*(1+Annahmen!$B$20*D334/1000),0)</f>
        <v>907</v>
      </c>
      <c r="K334" s="15" t="n">
        <f aca="false">ROUND(Annahmen!$K$36*(1+Annahmen!$B$20*D334/1000),0)</f>
        <v>1178</v>
      </c>
      <c r="L334" s="15" t="n">
        <f aca="false">ROUND(Annahmen!$K$37*(1+Annahmen!$B$20*D334/1000),0)</f>
        <v>1204</v>
      </c>
      <c r="M334" s="15" t="n">
        <f aca="false">ROUND(Annahmen!$K$38*(1+Annahmen!$B$20*D334/1000),0)</f>
        <v>1204</v>
      </c>
      <c r="N334" s="16" t="s">
        <v>83</v>
      </c>
    </row>
    <row r="335" customFormat="false" ht="15" hidden="false" customHeight="false" outlineLevel="0" collapsed="false">
      <c r="A335" s="13" t="s">
        <v>751</v>
      </c>
      <c r="B335" s="14" t="s">
        <v>752</v>
      </c>
      <c r="C335" s="15" t="n">
        <v>3860</v>
      </c>
      <c r="D335" s="15" t="n">
        <v>587</v>
      </c>
      <c r="E335" s="13" t="s">
        <v>82</v>
      </c>
      <c r="F335" s="15" t="str">
        <f aca="false">IF(C335&gt;=J335,"ja","nein")</f>
        <v>ja</v>
      </c>
      <c r="G335" s="15" t="str">
        <f aca="false">IF(C335&gt;=K335,"ja","nein")</f>
        <v>ja</v>
      </c>
      <c r="H335" s="15" t="str">
        <f aca="false">IF(C335&gt;=L335,"ja","nein")</f>
        <v>ja</v>
      </c>
      <c r="I335" s="15" t="str">
        <f aca="false">IF(C335&gt;=M335,"ja","nein")</f>
        <v>ja</v>
      </c>
      <c r="J335" s="15" t="n">
        <f aca="false">ROUND(Annahmen!$K$35*(1+Annahmen!$B$20*D335/1000),0)</f>
        <v>884</v>
      </c>
      <c r="K335" s="15" t="n">
        <f aca="false">ROUND(Annahmen!$K$36*(1+Annahmen!$B$20*D335/1000),0)</f>
        <v>1149</v>
      </c>
      <c r="L335" s="15" t="n">
        <f aca="false">ROUND(Annahmen!$K$37*(1+Annahmen!$B$20*D335/1000),0)</f>
        <v>1174</v>
      </c>
      <c r="M335" s="15" t="n">
        <f aca="false">ROUND(Annahmen!$K$38*(1+Annahmen!$B$20*D335/1000),0)</f>
        <v>1174</v>
      </c>
      <c r="N335" s="16" t="s">
        <v>86</v>
      </c>
    </row>
    <row r="336" customFormat="false" ht="15" hidden="false" customHeight="false" outlineLevel="0" collapsed="false">
      <c r="A336" s="13" t="s">
        <v>753</v>
      </c>
      <c r="B336" s="14" t="s">
        <v>754</v>
      </c>
      <c r="C336" s="15" t="n">
        <v>3650</v>
      </c>
      <c r="D336" s="15" t="n">
        <v>291</v>
      </c>
      <c r="E336" s="13" t="s">
        <v>82</v>
      </c>
      <c r="F336" s="15" t="str">
        <f aca="false">IF(C336&gt;=J336,"ja","nein")</f>
        <v>ja</v>
      </c>
      <c r="G336" s="15" t="str">
        <f aca="false">IF(C336&gt;=K336,"ja","nein")</f>
        <v>ja</v>
      </c>
      <c r="H336" s="15" t="str">
        <f aca="false">IF(C336&gt;=L336,"ja","nein")</f>
        <v>ja</v>
      </c>
      <c r="I336" s="15" t="str">
        <f aca="false">IF(C336&gt;=M336,"ja","nein")</f>
        <v>ja</v>
      </c>
      <c r="J336" s="15" t="n">
        <f aca="false">ROUND(Annahmen!$K$35*(1+Annahmen!$B$20*D336/1000),0)</f>
        <v>862</v>
      </c>
      <c r="K336" s="15" t="n">
        <f aca="false">ROUND(Annahmen!$K$36*(1+Annahmen!$B$20*D336/1000),0)</f>
        <v>1120</v>
      </c>
      <c r="L336" s="15" t="n">
        <f aca="false">ROUND(Annahmen!$K$37*(1+Annahmen!$B$20*D336/1000),0)</f>
        <v>1144</v>
      </c>
      <c r="M336" s="15" t="n">
        <f aca="false">ROUND(Annahmen!$K$38*(1+Annahmen!$B$20*D336/1000),0)</f>
        <v>1144</v>
      </c>
      <c r="N336" s="16" t="s">
        <v>83</v>
      </c>
    </row>
    <row r="337" customFormat="false" ht="15" hidden="false" customHeight="false" outlineLevel="0" collapsed="false">
      <c r="A337" s="13" t="s">
        <v>755</v>
      </c>
      <c r="B337" s="14" t="s">
        <v>756</v>
      </c>
      <c r="C337" s="15" t="n">
        <v>3500</v>
      </c>
      <c r="D337" s="15" t="n">
        <v>499</v>
      </c>
      <c r="E337" s="13" t="s">
        <v>82</v>
      </c>
      <c r="F337" s="15" t="str">
        <f aca="false">IF(C337&gt;=J337,"ja","nein")</f>
        <v>ja</v>
      </c>
      <c r="G337" s="15" t="str">
        <f aca="false">IF(C337&gt;=K337,"ja","nein")</f>
        <v>ja</v>
      </c>
      <c r="H337" s="15" t="str">
        <f aca="false">IF(C337&gt;=L337,"ja","nein")</f>
        <v>ja</v>
      </c>
      <c r="I337" s="15" t="str">
        <f aca="false">IF(C337&gt;=M337,"ja","nein")</f>
        <v>ja</v>
      </c>
      <c r="J337" s="15" t="n">
        <f aca="false">ROUND(Annahmen!$K$35*(1+Annahmen!$B$20*D337/1000),0)</f>
        <v>878</v>
      </c>
      <c r="K337" s="15" t="n">
        <f aca="false">ROUND(Annahmen!$K$36*(1+Annahmen!$B$20*D337/1000),0)</f>
        <v>1140</v>
      </c>
      <c r="L337" s="15" t="n">
        <f aca="false">ROUND(Annahmen!$K$37*(1+Annahmen!$B$20*D337/1000),0)</f>
        <v>1165</v>
      </c>
      <c r="M337" s="15" t="n">
        <f aca="false">ROUND(Annahmen!$K$38*(1+Annahmen!$B$20*D337/1000),0)</f>
        <v>1165</v>
      </c>
      <c r="N337" s="16" t="s">
        <v>83</v>
      </c>
    </row>
    <row r="338" customFormat="false" ht="15" hidden="false" customHeight="false" outlineLevel="0" collapsed="false">
      <c r="A338" s="13" t="s">
        <v>757</v>
      </c>
      <c r="B338" s="14" t="s">
        <v>758</v>
      </c>
      <c r="C338" s="15" t="n">
        <v>3500</v>
      </c>
      <c r="D338" s="15" t="n">
        <v>529</v>
      </c>
      <c r="E338" s="13" t="s">
        <v>82</v>
      </c>
      <c r="F338" s="15" t="str">
        <f aca="false">IF(C338&gt;=J338,"ja","nein")</f>
        <v>ja</v>
      </c>
      <c r="G338" s="15" t="str">
        <f aca="false">IF(C338&gt;=K338,"ja","nein")</f>
        <v>ja</v>
      </c>
      <c r="H338" s="15" t="str">
        <f aca="false">IF(C338&gt;=L338,"ja","nein")</f>
        <v>ja</v>
      </c>
      <c r="I338" s="15" t="str">
        <f aca="false">IF(C338&gt;=M338,"ja","nein")</f>
        <v>ja</v>
      </c>
      <c r="J338" s="15" t="n">
        <f aca="false">ROUND(Annahmen!$K$35*(1+Annahmen!$B$20*D338/1000),0)</f>
        <v>880</v>
      </c>
      <c r="K338" s="15" t="n">
        <f aca="false">ROUND(Annahmen!$K$36*(1+Annahmen!$B$20*D338/1000),0)</f>
        <v>1143</v>
      </c>
      <c r="L338" s="15" t="n">
        <f aca="false">ROUND(Annahmen!$K$37*(1+Annahmen!$B$20*D338/1000),0)</f>
        <v>1168</v>
      </c>
      <c r="M338" s="15" t="n">
        <f aca="false">ROUND(Annahmen!$K$38*(1+Annahmen!$B$20*D338/1000),0)</f>
        <v>1168</v>
      </c>
      <c r="N338" s="16" t="s">
        <v>86</v>
      </c>
    </row>
    <row r="339" customFormat="false" ht="15" hidden="false" customHeight="false" outlineLevel="0" collapsed="false">
      <c r="A339" s="13" t="s">
        <v>759</v>
      </c>
      <c r="B339" s="14" t="s">
        <v>760</v>
      </c>
      <c r="C339" s="15" t="n">
        <v>3500</v>
      </c>
      <c r="D339" s="15" t="n">
        <v>74</v>
      </c>
      <c r="E339" s="13" t="s">
        <v>82</v>
      </c>
      <c r="F339" s="15" t="str">
        <f aca="false">IF(C339&gt;=J339,"ja","nein")</f>
        <v>ja</v>
      </c>
      <c r="G339" s="15" t="str">
        <f aca="false">IF(C339&gt;=K339,"ja","nein")</f>
        <v>ja</v>
      </c>
      <c r="H339" s="15" t="str">
        <f aca="false">IF(C339&gt;=L339,"ja","nein")</f>
        <v>ja</v>
      </c>
      <c r="I339" s="15" t="str">
        <f aca="false">IF(C339&gt;=M339,"ja","nein")</f>
        <v>ja</v>
      </c>
      <c r="J339" s="15" t="n">
        <f aca="false">ROUND(Annahmen!$K$35*(1+Annahmen!$B$20*D339/1000),0)</f>
        <v>846</v>
      </c>
      <c r="K339" s="15" t="n">
        <f aca="false">ROUND(Annahmen!$K$36*(1+Annahmen!$B$20*D339/1000),0)</f>
        <v>1098</v>
      </c>
      <c r="L339" s="15" t="n">
        <f aca="false">ROUND(Annahmen!$K$37*(1+Annahmen!$B$20*D339/1000),0)</f>
        <v>1122</v>
      </c>
      <c r="M339" s="15" t="n">
        <f aca="false">ROUND(Annahmen!$K$38*(1+Annahmen!$B$20*D339/1000),0)</f>
        <v>1122</v>
      </c>
      <c r="N339" s="16" t="s">
        <v>83</v>
      </c>
    </row>
    <row r="340" customFormat="false" ht="15" hidden="false" customHeight="false" outlineLevel="0" collapsed="false">
      <c r="A340" s="13" t="s">
        <v>761</v>
      </c>
      <c r="B340" s="14" t="s">
        <v>762</v>
      </c>
      <c r="C340" s="15" t="n">
        <v>3100</v>
      </c>
      <c r="D340" s="15" t="n">
        <v>162</v>
      </c>
      <c r="E340" s="13" t="s">
        <v>82</v>
      </c>
      <c r="F340" s="15" t="str">
        <f aca="false">IF(C340&gt;=J340,"ja","nein")</f>
        <v>ja</v>
      </c>
      <c r="G340" s="15" t="str">
        <f aca="false">IF(C340&gt;=K340,"ja","nein")</f>
        <v>ja</v>
      </c>
      <c r="H340" s="15" t="str">
        <f aca="false">IF(C340&gt;=L340,"ja","nein")</f>
        <v>ja</v>
      </c>
      <c r="I340" s="15" t="str">
        <f aca="false">IF(C340&gt;=M340,"ja","nein")</f>
        <v>ja</v>
      </c>
      <c r="J340" s="15" t="n">
        <f aca="false">ROUND(Annahmen!$K$35*(1+Annahmen!$B$20*D340/1000),0)</f>
        <v>852</v>
      </c>
      <c r="K340" s="15" t="n">
        <f aca="false">ROUND(Annahmen!$K$36*(1+Annahmen!$B$20*D340/1000),0)</f>
        <v>1107</v>
      </c>
      <c r="L340" s="15" t="n">
        <f aca="false">ROUND(Annahmen!$K$37*(1+Annahmen!$B$20*D340/1000),0)</f>
        <v>1131</v>
      </c>
      <c r="M340" s="15" t="n">
        <f aca="false">ROUND(Annahmen!$K$38*(1+Annahmen!$B$20*D340/1000),0)</f>
        <v>1131</v>
      </c>
      <c r="N340" s="16" t="s">
        <v>83</v>
      </c>
    </row>
    <row r="341" customFormat="false" ht="15" hidden="false" customHeight="false" outlineLevel="0" collapsed="false">
      <c r="A341" s="13" t="s">
        <v>763</v>
      </c>
      <c r="B341" s="14" t="s">
        <v>764</v>
      </c>
      <c r="C341" s="15" t="n">
        <v>3100</v>
      </c>
      <c r="D341" s="15" t="n">
        <v>325</v>
      </c>
      <c r="E341" s="13" t="s">
        <v>82</v>
      </c>
      <c r="F341" s="15" t="str">
        <f aca="false">IF(C341&gt;=J341,"ja","nein")</f>
        <v>ja</v>
      </c>
      <c r="G341" s="15" t="str">
        <f aca="false">IF(C341&gt;=K341,"ja","nein")</f>
        <v>ja</v>
      </c>
      <c r="H341" s="15" t="str">
        <f aca="false">IF(C341&gt;=L341,"ja","nein")</f>
        <v>ja</v>
      </c>
      <c r="I341" s="15" t="str">
        <f aca="false">IF(C341&gt;=M341,"ja","nein")</f>
        <v>ja</v>
      </c>
      <c r="J341" s="15" t="n">
        <f aca="false">ROUND(Annahmen!$K$35*(1+Annahmen!$B$20*D341/1000),0)</f>
        <v>865</v>
      </c>
      <c r="K341" s="15" t="n">
        <f aca="false">ROUND(Annahmen!$K$36*(1+Annahmen!$B$20*D341/1000),0)</f>
        <v>1123</v>
      </c>
      <c r="L341" s="15" t="n">
        <f aca="false">ROUND(Annahmen!$K$37*(1+Annahmen!$B$20*D341/1000),0)</f>
        <v>1148</v>
      </c>
      <c r="M341" s="15" t="n">
        <f aca="false">ROUND(Annahmen!$K$38*(1+Annahmen!$B$20*D341/1000),0)</f>
        <v>1148</v>
      </c>
      <c r="N341" s="16" t="s">
        <v>83</v>
      </c>
    </row>
    <row r="342" customFormat="false" ht="15" hidden="false" customHeight="false" outlineLevel="0" collapsed="false">
      <c r="A342" s="13" t="s">
        <v>765</v>
      </c>
      <c r="B342" s="14" t="s">
        <v>766</v>
      </c>
      <c r="C342" s="15" t="n">
        <v>3050</v>
      </c>
      <c r="D342" s="15" t="n">
        <v>1302</v>
      </c>
      <c r="E342" s="13" t="s">
        <v>82</v>
      </c>
      <c r="F342" s="15" t="str">
        <f aca="false">IF(C342&gt;=J342,"ja","nein")</f>
        <v>ja</v>
      </c>
      <c r="G342" s="15" t="str">
        <f aca="false">IF(C342&gt;=K342,"ja","nein")</f>
        <v>ja</v>
      </c>
      <c r="H342" s="15" t="str">
        <f aca="false">IF(C342&gt;=L342,"ja","nein")</f>
        <v>ja</v>
      </c>
      <c r="I342" s="15" t="str">
        <f aca="false">IF(C342&gt;=M342,"ja","nein")</f>
        <v>ja</v>
      </c>
      <c r="J342" s="15" t="n">
        <f aca="false">ROUND(Annahmen!$K$35*(1+Annahmen!$B$20*D342/1000),0)</f>
        <v>938</v>
      </c>
      <c r="K342" s="15" t="n">
        <f aca="false">ROUND(Annahmen!$K$36*(1+Annahmen!$B$20*D342/1000),0)</f>
        <v>1219</v>
      </c>
      <c r="L342" s="15" t="n">
        <f aca="false">ROUND(Annahmen!$K$37*(1+Annahmen!$B$20*D342/1000),0)</f>
        <v>1246</v>
      </c>
      <c r="M342" s="15" t="n">
        <f aca="false">ROUND(Annahmen!$K$38*(1+Annahmen!$B$20*D342/1000),0)</f>
        <v>1246</v>
      </c>
      <c r="N342" s="16" t="s">
        <v>86</v>
      </c>
    </row>
    <row r="343" customFormat="false" ht="15" hidden="false" customHeight="false" outlineLevel="0" collapsed="false">
      <c r="A343" s="13" t="s">
        <v>767</v>
      </c>
      <c r="B343" s="14" t="s">
        <v>768</v>
      </c>
      <c r="C343" s="15" t="n">
        <v>3013</v>
      </c>
      <c r="D343" s="15" t="n">
        <v>1090</v>
      </c>
      <c r="E343" s="13" t="s">
        <v>82</v>
      </c>
      <c r="F343" s="15" t="str">
        <f aca="false">IF(C343&gt;=J343,"ja","nein")</f>
        <v>ja</v>
      </c>
      <c r="G343" s="15" t="str">
        <f aca="false">IF(C343&gt;=K343,"ja","nein")</f>
        <v>ja</v>
      </c>
      <c r="H343" s="15" t="str">
        <f aca="false">IF(C343&gt;=L343,"ja","nein")</f>
        <v>ja</v>
      </c>
      <c r="I343" s="15" t="str">
        <f aca="false">IF(C343&gt;=M343,"ja","nein")</f>
        <v>ja</v>
      </c>
      <c r="J343" s="15" t="n">
        <f aca="false">ROUND(Annahmen!$K$35*(1+Annahmen!$B$20*D343/1000),0)</f>
        <v>922</v>
      </c>
      <c r="K343" s="15" t="n">
        <f aca="false">ROUND(Annahmen!$K$36*(1+Annahmen!$B$20*D343/1000),0)</f>
        <v>1198</v>
      </c>
      <c r="L343" s="15" t="n">
        <f aca="false">ROUND(Annahmen!$K$37*(1+Annahmen!$B$20*D343/1000),0)</f>
        <v>1224</v>
      </c>
      <c r="M343" s="15" t="n">
        <f aca="false">ROUND(Annahmen!$K$38*(1+Annahmen!$B$20*D343/1000),0)</f>
        <v>1224</v>
      </c>
      <c r="N343" s="16" t="s">
        <v>83</v>
      </c>
    </row>
    <row r="344" customFormat="false" ht="15" hidden="false" customHeight="false" outlineLevel="0" collapsed="false">
      <c r="A344" s="13" t="s">
        <v>769</v>
      </c>
      <c r="B344" s="14" t="s">
        <v>770</v>
      </c>
      <c r="C344" s="15" t="n">
        <v>3000</v>
      </c>
      <c r="D344" s="15" t="n">
        <v>1260</v>
      </c>
      <c r="E344" s="13" t="s">
        <v>82</v>
      </c>
      <c r="F344" s="15" t="str">
        <f aca="false">IF(C344&gt;=J344,"ja","nein")</f>
        <v>ja</v>
      </c>
      <c r="G344" s="15" t="str">
        <f aca="false">IF(C344&gt;=K344,"ja","nein")</f>
        <v>ja</v>
      </c>
      <c r="H344" s="15" t="str">
        <f aca="false">IF(C344&gt;=L344,"ja","nein")</f>
        <v>ja</v>
      </c>
      <c r="I344" s="15" t="str">
        <f aca="false">IF(C344&gt;=M344,"ja","nein")</f>
        <v>ja</v>
      </c>
      <c r="J344" s="15" t="n">
        <f aca="false">ROUND(Annahmen!$K$35*(1+Annahmen!$B$20*D344/1000),0)</f>
        <v>935</v>
      </c>
      <c r="K344" s="15" t="n">
        <f aca="false">ROUND(Annahmen!$K$36*(1+Annahmen!$B$20*D344/1000),0)</f>
        <v>1215</v>
      </c>
      <c r="L344" s="15" t="n">
        <f aca="false">ROUND(Annahmen!$K$37*(1+Annahmen!$B$20*D344/1000),0)</f>
        <v>1241</v>
      </c>
      <c r="M344" s="15" t="n">
        <f aca="false">ROUND(Annahmen!$K$38*(1+Annahmen!$B$20*D344/1000),0)</f>
        <v>1241</v>
      </c>
      <c r="N344" s="16" t="s">
        <v>86</v>
      </c>
    </row>
    <row r="345" customFormat="false" ht="15" hidden="false" customHeight="false" outlineLevel="0" collapsed="false">
      <c r="A345" s="13" t="s">
        <v>771</v>
      </c>
      <c r="B345" s="14" t="s">
        <v>772</v>
      </c>
      <c r="C345" s="15" t="n">
        <v>3000</v>
      </c>
      <c r="D345" s="15" t="n">
        <v>218</v>
      </c>
      <c r="E345" s="13" t="s">
        <v>82</v>
      </c>
      <c r="F345" s="15" t="str">
        <f aca="false">IF(C345&gt;=J345,"ja","nein")</f>
        <v>ja</v>
      </c>
      <c r="G345" s="15" t="str">
        <f aca="false">IF(C345&gt;=K345,"ja","nein")</f>
        <v>ja</v>
      </c>
      <c r="H345" s="15" t="str">
        <f aca="false">IF(C345&gt;=L345,"ja","nein")</f>
        <v>ja</v>
      </c>
      <c r="I345" s="15" t="str">
        <f aca="false">IF(C345&gt;=M345,"ja","nein")</f>
        <v>ja</v>
      </c>
      <c r="J345" s="15" t="n">
        <f aca="false">ROUND(Annahmen!$K$35*(1+Annahmen!$B$20*D345/1000),0)</f>
        <v>856</v>
      </c>
      <c r="K345" s="15" t="n">
        <f aca="false">ROUND(Annahmen!$K$36*(1+Annahmen!$B$20*D345/1000),0)</f>
        <v>1112</v>
      </c>
      <c r="L345" s="15" t="n">
        <f aca="false">ROUND(Annahmen!$K$37*(1+Annahmen!$B$20*D345/1000),0)</f>
        <v>1137</v>
      </c>
      <c r="M345" s="15" t="n">
        <f aca="false">ROUND(Annahmen!$K$38*(1+Annahmen!$B$20*D345/1000),0)</f>
        <v>1137</v>
      </c>
      <c r="N345" s="16" t="s">
        <v>83</v>
      </c>
    </row>
    <row r="346" customFormat="false" ht="15" hidden="false" customHeight="false" outlineLevel="0" collapsed="false">
      <c r="A346" s="13" t="s">
        <v>773</v>
      </c>
      <c r="B346" s="14" t="s">
        <v>774</v>
      </c>
      <c r="C346" s="15" t="n">
        <v>2963</v>
      </c>
      <c r="D346" s="15" t="n">
        <v>12</v>
      </c>
      <c r="E346" s="13" t="s">
        <v>82</v>
      </c>
      <c r="F346" s="15" t="str">
        <f aca="false">IF(C346&gt;=J346,"ja","nein")</f>
        <v>ja</v>
      </c>
      <c r="G346" s="15" t="str">
        <f aca="false">IF(C346&gt;=K346,"ja","nein")</f>
        <v>ja</v>
      </c>
      <c r="H346" s="15" t="str">
        <f aca="false">IF(C346&gt;=L346,"ja","nein")</f>
        <v>ja</v>
      </c>
      <c r="I346" s="15" t="str">
        <f aca="false">IF(C346&gt;=M346,"ja","nein")</f>
        <v>ja</v>
      </c>
      <c r="J346" s="15" t="n">
        <f aca="false">ROUND(Annahmen!$K$35*(1+Annahmen!$B$20*D346/1000),0)</f>
        <v>841</v>
      </c>
      <c r="K346" s="15" t="n">
        <f aca="false">ROUND(Annahmen!$K$36*(1+Annahmen!$B$20*D346/1000),0)</f>
        <v>1092</v>
      </c>
      <c r="L346" s="15" t="n">
        <f aca="false">ROUND(Annahmen!$K$37*(1+Annahmen!$B$20*D346/1000),0)</f>
        <v>1116</v>
      </c>
      <c r="M346" s="15" t="n">
        <f aca="false">ROUND(Annahmen!$K$38*(1+Annahmen!$B$20*D346/1000),0)</f>
        <v>1116</v>
      </c>
      <c r="N346" s="16" t="s">
        <v>83</v>
      </c>
    </row>
    <row r="347" customFormat="false" ht="15" hidden="false" customHeight="false" outlineLevel="0" collapsed="false">
      <c r="A347" s="13" t="s">
        <v>775</v>
      </c>
      <c r="B347" s="14" t="s">
        <v>776</v>
      </c>
      <c r="C347" s="15" t="n">
        <v>2900</v>
      </c>
      <c r="D347" s="15" t="n">
        <v>90</v>
      </c>
      <c r="E347" s="13" t="s">
        <v>82</v>
      </c>
      <c r="F347" s="15" t="str">
        <f aca="false">IF(C347&gt;=J347,"ja","nein")</f>
        <v>ja</v>
      </c>
      <c r="G347" s="15" t="str">
        <f aca="false">IF(C347&gt;=K347,"ja","nein")</f>
        <v>ja</v>
      </c>
      <c r="H347" s="15" t="str">
        <f aca="false">IF(C347&gt;=L347,"ja","nein")</f>
        <v>ja</v>
      </c>
      <c r="I347" s="15" t="str">
        <f aca="false">IF(C347&gt;=M347,"ja","nein")</f>
        <v>ja</v>
      </c>
      <c r="J347" s="15" t="n">
        <f aca="false">ROUND(Annahmen!$K$35*(1+Annahmen!$B$20*D347/1000),0)</f>
        <v>847</v>
      </c>
      <c r="K347" s="15" t="n">
        <f aca="false">ROUND(Annahmen!$K$36*(1+Annahmen!$B$20*D347/1000),0)</f>
        <v>1100</v>
      </c>
      <c r="L347" s="15" t="n">
        <f aca="false">ROUND(Annahmen!$K$37*(1+Annahmen!$B$20*D347/1000),0)</f>
        <v>1124</v>
      </c>
      <c r="M347" s="15" t="n">
        <f aca="false">ROUND(Annahmen!$K$38*(1+Annahmen!$B$20*D347/1000),0)</f>
        <v>1124</v>
      </c>
      <c r="N347" s="16" t="s">
        <v>86</v>
      </c>
    </row>
    <row r="348" customFormat="false" ht="15" hidden="false" customHeight="false" outlineLevel="0" collapsed="false">
      <c r="A348" s="13" t="s">
        <v>777</v>
      </c>
      <c r="B348" s="14" t="s">
        <v>778</v>
      </c>
      <c r="C348" s="15" t="n">
        <v>2825</v>
      </c>
      <c r="D348" s="15" t="n">
        <v>157</v>
      </c>
      <c r="E348" s="13" t="s">
        <v>82</v>
      </c>
      <c r="F348" s="15" t="str">
        <f aca="false">IF(C348&gt;=J348,"ja","nein")</f>
        <v>ja</v>
      </c>
      <c r="G348" s="15" t="str">
        <f aca="false">IF(C348&gt;=K348,"ja","nein")</f>
        <v>ja</v>
      </c>
      <c r="H348" s="15" t="str">
        <f aca="false">IF(C348&gt;=L348,"ja","nein")</f>
        <v>ja</v>
      </c>
      <c r="I348" s="15" t="str">
        <f aca="false">IF(C348&gt;=M348,"ja","nein")</f>
        <v>ja</v>
      </c>
      <c r="J348" s="15" t="n">
        <f aca="false">ROUND(Annahmen!$K$35*(1+Annahmen!$B$20*D348/1000),0)</f>
        <v>852</v>
      </c>
      <c r="K348" s="15" t="n">
        <f aca="false">ROUND(Annahmen!$K$36*(1+Annahmen!$B$20*D348/1000),0)</f>
        <v>1106</v>
      </c>
      <c r="L348" s="15" t="n">
        <f aca="false">ROUND(Annahmen!$K$37*(1+Annahmen!$B$20*D348/1000),0)</f>
        <v>1131</v>
      </c>
      <c r="M348" s="15" t="n">
        <f aca="false">ROUND(Annahmen!$K$38*(1+Annahmen!$B$20*D348/1000),0)</f>
        <v>1131</v>
      </c>
      <c r="N348" s="16" t="s">
        <v>83</v>
      </c>
    </row>
    <row r="349" customFormat="false" ht="15" hidden="false" customHeight="false" outlineLevel="0" collapsed="false">
      <c r="A349" s="13" t="s">
        <v>779</v>
      </c>
      <c r="B349" s="14" t="s">
        <v>780</v>
      </c>
      <c r="C349" s="15" t="n">
        <v>2700</v>
      </c>
      <c r="D349" s="15" t="n">
        <v>1084</v>
      </c>
      <c r="E349" s="13" t="s">
        <v>82</v>
      </c>
      <c r="F349" s="15" t="str">
        <f aca="false">IF(C349&gt;=J349,"ja","nein")</f>
        <v>ja</v>
      </c>
      <c r="G349" s="15" t="str">
        <f aca="false">IF(C349&gt;=K349,"ja","nein")</f>
        <v>ja</v>
      </c>
      <c r="H349" s="15" t="str">
        <f aca="false">IF(C349&gt;=L349,"ja","nein")</f>
        <v>ja</v>
      </c>
      <c r="I349" s="15" t="str">
        <f aca="false">IF(C349&gt;=M349,"ja","nein")</f>
        <v>ja</v>
      </c>
      <c r="J349" s="15" t="n">
        <f aca="false">ROUND(Annahmen!$K$35*(1+Annahmen!$B$20*D349/1000),0)</f>
        <v>922</v>
      </c>
      <c r="K349" s="15" t="n">
        <f aca="false">ROUND(Annahmen!$K$36*(1+Annahmen!$B$20*D349/1000),0)</f>
        <v>1197</v>
      </c>
      <c r="L349" s="15" t="n">
        <f aca="false">ROUND(Annahmen!$K$37*(1+Annahmen!$B$20*D349/1000),0)</f>
        <v>1224</v>
      </c>
      <c r="M349" s="15" t="n">
        <f aca="false">ROUND(Annahmen!$K$38*(1+Annahmen!$B$20*D349/1000),0)</f>
        <v>1224</v>
      </c>
      <c r="N349" s="16" t="s">
        <v>86</v>
      </c>
    </row>
    <row r="350" customFormat="false" ht="15" hidden="false" customHeight="false" outlineLevel="0" collapsed="false">
      <c r="A350" s="13" t="s">
        <v>781</v>
      </c>
      <c r="B350" s="14" t="s">
        <v>782</v>
      </c>
      <c r="C350" s="15" t="n">
        <v>2600</v>
      </c>
      <c r="D350" s="15" t="n">
        <v>17</v>
      </c>
      <c r="E350" s="13" t="s">
        <v>82</v>
      </c>
      <c r="F350" s="15" t="str">
        <f aca="false">IF(C350&gt;=J350,"ja","nein")</f>
        <v>ja</v>
      </c>
      <c r="G350" s="15" t="str">
        <f aca="false">IF(C350&gt;=K350,"ja","nein")</f>
        <v>ja</v>
      </c>
      <c r="H350" s="15" t="str">
        <f aca="false">IF(C350&gt;=L350,"ja","nein")</f>
        <v>ja</v>
      </c>
      <c r="I350" s="15" t="str">
        <f aca="false">IF(C350&gt;=M350,"ja","nein")</f>
        <v>ja</v>
      </c>
      <c r="J350" s="15" t="n">
        <f aca="false">ROUND(Annahmen!$K$35*(1+Annahmen!$B$20*D350/1000),0)</f>
        <v>841</v>
      </c>
      <c r="K350" s="15" t="n">
        <f aca="false">ROUND(Annahmen!$K$36*(1+Annahmen!$B$20*D350/1000),0)</f>
        <v>1093</v>
      </c>
      <c r="L350" s="15" t="n">
        <f aca="false">ROUND(Annahmen!$K$37*(1+Annahmen!$B$20*D350/1000),0)</f>
        <v>1117</v>
      </c>
      <c r="M350" s="15" t="n">
        <f aca="false">ROUND(Annahmen!$K$38*(1+Annahmen!$B$20*D350/1000),0)</f>
        <v>1117</v>
      </c>
      <c r="N350" s="16" t="s">
        <v>83</v>
      </c>
    </row>
    <row r="351" customFormat="false" ht="15" hidden="false" customHeight="false" outlineLevel="0" collapsed="false">
      <c r="A351" s="13" t="s">
        <v>783</v>
      </c>
      <c r="B351" s="14" t="s">
        <v>784</v>
      </c>
      <c r="C351" s="15" t="n">
        <v>2550</v>
      </c>
      <c r="D351" s="15" t="n">
        <v>479</v>
      </c>
      <c r="E351" s="13" t="s">
        <v>82</v>
      </c>
      <c r="F351" s="15" t="str">
        <f aca="false">IF(C351&gt;=J351,"ja","nein")</f>
        <v>ja</v>
      </c>
      <c r="G351" s="15" t="str">
        <f aca="false">IF(C351&gt;=K351,"ja","nein")</f>
        <v>ja</v>
      </c>
      <c r="H351" s="15" t="str">
        <f aca="false">IF(C351&gt;=L351,"ja","nein")</f>
        <v>ja</v>
      </c>
      <c r="I351" s="15" t="str">
        <f aca="false">IF(C351&gt;=M351,"ja","nein")</f>
        <v>ja</v>
      </c>
      <c r="J351" s="15" t="n">
        <f aca="false">ROUND(Annahmen!$K$35*(1+Annahmen!$B$20*D351/1000),0)</f>
        <v>876</v>
      </c>
      <c r="K351" s="15" t="n">
        <f aca="false">ROUND(Annahmen!$K$36*(1+Annahmen!$B$20*D351/1000),0)</f>
        <v>1138</v>
      </c>
      <c r="L351" s="15" t="n">
        <f aca="false">ROUND(Annahmen!$K$37*(1+Annahmen!$B$20*D351/1000),0)</f>
        <v>1163</v>
      </c>
      <c r="M351" s="15" t="n">
        <f aca="false">ROUND(Annahmen!$K$38*(1+Annahmen!$B$20*D351/1000),0)</f>
        <v>1163</v>
      </c>
      <c r="N351" s="16" t="s">
        <v>86</v>
      </c>
    </row>
    <row r="352" customFormat="false" ht="15" hidden="false" customHeight="false" outlineLevel="0" collapsed="false">
      <c r="A352" s="13" t="s">
        <v>785</v>
      </c>
      <c r="B352" s="14" t="s">
        <v>786</v>
      </c>
      <c r="C352" s="15" t="n">
        <v>2519</v>
      </c>
      <c r="D352" s="15" t="n">
        <v>26</v>
      </c>
      <c r="E352" s="13" t="s">
        <v>82</v>
      </c>
      <c r="F352" s="15" t="str">
        <f aca="false">IF(C352&gt;=J352,"ja","nein")</f>
        <v>ja</v>
      </c>
      <c r="G352" s="15" t="str">
        <f aca="false">IF(C352&gt;=K352,"ja","nein")</f>
        <v>ja</v>
      </c>
      <c r="H352" s="15" t="str">
        <f aca="false">IF(C352&gt;=L352,"ja","nein")</f>
        <v>ja</v>
      </c>
      <c r="I352" s="15" t="str">
        <f aca="false">IF(C352&gt;=M352,"ja","nein")</f>
        <v>ja</v>
      </c>
      <c r="J352" s="15" t="n">
        <f aca="false">ROUND(Annahmen!$K$35*(1+Annahmen!$B$20*D352/1000),0)</f>
        <v>842</v>
      </c>
      <c r="K352" s="15" t="n">
        <f aca="false">ROUND(Annahmen!$K$36*(1+Annahmen!$B$20*D352/1000),0)</f>
        <v>1094</v>
      </c>
      <c r="L352" s="15" t="n">
        <f aca="false">ROUND(Annahmen!$K$37*(1+Annahmen!$B$20*D352/1000),0)</f>
        <v>1118</v>
      </c>
      <c r="M352" s="15" t="n">
        <f aca="false">ROUND(Annahmen!$K$38*(1+Annahmen!$B$20*D352/1000),0)</f>
        <v>1118</v>
      </c>
      <c r="N352" s="16" t="s">
        <v>83</v>
      </c>
    </row>
    <row r="353" customFormat="false" ht="15" hidden="false" customHeight="false" outlineLevel="0" collapsed="false">
      <c r="A353" s="13" t="s">
        <v>787</v>
      </c>
      <c r="B353" s="14" t="s">
        <v>788</v>
      </c>
      <c r="C353" s="15" t="n">
        <v>2500</v>
      </c>
      <c r="D353" s="15" t="n">
        <v>1300</v>
      </c>
      <c r="E353" s="13" t="s">
        <v>82</v>
      </c>
      <c r="F353" s="15" t="str">
        <f aca="false">IF(C353&gt;=J353,"ja","nein")</f>
        <v>ja</v>
      </c>
      <c r="G353" s="15" t="str">
        <f aca="false">IF(C353&gt;=K353,"ja","nein")</f>
        <v>ja</v>
      </c>
      <c r="H353" s="15" t="str">
        <f aca="false">IF(C353&gt;=L353,"ja","nein")</f>
        <v>ja</v>
      </c>
      <c r="I353" s="15" t="str">
        <f aca="false">IF(C353&gt;=M353,"ja","nein")</f>
        <v>ja</v>
      </c>
      <c r="J353" s="15" t="n">
        <f aca="false">ROUND(Annahmen!$K$35*(1+Annahmen!$B$20*D353/1000),0)</f>
        <v>938</v>
      </c>
      <c r="K353" s="15" t="n">
        <f aca="false">ROUND(Annahmen!$K$36*(1+Annahmen!$B$20*D353/1000),0)</f>
        <v>1219</v>
      </c>
      <c r="L353" s="15" t="n">
        <f aca="false">ROUND(Annahmen!$K$37*(1+Annahmen!$B$20*D353/1000),0)</f>
        <v>1245</v>
      </c>
      <c r="M353" s="15" t="n">
        <f aca="false">ROUND(Annahmen!$K$38*(1+Annahmen!$B$20*D353/1000),0)</f>
        <v>1245</v>
      </c>
      <c r="N353" s="16" t="s">
        <v>86</v>
      </c>
    </row>
    <row r="354" customFormat="false" ht="15" hidden="false" customHeight="false" outlineLevel="0" collapsed="false">
      <c r="A354" s="13" t="s">
        <v>789</v>
      </c>
      <c r="B354" s="14" t="s">
        <v>790</v>
      </c>
      <c r="C354" s="15" t="n">
        <v>2500</v>
      </c>
      <c r="D354" s="15" t="n">
        <v>616</v>
      </c>
      <c r="E354" s="13" t="s">
        <v>82</v>
      </c>
      <c r="F354" s="15" t="str">
        <f aca="false">IF(C354&gt;=J354,"ja","nein")</f>
        <v>ja</v>
      </c>
      <c r="G354" s="15" t="str">
        <f aca="false">IF(C354&gt;=K354,"ja","nein")</f>
        <v>ja</v>
      </c>
      <c r="H354" s="15" t="str">
        <f aca="false">IF(C354&gt;=L354,"ja","nein")</f>
        <v>ja</v>
      </c>
      <c r="I354" s="15" t="str">
        <f aca="false">IF(C354&gt;=M354,"ja","nein")</f>
        <v>ja</v>
      </c>
      <c r="J354" s="15" t="n">
        <f aca="false">ROUND(Annahmen!$K$35*(1+Annahmen!$B$20*D354/1000),0)</f>
        <v>887</v>
      </c>
      <c r="K354" s="15" t="n">
        <f aca="false">ROUND(Annahmen!$K$36*(1+Annahmen!$B$20*D354/1000),0)</f>
        <v>1151</v>
      </c>
      <c r="L354" s="15" t="n">
        <f aca="false">ROUND(Annahmen!$K$37*(1+Annahmen!$B$20*D354/1000),0)</f>
        <v>1177</v>
      </c>
      <c r="M354" s="15" t="n">
        <f aca="false">ROUND(Annahmen!$K$38*(1+Annahmen!$B$20*D354/1000),0)</f>
        <v>1177</v>
      </c>
      <c r="N354" s="16" t="s">
        <v>86</v>
      </c>
    </row>
    <row r="355" customFormat="false" ht="15" hidden="false" customHeight="false" outlineLevel="0" collapsed="false">
      <c r="A355" s="13" t="s">
        <v>791</v>
      </c>
      <c r="B355" s="14" t="s">
        <v>792</v>
      </c>
      <c r="C355" s="15" t="n">
        <v>2500</v>
      </c>
      <c r="D355" s="15" t="n">
        <v>870</v>
      </c>
      <c r="E355" s="13" t="s">
        <v>82</v>
      </c>
      <c r="F355" s="15" t="str">
        <f aca="false">IF(C355&gt;=J355,"ja","nein")</f>
        <v>ja</v>
      </c>
      <c r="G355" s="15" t="str">
        <f aca="false">IF(C355&gt;=K355,"ja","nein")</f>
        <v>ja</v>
      </c>
      <c r="H355" s="15" t="str">
        <f aca="false">IF(C355&gt;=L355,"ja","nein")</f>
        <v>ja</v>
      </c>
      <c r="I355" s="15" t="str">
        <f aca="false">IF(C355&gt;=M355,"ja","nein")</f>
        <v>ja</v>
      </c>
      <c r="J355" s="15" t="n">
        <f aca="false">ROUND(Annahmen!$K$35*(1+Annahmen!$B$20*D355/1000),0)</f>
        <v>906</v>
      </c>
      <c r="K355" s="15" t="n">
        <f aca="false">ROUND(Annahmen!$K$36*(1+Annahmen!$B$20*D355/1000),0)</f>
        <v>1176</v>
      </c>
      <c r="L355" s="15" t="n">
        <f aca="false">ROUND(Annahmen!$K$37*(1+Annahmen!$B$20*D355/1000),0)</f>
        <v>1202</v>
      </c>
      <c r="M355" s="15" t="n">
        <f aca="false">ROUND(Annahmen!$K$38*(1+Annahmen!$B$20*D355/1000),0)</f>
        <v>1202</v>
      </c>
      <c r="N355" s="16" t="s">
        <v>86</v>
      </c>
    </row>
    <row r="356" customFormat="false" ht="15" hidden="false" customHeight="false" outlineLevel="0" collapsed="false">
      <c r="A356" s="13" t="s">
        <v>793</v>
      </c>
      <c r="B356" s="14" t="s">
        <v>794</v>
      </c>
      <c r="C356" s="15" t="n">
        <v>2500</v>
      </c>
      <c r="D356" s="15" t="n">
        <v>144</v>
      </c>
      <c r="E356" s="13" t="s">
        <v>82</v>
      </c>
      <c r="F356" s="15" t="str">
        <f aca="false">IF(C356&gt;=J356,"ja","nein")</f>
        <v>ja</v>
      </c>
      <c r="G356" s="15" t="str">
        <f aca="false">IF(C356&gt;=K356,"ja","nein")</f>
        <v>ja</v>
      </c>
      <c r="H356" s="15" t="str">
        <f aca="false">IF(C356&gt;=L356,"ja","nein")</f>
        <v>ja</v>
      </c>
      <c r="I356" s="15" t="str">
        <f aca="false">IF(C356&gt;=M356,"ja","nein")</f>
        <v>ja</v>
      </c>
      <c r="J356" s="15" t="n">
        <f aca="false">ROUND(Annahmen!$K$35*(1+Annahmen!$B$20*D356/1000),0)</f>
        <v>851</v>
      </c>
      <c r="K356" s="15" t="n">
        <f aca="false">ROUND(Annahmen!$K$36*(1+Annahmen!$B$20*D356/1000),0)</f>
        <v>1105</v>
      </c>
      <c r="L356" s="15" t="n">
        <f aca="false">ROUND(Annahmen!$K$37*(1+Annahmen!$B$20*D356/1000),0)</f>
        <v>1129</v>
      </c>
      <c r="M356" s="15" t="n">
        <f aca="false">ROUND(Annahmen!$K$38*(1+Annahmen!$B$20*D356/1000),0)</f>
        <v>1129</v>
      </c>
      <c r="N356" s="16" t="s">
        <v>86</v>
      </c>
    </row>
    <row r="357" customFormat="false" ht="15" hidden="false" customHeight="false" outlineLevel="0" collapsed="false">
      <c r="A357" s="13" t="s">
        <v>795</v>
      </c>
      <c r="B357" s="14" t="s">
        <v>796</v>
      </c>
      <c r="C357" s="15" t="n">
        <v>2480</v>
      </c>
      <c r="D357" s="15" t="n">
        <v>85</v>
      </c>
      <c r="E357" s="13" t="s">
        <v>82</v>
      </c>
      <c r="F357" s="15" t="str">
        <f aca="false">IF(C357&gt;=J357,"ja","nein")</f>
        <v>ja</v>
      </c>
      <c r="G357" s="15" t="str">
        <f aca="false">IF(C357&gt;=K357,"ja","nein")</f>
        <v>ja</v>
      </c>
      <c r="H357" s="15" t="str">
        <f aca="false">IF(C357&gt;=L357,"ja","nein")</f>
        <v>ja</v>
      </c>
      <c r="I357" s="15" t="str">
        <f aca="false">IF(C357&gt;=M357,"ja","nein")</f>
        <v>ja</v>
      </c>
      <c r="J357" s="15" t="n">
        <f aca="false">ROUND(Annahmen!$K$35*(1+Annahmen!$B$20*D357/1000),0)</f>
        <v>846</v>
      </c>
      <c r="K357" s="15" t="n">
        <f aca="false">ROUND(Annahmen!$K$36*(1+Annahmen!$B$20*D357/1000),0)</f>
        <v>1099</v>
      </c>
      <c r="L357" s="15" t="n">
        <f aca="false">ROUND(Annahmen!$K$37*(1+Annahmen!$B$20*D357/1000),0)</f>
        <v>1124</v>
      </c>
      <c r="M357" s="15" t="n">
        <f aca="false">ROUND(Annahmen!$K$38*(1+Annahmen!$B$20*D357/1000),0)</f>
        <v>1124</v>
      </c>
      <c r="N357" s="16" t="s">
        <v>83</v>
      </c>
    </row>
    <row r="358" customFormat="false" ht="15" hidden="false" customHeight="false" outlineLevel="0" collapsed="false">
      <c r="A358" s="13" t="s">
        <v>797</v>
      </c>
      <c r="B358" s="14" t="s">
        <v>798</v>
      </c>
      <c r="C358" s="15" t="n">
        <v>2450</v>
      </c>
      <c r="D358" s="15" t="n">
        <v>381</v>
      </c>
      <c r="E358" s="13" t="s">
        <v>82</v>
      </c>
      <c r="F358" s="15" t="str">
        <f aca="false">IF(C358&gt;=J358,"ja","nein")</f>
        <v>ja</v>
      </c>
      <c r="G358" s="15" t="str">
        <f aca="false">IF(C358&gt;=K358,"ja","nein")</f>
        <v>ja</v>
      </c>
      <c r="H358" s="15" t="str">
        <f aca="false">IF(C358&gt;=L358,"ja","nein")</f>
        <v>ja</v>
      </c>
      <c r="I358" s="15" t="str">
        <f aca="false">IF(C358&gt;=M358,"ja","nein")</f>
        <v>ja</v>
      </c>
      <c r="J358" s="15" t="n">
        <f aca="false">ROUND(Annahmen!$K$35*(1+Annahmen!$B$20*D358/1000),0)</f>
        <v>869</v>
      </c>
      <c r="K358" s="15" t="n">
        <f aca="false">ROUND(Annahmen!$K$36*(1+Annahmen!$B$20*D358/1000),0)</f>
        <v>1128</v>
      </c>
      <c r="L358" s="15" t="n">
        <f aca="false">ROUND(Annahmen!$K$37*(1+Annahmen!$B$20*D358/1000),0)</f>
        <v>1153</v>
      </c>
      <c r="M358" s="15" t="n">
        <f aca="false">ROUND(Annahmen!$K$38*(1+Annahmen!$B$20*D358/1000),0)</f>
        <v>1153</v>
      </c>
      <c r="N358" s="16" t="s">
        <v>102</v>
      </c>
    </row>
    <row r="359" customFormat="false" ht="15" hidden="false" customHeight="false" outlineLevel="0" collapsed="false">
      <c r="A359" s="13" t="s">
        <v>799</v>
      </c>
      <c r="B359" s="14" t="s">
        <v>800</v>
      </c>
      <c r="C359" s="15" t="n">
        <v>2440</v>
      </c>
      <c r="D359" s="15" t="n">
        <v>459</v>
      </c>
      <c r="E359" s="13" t="s">
        <v>82</v>
      </c>
      <c r="F359" s="15" t="str">
        <f aca="false">IF(C359&gt;=J359,"ja","nein")</f>
        <v>ja</v>
      </c>
      <c r="G359" s="15" t="str">
        <f aca="false">IF(C359&gt;=K359,"ja","nein")</f>
        <v>ja</v>
      </c>
      <c r="H359" s="15" t="str">
        <f aca="false">IF(C359&gt;=L359,"ja","nein")</f>
        <v>ja</v>
      </c>
      <c r="I359" s="15" t="str">
        <f aca="false">IF(C359&gt;=M359,"ja","nein")</f>
        <v>ja</v>
      </c>
      <c r="J359" s="15" t="n">
        <f aca="false">ROUND(Annahmen!$K$35*(1+Annahmen!$B$20*D359/1000),0)</f>
        <v>875</v>
      </c>
      <c r="K359" s="15" t="n">
        <f aca="false">ROUND(Annahmen!$K$36*(1+Annahmen!$B$20*D359/1000),0)</f>
        <v>1136</v>
      </c>
      <c r="L359" s="15" t="n">
        <f aca="false">ROUND(Annahmen!$K$37*(1+Annahmen!$B$20*D359/1000),0)</f>
        <v>1161</v>
      </c>
      <c r="M359" s="15" t="n">
        <f aca="false">ROUND(Annahmen!$K$38*(1+Annahmen!$B$20*D359/1000),0)</f>
        <v>1161</v>
      </c>
      <c r="N359" s="16" t="s">
        <v>86</v>
      </c>
    </row>
    <row r="360" customFormat="false" ht="15" hidden="false" customHeight="false" outlineLevel="0" collapsed="false">
      <c r="A360" s="13" t="s">
        <v>801</v>
      </c>
      <c r="B360" s="14" t="s">
        <v>802</v>
      </c>
      <c r="C360" s="15" t="n">
        <v>2440</v>
      </c>
      <c r="D360" s="15" t="n">
        <v>309</v>
      </c>
      <c r="E360" s="13" t="s">
        <v>82</v>
      </c>
      <c r="F360" s="15" t="str">
        <f aca="false">IF(C360&gt;=J360,"ja","nein")</f>
        <v>ja</v>
      </c>
      <c r="G360" s="15" t="str">
        <f aca="false">IF(C360&gt;=K360,"ja","nein")</f>
        <v>ja</v>
      </c>
      <c r="H360" s="15" t="str">
        <f aca="false">IF(C360&gt;=L360,"ja","nein")</f>
        <v>ja</v>
      </c>
      <c r="I360" s="15" t="str">
        <f aca="false">IF(C360&gt;=M360,"ja","nein")</f>
        <v>ja</v>
      </c>
      <c r="J360" s="15" t="n">
        <f aca="false">ROUND(Annahmen!$K$35*(1+Annahmen!$B$20*D360/1000),0)</f>
        <v>863</v>
      </c>
      <c r="K360" s="15" t="n">
        <f aca="false">ROUND(Annahmen!$K$36*(1+Annahmen!$B$20*D360/1000),0)</f>
        <v>1121</v>
      </c>
      <c r="L360" s="15" t="n">
        <f aca="false">ROUND(Annahmen!$K$37*(1+Annahmen!$B$20*D360/1000),0)</f>
        <v>1146</v>
      </c>
      <c r="M360" s="15" t="n">
        <f aca="false">ROUND(Annahmen!$K$38*(1+Annahmen!$B$20*D360/1000),0)</f>
        <v>1146</v>
      </c>
      <c r="N360" s="16" t="s">
        <v>86</v>
      </c>
    </row>
    <row r="361" customFormat="false" ht="15" hidden="false" customHeight="false" outlineLevel="0" collapsed="false">
      <c r="A361" s="13" t="s">
        <v>803</v>
      </c>
      <c r="B361" s="14" t="s">
        <v>804</v>
      </c>
      <c r="C361" s="15" t="n">
        <v>2430</v>
      </c>
      <c r="D361" s="15" t="n">
        <v>359</v>
      </c>
      <c r="E361" s="13" t="s">
        <v>82</v>
      </c>
      <c r="F361" s="15" t="str">
        <f aca="false">IF(C361&gt;=J361,"ja","nein")</f>
        <v>ja</v>
      </c>
      <c r="G361" s="15" t="str">
        <f aca="false">IF(C361&gt;=K361,"ja","nein")</f>
        <v>ja</v>
      </c>
      <c r="H361" s="15" t="str">
        <f aca="false">IF(C361&gt;=L361,"ja","nein")</f>
        <v>ja</v>
      </c>
      <c r="I361" s="15" t="str">
        <f aca="false">IF(C361&gt;=M361,"ja","nein")</f>
        <v>ja</v>
      </c>
      <c r="J361" s="15" t="n">
        <f aca="false">ROUND(Annahmen!$K$35*(1+Annahmen!$B$20*D361/1000),0)</f>
        <v>867</v>
      </c>
      <c r="K361" s="15" t="n">
        <f aca="false">ROUND(Annahmen!$K$36*(1+Annahmen!$B$20*D361/1000),0)</f>
        <v>1126</v>
      </c>
      <c r="L361" s="15" t="n">
        <f aca="false">ROUND(Annahmen!$K$37*(1+Annahmen!$B$20*D361/1000),0)</f>
        <v>1151</v>
      </c>
      <c r="M361" s="15" t="n">
        <f aca="false">ROUND(Annahmen!$K$38*(1+Annahmen!$B$20*D361/1000),0)</f>
        <v>1151</v>
      </c>
      <c r="N361" s="16" t="s">
        <v>83</v>
      </c>
    </row>
    <row r="362" customFormat="false" ht="15" hidden="false" customHeight="false" outlineLevel="0" collapsed="false">
      <c r="A362" s="13" t="s">
        <v>805</v>
      </c>
      <c r="B362" s="14" t="s">
        <v>806</v>
      </c>
      <c r="C362" s="15" t="n">
        <v>2407</v>
      </c>
      <c r="D362" s="15" t="n">
        <v>18</v>
      </c>
      <c r="E362" s="13" t="s">
        <v>82</v>
      </c>
      <c r="F362" s="15" t="str">
        <f aca="false">IF(C362&gt;=J362,"ja","nein")</f>
        <v>ja</v>
      </c>
      <c r="G362" s="15" t="str">
        <f aca="false">IF(C362&gt;=K362,"ja","nein")</f>
        <v>ja</v>
      </c>
      <c r="H362" s="15" t="str">
        <f aca="false">IF(C362&gt;=L362,"ja","nein")</f>
        <v>ja</v>
      </c>
      <c r="I362" s="15" t="str">
        <f aca="false">IF(C362&gt;=M362,"ja","nein")</f>
        <v>ja</v>
      </c>
      <c r="J362" s="15" t="n">
        <f aca="false">ROUND(Annahmen!$K$35*(1+Annahmen!$B$20*D362/1000),0)</f>
        <v>841</v>
      </c>
      <c r="K362" s="15" t="n">
        <f aca="false">ROUND(Annahmen!$K$36*(1+Annahmen!$B$20*D362/1000),0)</f>
        <v>1093</v>
      </c>
      <c r="L362" s="15" t="n">
        <f aca="false">ROUND(Annahmen!$K$37*(1+Annahmen!$B$20*D362/1000),0)</f>
        <v>1117</v>
      </c>
      <c r="M362" s="15" t="n">
        <f aca="false">ROUND(Annahmen!$K$38*(1+Annahmen!$B$20*D362/1000),0)</f>
        <v>1117</v>
      </c>
      <c r="N362" s="16" t="s">
        <v>86</v>
      </c>
    </row>
    <row r="363" customFormat="false" ht="15" hidden="false" customHeight="false" outlineLevel="0" collapsed="false">
      <c r="A363" s="13" t="s">
        <v>807</v>
      </c>
      <c r="B363" s="14" t="s">
        <v>808</v>
      </c>
      <c r="C363" s="15" t="n">
        <v>2404</v>
      </c>
      <c r="D363" s="15" t="n">
        <v>357</v>
      </c>
      <c r="E363" s="13" t="s">
        <v>82</v>
      </c>
      <c r="F363" s="15" t="str">
        <f aca="false">IF(C363&gt;=J363,"ja","nein")</f>
        <v>ja</v>
      </c>
      <c r="G363" s="15" t="str">
        <f aca="false">IF(C363&gt;=K363,"ja","nein")</f>
        <v>ja</v>
      </c>
      <c r="H363" s="15" t="str">
        <f aca="false">IF(C363&gt;=L363,"ja","nein")</f>
        <v>ja</v>
      </c>
      <c r="I363" s="15" t="str">
        <f aca="false">IF(C363&gt;=M363,"ja","nein")</f>
        <v>ja</v>
      </c>
      <c r="J363" s="15" t="n">
        <f aca="false">ROUND(Annahmen!$K$35*(1+Annahmen!$B$20*D363/1000),0)</f>
        <v>867</v>
      </c>
      <c r="K363" s="15" t="n">
        <f aca="false">ROUND(Annahmen!$K$36*(1+Annahmen!$B$20*D363/1000),0)</f>
        <v>1126</v>
      </c>
      <c r="L363" s="15" t="n">
        <f aca="false">ROUND(Annahmen!$K$37*(1+Annahmen!$B$20*D363/1000),0)</f>
        <v>1151</v>
      </c>
      <c r="M363" s="15" t="n">
        <f aca="false">ROUND(Annahmen!$K$38*(1+Annahmen!$B$20*D363/1000),0)</f>
        <v>1151</v>
      </c>
      <c r="N363" s="16" t="s">
        <v>86</v>
      </c>
    </row>
    <row r="364" customFormat="false" ht="15" hidden="false" customHeight="false" outlineLevel="0" collapsed="false">
      <c r="A364" s="13" t="s">
        <v>809</v>
      </c>
      <c r="B364" s="14" t="s">
        <v>810</v>
      </c>
      <c r="C364" s="15" t="n">
        <v>2403</v>
      </c>
      <c r="D364" s="15" t="n">
        <v>160</v>
      </c>
      <c r="E364" s="13" t="s">
        <v>82</v>
      </c>
      <c r="F364" s="15" t="str">
        <f aca="false">IF(C364&gt;=J364,"ja","nein")</f>
        <v>ja</v>
      </c>
      <c r="G364" s="15" t="str">
        <f aca="false">IF(C364&gt;=K364,"ja","nein")</f>
        <v>ja</v>
      </c>
      <c r="H364" s="15" t="str">
        <f aca="false">IF(C364&gt;=L364,"ja","nein")</f>
        <v>ja</v>
      </c>
      <c r="I364" s="15" t="str">
        <f aca="false">IF(C364&gt;=M364,"ja","nein")</f>
        <v>ja</v>
      </c>
      <c r="J364" s="15" t="n">
        <f aca="false">ROUND(Annahmen!$K$35*(1+Annahmen!$B$20*D364/1000),0)</f>
        <v>852</v>
      </c>
      <c r="K364" s="15" t="n">
        <f aca="false">ROUND(Annahmen!$K$36*(1+Annahmen!$B$20*D364/1000),0)</f>
        <v>1107</v>
      </c>
      <c r="L364" s="15" t="n">
        <f aca="false">ROUND(Annahmen!$K$37*(1+Annahmen!$B$20*D364/1000),0)</f>
        <v>1131</v>
      </c>
      <c r="M364" s="15" t="n">
        <f aca="false">ROUND(Annahmen!$K$38*(1+Annahmen!$B$20*D364/1000),0)</f>
        <v>1131</v>
      </c>
      <c r="N364" s="16" t="s">
        <v>86</v>
      </c>
    </row>
    <row r="365" customFormat="false" ht="15" hidden="false" customHeight="false" outlineLevel="0" collapsed="false">
      <c r="A365" s="13" t="s">
        <v>811</v>
      </c>
      <c r="B365" s="14" t="s">
        <v>812</v>
      </c>
      <c r="C365" s="15" t="n">
        <v>2400</v>
      </c>
      <c r="D365" s="15" t="n">
        <v>866</v>
      </c>
      <c r="E365" s="13" t="s">
        <v>82</v>
      </c>
      <c r="F365" s="15" t="str">
        <f aca="false">IF(C365&gt;=J365,"ja","nein")</f>
        <v>ja</v>
      </c>
      <c r="G365" s="15" t="str">
        <f aca="false">IF(C365&gt;=K365,"ja","nein")</f>
        <v>ja</v>
      </c>
      <c r="H365" s="15" t="str">
        <f aca="false">IF(C365&gt;=L365,"ja","nein")</f>
        <v>ja</v>
      </c>
      <c r="I365" s="15" t="str">
        <f aca="false">IF(C365&gt;=M365,"ja","nein")</f>
        <v>ja</v>
      </c>
      <c r="J365" s="15" t="n">
        <f aca="false">ROUND(Annahmen!$K$35*(1+Annahmen!$B$20*D365/1000),0)</f>
        <v>905</v>
      </c>
      <c r="K365" s="15" t="n">
        <f aca="false">ROUND(Annahmen!$K$36*(1+Annahmen!$B$20*D365/1000),0)</f>
        <v>1176</v>
      </c>
      <c r="L365" s="15" t="n">
        <f aca="false">ROUND(Annahmen!$K$37*(1+Annahmen!$B$20*D365/1000),0)</f>
        <v>1202</v>
      </c>
      <c r="M365" s="15" t="n">
        <f aca="false">ROUND(Annahmen!$K$38*(1+Annahmen!$B$20*D365/1000),0)</f>
        <v>1202</v>
      </c>
      <c r="N365" s="16" t="s">
        <v>102</v>
      </c>
    </row>
    <row r="366" customFormat="false" ht="15" hidden="false" customHeight="false" outlineLevel="0" collapsed="false">
      <c r="A366" s="13" t="s">
        <v>813</v>
      </c>
      <c r="B366" s="14" t="s">
        <v>814</v>
      </c>
      <c r="C366" s="15" t="n">
        <v>2400</v>
      </c>
      <c r="D366" s="15" t="n">
        <v>13</v>
      </c>
      <c r="E366" s="13" t="s">
        <v>82</v>
      </c>
      <c r="F366" s="15" t="str">
        <f aca="false">IF(C366&gt;=J366,"ja","nein")</f>
        <v>ja</v>
      </c>
      <c r="G366" s="15" t="str">
        <f aca="false">IF(C366&gt;=K366,"ja","nein")</f>
        <v>ja</v>
      </c>
      <c r="H366" s="15" t="str">
        <f aca="false">IF(C366&gt;=L366,"ja","nein")</f>
        <v>ja</v>
      </c>
      <c r="I366" s="15" t="str">
        <f aca="false">IF(C366&gt;=M366,"ja","nein")</f>
        <v>ja</v>
      </c>
      <c r="J366" s="15" t="n">
        <f aca="false">ROUND(Annahmen!$K$35*(1+Annahmen!$B$20*D366/1000),0)</f>
        <v>841</v>
      </c>
      <c r="K366" s="15" t="n">
        <f aca="false">ROUND(Annahmen!$K$36*(1+Annahmen!$B$20*D366/1000),0)</f>
        <v>1092</v>
      </c>
      <c r="L366" s="15" t="n">
        <f aca="false">ROUND(Annahmen!$K$37*(1+Annahmen!$B$20*D366/1000),0)</f>
        <v>1116</v>
      </c>
      <c r="M366" s="15" t="n">
        <f aca="false">ROUND(Annahmen!$K$38*(1+Annahmen!$B$20*D366/1000),0)</f>
        <v>1116</v>
      </c>
      <c r="N366" s="16" t="s">
        <v>86</v>
      </c>
    </row>
    <row r="367" customFormat="false" ht="15" hidden="false" customHeight="false" outlineLevel="0" collapsed="false">
      <c r="A367" s="13" t="s">
        <v>815</v>
      </c>
      <c r="B367" s="14" t="s">
        <v>816</v>
      </c>
      <c r="C367" s="15" t="n">
        <v>2400</v>
      </c>
      <c r="D367" s="15" t="n">
        <v>726</v>
      </c>
      <c r="E367" s="13" t="s">
        <v>82</v>
      </c>
      <c r="F367" s="15" t="str">
        <f aca="false">IF(C367&gt;=J367,"ja","nein")</f>
        <v>ja</v>
      </c>
      <c r="G367" s="15" t="str">
        <f aca="false">IF(C367&gt;=K367,"ja","nein")</f>
        <v>ja</v>
      </c>
      <c r="H367" s="15" t="str">
        <f aca="false">IF(C367&gt;=L367,"ja","nein")</f>
        <v>ja</v>
      </c>
      <c r="I367" s="15" t="str">
        <f aca="false">IF(C367&gt;=M367,"ja","nein")</f>
        <v>ja</v>
      </c>
      <c r="J367" s="15" t="n">
        <f aca="false">ROUND(Annahmen!$K$35*(1+Annahmen!$B$20*D367/1000),0)</f>
        <v>895</v>
      </c>
      <c r="K367" s="15" t="n">
        <f aca="false">ROUND(Annahmen!$K$36*(1+Annahmen!$B$20*D367/1000),0)</f>
        <v>1162</v>
      </c>
      <c r="L367" s="15" t="n">
        <f aca="false">ROUND(Annahmen!$K$37*(1+Annahmen!$B$20*D367/1000),0)</f>
        <v>1188</v>
      </c>
      <c r="M367" s="15" t="n">
        <f aca="false">ROUND(Annahmen!$K$38*(1+Annahmen!$B$20*D367/1000),0)</f>
        <v>1188</v>
      </c>
      <c r="N367" s="16" t="s">
        <v>86</v>
      </c>
    </row>
    <row r="368" customFormat="false" ht="15" hidden="false" customHeight="false" outlineLevel="0" collapsed="false">
      <c r="A368" s="13" t="s">
        <v>817</v>
      </c>
      <c r="B368" s="14" t="s">
        <v>818</v>
      </c>
      <c r="C368" s="15" t="n">
        <v>2400</v>
      </c>
      <c r="D368" s="15" t="n">
        <v>505</v>
      </c>
      <c r="E368" s="13" t="s">
        <v>82</v>
      </c>
      <c r="F368" s="15" t="str">
        <f aca="false">IF(C368&gt;=J368,"ja","nein")</f>
        <v>ja</v>
      </c>
      <c r="G368" s="15" t="str">
        <f aca="false">IF(C368&gt;=K368,"ja","nein")</f>
        <v>ja</v>
      </c>
      <c r="H368" s="15" t="str">
        <f aca="false">IF(C368&gt;=L368,"ja","nein")</f>
        <v>ja</v>
      </c>
      <c r="I368" s="15" t="str">
        <f aca="false">IF(C368&gt;=M368,"ja","nein")</f>
        <v>ja</v>
      </c>
      <c r="J368" s="15" t="n">
        <f aca="false">ROUND(Annahmen!$K$35*(1+Annahmen!$B$20*D368/1000),0)</f>
        <v>878</v>
      </c>
      <c r="K368" s="15" t="n">
        <f aca="false">ROUND(Annahmen!$K$36*(1+Annahmen!$B$20*D368/1000),0)</f>
        <v>1141</v>
      </c>
      <c r="L368" s="15" t="n">
        <f aca="false">ROUND(Annahmen!$K$37*(1+Annahmen!$B$20*D368/1000),0)</f>
        <v>1166</v>
      </c>
      <c r="M368" s="15" t="n">
        <f aca="false">ROUND(Annahmen!$K$38*(1+Annahmen!$B$20*D368/1000),0)</f>
        <v>1166</v>
      </c>
      <c r="N368" s="16" t="s">
        <v>83</v>
      </c>
    </row>
    <row r="369" customFormat="false" ht="15" hidden="false" customHeight="false" outlineLevel="0" collapsed="false">
      <c r="A369" s="13" t="s">
        <v>819</v>
      </c>
      <c r="B369" s="14" t="s">
        <v>820</v>
      </c>
      <c r="C369" s="15" t="n">
        <v>2350</v>
      </c>
      <c r="D369" s="15" t="n">
        <v>423</v>
      </c>
      <c r="E369" s="13" t="s">
        <v>82</v>
      </c>
      <c r="F369" s="15" t="str">
        <f aca="false">IF(C369&gt;=J369,"ja","nein")</f>
        <v>ja</v>
      </c>
      <c r="G369" s="15" t="str">
        <f aca="false">IF(C369&gt;=K369,"ja","nein")</f>
        <v>ja</v>
      </c>
      <c r="H369" s="15" t="str">
        <f aca="false">IF(C369&gt;=L369,"ja","nein")</f>
        <v>ja</v>
      </c>
      <c r="I369" s="15" t="str">
        <f aca="false">IF(C369&gt;=M369,"ja","nein")</f>
        <v>ja</v>
      </c>
      <c r="J369" s="15" t="n">
        <f aca="false">ROUND(Annahmen!$K$35*(1+Annahmen!$B$20*D369/1000),0)</f>
        <v>872</v>
      </c>
      <c r="K369" s="15" t="n">
        <f aca="false">ROUND(Annahmen!$K$36*(1+Annahmen!$B$20*D369/1000),0)</f>
        <v>1133</v>
      </c>
      <c r="L369" s="15" t="n">
        <f aca="false">ROUND(Annahmen!$K$37*(1+Annahmen!$B$20*D369/1000),0)</f>
        <v>1157</v>
      </c>
      <c r="M369" s="15" t="n">
        <f aca="false">ROUND(Annahmen!$K$38*(1+Annahmen!$B$20*D369/1000),0)</f>
        <v>1157</v>
      </c>
      <c r="N369" s="16" t="s">
        <v>86</v>
      </c>
    </row>
    <row r="370" customFormat="false" ht="15" hidden="false" customHeight="false" outlineLevel="0" collapsed="false">
      <c r="A370" s="13" t="s">
        <v>821</v>
      </c>
      <c r="B370" s="14" t="s">
        <v>822</v>
      </c>
      <c r="C370" s="15" t="n">
        <v>2310</v>
      </c>
      <c r="D370" s="15" t="n">
        <v>209</v>
      </c>
      <c r="E370" s="13" t="s">
        <v>82</v>
      </c>
      <c r="F370" s="15" t="str">
        <f aca="false">IF(C370&gt;=J370,"ja","nein")</f>
        <v>ja</v>
      </c>
      <c r="G370" s="15" t="str">
        <f aca="false">IF(C370&gt;=K370,"ja","nein")</f>
        <v>ja</v>
      </c>
      <c r="H370" s="15" t="str">
        <f aca="false">IF(C370&gt;=L370,"ja","nein")</f>
        <v>ja</v>
      </c>
      <c r="I370" s="15" t="str">
        <f aca="false">IF(C370&gt;=M370,"ja","nein")</f>
        <v>ja</v>
      </c>
      <c r="J370" s="15" t="n">
        <f aca="false">ROUND(Annahmen!$K$35*(1+Annahmen!$B$20*D370/1000),0)</f>
        <v>856</v>
      </c>
      <c r="K370" s="15" t="n">
        <f aca="false">ROUND(Annahmen!$K$36*(1+Annahmen!$B$20*D370/1000),0)</f>
        <v>1112</v>
      </c>
      <c r="L370" s="15" t="n">
        <f aca="false">ROUND(Annahmen!$K$37*(1+Annahmen!$B$20*D370/1000),0)</f>
        <v>1136</v>
      </c>
      <c r="M370" s="15" t="n">
        <f aca="false">ROUND(Annahmen!$K$38*(1+Annahmen!$B$20*D370/1000),0)</f>
        <v>1136</v>
      </c>
      <c r="N370" s="16" t="s">
        <v>86</v>
      </c>
    </row>
    <row r="371" customFormat="false" ht="15" hidden="false" customHeight="false" outlineLevel="0" collapsed="false">
      <c r="A371" s="13" t="s">
        <v>823</v>
      </c>
      <c r="B371" s="14" t="s">
        <v>824</v>
      </c>
      <c r="C371" s="15" t="n">
        <v>2302</v>
      </c>
      <c r="D371" s="15" t="n">
        <v>433</v>
      </c>
      <c r="E371" s="13" t="s">
        <v>82</v>
      </c>
      <c r="F371" s="15" t="str">
        <f aca="false">IF(C371&gt;=J371,"ja","nein")</f>
        <v>ja</v>
      </c>
      <c r="G371" s="15" t="str">
        <f aca="false">IF(C371&gt;=K371,"ja","nein")</f>
        <v>ja</v>
      </c>
      <c r="H371" s="15" t="str">
        <f aca="false">IF(C371&gt;=L371,"ja","nein")</f>
        <v>ja</v>
      </c>
      <c r="I371" s="15" t="str">
        <f aca="false">IF(C371&gt;=M371,"ja","nein")</f>
        <v>ja</v>
      </c>
      <c r="J371" s="15" t="n">
        <f aca="false">ROUND(Annahmen!$K$35*(1+Annahmen!$B$20*D371/1000),0)</f>
        <v>873</v>
      </c>
      <c r="K371" s="15" t="n">
        <f aca="false">ROUND(Annahmen!$K$36*(1+Annahmen!$B$20*D371/1000),0)</f>
        <v>1134</v>
      </c>
      <c r="L371" s="15" t="n">
        <f aca="false">ROUND(Annahmen!$K$37*(1+Annahmen!$B$20*D371/1000),0)</f>
        <v>1158</v>
      </c>
      <c r="M371" s="15" t="n">
        <f aca="false">ROUND(Annahmen!$K$38*(1+Annahmen!$B$20*D371/1000),0)</f>
        <v>1158</v>
      </c>
      <c r="N371" s="16" t="s">
        <v>86</v>
      </c>
    </row>
    <row r="372" customFormat="false" ht="15" hidden="false" customHeight="false" outlineLevel="0" collapsed="false">
      <c r="A372" s="13" t="s">
        <v>825</v>
      </c>
      <c r="B372" s="14" t="s">
        <v>826</v>
      </c>
      <c r="C372" s="15" t="n">
        <v>2300</v>
      </c>
      <c r="D372" s="15" t="n">
        <v>1325</v>
      </c>
      <c r="E372" s="13" t="s">
        <v>82</v>
      </c>
      <c r="F372" s="15" t="str">
        <f aca="false">IF(C372&gt;=J372,"ja","nein")</f>
        <v>ja</v>
      </c>
      <c r="G372" s="15" t="str">
        <f aca="false">IF(C372&gt;=K372,"ja","nein")</f>
        <v>ja</v>
      </c>
      <c r="H372" s="15" t="str">
        <f aca="false">IF(C372&gt;=L372,"ja","nein")</f>
        <v>ja</v>
      </c>
      <c r="I372" s="15" t="str">
        <f aca="false">IF(C372&gt;=M372,"ja","nein")</f>
        <v>ja</v>
      </c>
      <c r="J372" s="15" t="n">
        <f aca="false">ROUND(Annahmen!$K$35*(1+Annahmen!$B$20*D372/1000),0)</f>
        <v>940</v>
      </c>
      <c r="K372" s="15" t="n">
        <f aca="false">ROUND(Annahmen!$K$36*(1+Annahmen!$B$20*D372/1000),0)</f>
        <v>1221</v>
      </c>
      <c r="L372" s="15" t="n">
        <f aca="false">ROUND(Annahmen!$K$37*(1+Annahmen!$B$20*D372/1000),0)</f>
        <v>1248</v>
      </c>
      <c r="M372" s="15" t="n">
        <f aca="false">ROUND(Annahmen!$K$38*(1+Annahmen!$B$20*D372/1000),0)</f>
        <v>1248</v>
      </c>
      <c r="N372" s="16" t="s">
        <v>86</v>
      </c>
    </row>
    <row r="373" customFormat="false" ht="15" hidden="false" customHeight="false" outlineLevel="0" collapsed="false">
      <c r="A373" s="13" t="s">
        <v>827</v>
      </c>
      <c r="B373" s="14" t="s">
        <v>828</v>
      </c>
      <c r="C373" s="15" t="n">
        <v>2300</v>
      </c>
      <c r="D373" s="15" t="n">
        <v>313</v>
      </c>
      <c r="E373" s="13" t="s">
        <v>82</v>
      </c>
      <c r="F373" s="15" t="str">
        <f aca="false">IF(C373&gt;=J373,"ja","nein")</f>
        <v>ja</v>
      </c>
      <c r="G373" s="15" t="str">
        <f aca="false">IF(C373&gt;=K373,"ja","nein")</f>
        <v>ja</v>
      </c>
      <c r="H373" s="15" t="str">
        <f aca="false">IF(C373&gt;=L373,"ja","nein")</f>
        <v>ja</v>
      </c>
      <c r="I373" s="15" t="str">
        <f aca="false">IF(C373&gt;=M373,"ja","nein")</f>
        <v>ja</v>
      </c>
      <c r="J373" s="15" t="n">
        <f aca="false">ROUND(Annahmen!$K$35*(1+Annahmen!$B$20*D373/1000),0)</f>
        <v>864</v>
      </c>
      <c r="K373" s="15" t="n">
        <f aca="false">ROUND(Annahmen!$K$36*(1+Annahmen!$B$20*D373/1000),0)</f>
        <v>1122</v>
      </c>
      <c r="L373" s="15" t="n">
        <f aca="false">ROUND(Annahmen!$K$37*(1+Annahmen!$B$20*D373/1000),0)</f>
        <v>1146</v>
      </c>
      <c r="M373" s="15" t="n">
        <f aca="false">ROUND(Annahmen!$K$38*(1+Annahmen!$B$20*D373/1000),0)</f>
        <v>1146</v>
      </c>
      <c r="N373" s="16" t="s">
        <v>86</v>
      </c>
    </row>
    <row r="374" customFormat="false" ht="15" hidden="false" customHeight="false" outlineLevel="0" collapsed="false">
      <c r="A374" s="13" t="s">
        <v>829</v>
      </c>
      <c r="B374" s="14" t="s">
        <v>830</v>
      </c>
      <c r="C374" s="15" t="n">
        <v>2280</v>
      </c>
      <c r="D374" s="15" t="n">
        <v>60</v>
      </c>
      <c r="E374" s="13" t="s">
        <v>82</v>
      </c>
      <c r="F374" s="15" t="str">
        <f aca="false">IF(C374&gt;=J374,"ja","nein")</f>
        <v>ja</v>
      </c>
      <c r="G374" s="15" t="str">
        <f aca="false">IF(C374&gt;=K374,"ja","nein")</f>
        <v>ja</v>
      </c>
      <c r="H374" s="15" t="str">
        <f aca="false">IF(C374&gt;=L374,"ja","nein")</f>
        <v>ja</v>
      </c>
      <c r="I374" s="15" t="str">
        <f aca="false">IF(C374&gt;=M374,"ja","nein")</f>
        <v>ja</v>
      </c>
      <c r="J374" s="15" t="n">
        <f aca="false">ROUND(Annahmen!$K$35*(1+Annahmen!$B$20*D374/1000),0)</f>
        <v>845</v>
      </c>
      <c r="K374" s="15" t="n">
        <f aca="false">ROUND(Annahmen!$K$36*(1+Annahmen!$B$20*D374/1000),0)</f>
        <v>1097</v>
      </c>
      <c r="L374" s="15" t="n">
        <f aca="false">ROUND(Annahmen!$K$37*(1+Annahmen!$B$20*D374/1000),0)</f>
        <v>1121</v>
      </c>
      <c r="M374" s="15" t="n">
        <f aca="false">ROUND(Annahmen!$K$38*(1+Annahmen!$B$20*D374/1000),0)</f>
        <v>1121</v>
      </c>
      <c r="N374" s="16" t="s">
        <v>86</v>
      </c>
    </row>
    <row r="375" customFormat="false" ht="15" hidden="false" customHeight="false" outlineLevel="0" collapsed="false">
      <c r="A375" s="13" t="s">
        <v>831</v>
      </c>
      <c r="B375" s="14" t="s">
        <v>832</v>
      </c>
      <c r="C375" s="15" t="n">
        <v>2255</v>
      </c>
      <c r="D375" s="15" t="n">
        <v>74</v>
      </c>
      <c r="E375" s="13" t="s">
        <v>82</v>
      </c>
      <c r="F375" s="15" t="str">
        <f aca="false">IF(C375&gt;=J375,"ja","nein")</f>
        <v>ja</v>
      </c>
      <c r="G375" s="15" t="str">
        <f aca="false">IF(C375&gt;=K375,"ja","nein")</f>
        <v>ja</v>
      </c>
      <c r="H375" s="15" t="str">
        <f aca="false">IF(C375&gt;=L375,"ja","nein")</f>
        <v>ja</v>
      </c>
      <c r="I375" s="15" t="str">
        <f aca="false">IF(C375&gt;=M375,"ja","nein")</f>
        <v>ja</v>
      </c>
      <c r="J375" s="15" t="n">
        <f aca="false">ROUND(Annahmen!$K$35*(1+Annahmen!$B$20*D375/1000),0)</f>
        <v>846</v>
      </c>
      <c r="K375" s="15" t="n">
        <f aca="false">ROUND(Annahmen!$K$36*(1+Annahmen!$B$20*D375/1000),0)</f>
        <v>1098</v>
      </c>
      <c r="L375" s="15" t="n">
        <f aca="false">ROUND(Annahmen!$K$37*(1+Annahmen!$B$20*D375/1000),0)</f>
        <v>1122</v>
      </c>
      <c r="M375" s="15" t="n">
        <f aca="false">ROUND(Annahmen!$K$38*(1+Annahmen!$B$20*D375/1000),0)</f>
        <v>1122</v>
      </c>
      <c r="N375" s="16" t="s">
        <v>86</v>
      </c>
    </row>
    <row r="376" customFormat="false" ht="15" hidden="false" customHeight="false" outlineLevel="0" collapsed="false">
      <c r="A376" s="13" t="s">
        <v>833</v>
      </c>
      <c r="B376" s="14" t="s">
        <v>834</v>
      </c>
      <c r="C376" s="15" t="n">
        <v>2250</v>
      </c>
      <c r="D376" s="15" t="n">
        <v>245</v>
      </c>
      <c r="E376" s="13" t="s">
        <v>82</v>
      </c>
      <c r="F376" s="15" t="str">
        <f aca="false">IF(C376&gt;=J376,"ja","nein")</f>
        <v>ja</v>
      </c>
      <c r="G376" s="15" t="str">
        <f aca="false">IF(C376&gt;=K376,"ja","nein")</f>
        <v>ja</v>
      </c>
      <c r="H376" s="15" t="str">
        <f aca="false">IF(C376&gt;=L376,"ja","nein")</f>
        <v>ja</v>
      </c>
      <c r="I376" s="15" t="str">
        <f aca="false">IF(C376&gt;=M376,"ja","nein")</f>
        <v>ja</v>
      </c>
      <c r="J376" s="15" t="n">
        <f aca="false">ROUND(Annahmen!$K$35*(1+Annahmen!$B$20*D376/1000),0)</f>
        <v>859</v>
      </c>
      <c r="K376" s="15" t="n">
        <f aca="false">ROUND(Annahmen!$K$36*(1+Annahmen!$B$20*D376/1000),0)</f>
        <v>1115</v>
      </c>
      <c r="L376" s="15" t="n">
        <f aca="false">ROUND(Annahmen!$K$37*(1+Annahmen!$B$20*D376/1000),0)</f>
        <v>1140</v>
      </c>
      <c r="M376" s="15" t="n">
        <f aca="false">ROUND(Annahmen!$K$38*(1+Annahmen!$B$20*D376/1000),0)</f>
        <v>1140</v>
      </c>
      <c r="N376" s="16" t="s">
        <v>86</v>
      </c>
    </row>
    <row r="377" customFormat="false" ht="15" hidden="false" customHeight="false" outlineLevel="0" collapsed="false">
      <c r="A377" s="13" t="s">
        <v>835</v>
      </c>
      <c r="B377" s="14" t="s">
        <v>836</v>
      </c>
      <c r="C377" s="15" t="n">
        <v>2231</v>
      </c>
      <c r="D377" s="15" t="n">
        <v>645</v>
      </c>
      <c r="E377" s="13" t="s">
        <v>82</v>
      </c>
      <c r="F377" s="15" t="str">
        <f aca="false">IF(C377&gt;=J377,"ja","nein")</f>
        <v>ja</v>
      </c>
      <c r="G377" s="15" t="str">
        <f aca="false">IF(C377&gt;=K377,"ja","nein")</f>
        <v>ja</v>
      </c>
      <c r="H377" s="15" t="str">
        <f aca="false">IF(C377&gt;=L377,"ja","nein")</f>
        <v>ja</v>
      </c>
      <c r="I377" s="15" t="str">
        <f aca="false">IF(C377&gt;=M377,"ja","nein")</f>
        <v>ja</v>
      </c>
      <c r="J377" s="15" t="n">
        <f aca="false">ROUND(Annahmen!$K$35*(1+Annahmen!$B$20*D377/1000),0)</f>
        <v>889</v>
      </c>
      <c r="K377" s="15" t="n">
        <f aca="false">ROUND(Annahmen!$K$36*(1+Annahmen!$B$20*D377/1000),0)</f>
        <v>1154</v>
      </c>
      <c r="L377" s="15" t="n">
        <f aca="false">ROUND(Annahmen!$K$37*(1+Annahmen!$B$20*D377/1000),0)</f>
        <v>1180</v>
      </c>
      <c r="M377" s="15" t="n">
        <f aca="false">ROUND(Annahmen!$K$38*(1+Annahmen!$B$20*D377/1000),0)</f>
        <v>1180</v>
      </c>
      <c r="N377" s="16" t="s">
        <v>86</v>
      </c>
    </row>
    <row r="378" customFormat="false" ht="15" hidden="false" customHeight="false" outlineLevel="0" collapsed="false">
      <c r="A378" s="13" t="s">
        <v>837</v>
      </c>
      <c r="B378" s="14" t="s">
        <v>838</v>
      </c>
      <c r="C378" s="15" t="n">
        <v>2205</v>
      </c>
      <c r="D378" s="15" t="n">
        <v>171</v>
      </c>
      <c r="E378" s="13" t="s">
        <v>82</v>
      </c>
      <c r="F378" s="15" t="str">
        <f aca="false">IF(C378&gt;=J378,"ja","nein")</f>
        <v>ja</v>
      </c>
      <c r="G378" s="15" t="str">
        <f aca="false">IF(C378&gt;=K378,"ja","nein")</f>
        <v>ja</v>
      </c>
      <c r="H378" s="15" t="str">
        <f aca="false">IF(C378&gt;=L378,"ja","nein")</f>
        <v>ja</v>
      </c>
      <c r="I378" s="15" t="str">
        <f aca="false">IF(C378&gt;=M378,"ja","nein")</f>
        <v>ja</v>
      </c>
      <c r="J378" s="15" t="n">
        <f aca="false">ROUND(Annahmen!$K$35*(1+Annahmen!$B$20*D378/1000),0)</f>
        <v>853</v>
      </c>
      <c r="K378" s="15" t="n">
        <f aca="false">ROUND(Annahmen!$K$36*(1+Annahmen!$B$20*D378/1000),0)</f>
        <v>1108</v>
      </c>
      <c r="L378" s="15" t="n">
        <f aca="false">ROUND(Annahmen!$K$37*(1+Annahmen!$B$20*D378/1000),0)</f>
        <v>1132</v>
      </c>
      <c r="M378" s="15" t="n">
        <f aca="false">ROUND(Annahmen!$K$38*(1+Annahmen!$B$20*D378/1000),0)</f>
        <v>1132</v>
      </c>
      <c r="N378" s="16" t="s">
        <v>86</v>
      </c>
    </row>
    <row r="379" customFormat="false" ht="15" hidden="false" customHeight="false" outlineLevel="0" collapsed="false">
      <c r="A379" s="13" t="s">
        <v>839</v>
      </c>
      <c r="B379" s="14" t="s">
        <v>840</v>
      </c>
      <c r="C379" s="15" t="n">
        <v>2200</v>
      </c>
      <c r="D379" s="15" t="n">
        <v>364</v>
      </c>
      <c r="E379" s="13" t="s">
        <v>82</v>
      </c>
      <c r="F379" s="15" t="str">
        <f aca="false">IF(C379&gt;=J379,"ja","nein")</f>
        <v>ja</v>
      </c>
      <c r="G379" s="15" t="str">
        <f aca="false">IF(C379&gt;=K379,"ja","nein")</f>
        <v>ja</v>
      </c>
      <c r="H379" s="15" t="str">
        <f aca="false">IF(C379&gt;=L379,"ja","nein")</f>
        <v>ja</v>
      </c>
      <c r="I379" s="15" t="str">
        <f aca="false">IF(C379&gt;=M379,"ja","nein")</f>
        <v>ja</v>
      </c>
      <c r="J379" s="15" t="n">
        <f aca="false">ROUND(Annahmen!$K$35*(1+Annahmen!$B$20*D379/1000),0)</f>
        <v>868</v>
      </c>
      <c r="K379" s="15" t="n">
        <f aca="false">ROUND(Annahmen!$K$36*(1+Annahmen!$B$20*D379/1000),0)</f>
        <v>1127</v>
      </c>
      <c r="L379" s="15" t="n">
        <f aca="false">ROUND(Annahmen!$K$37*(1+Annahmen!$B$20*D379/1000),0)</f>
        <v>1152</v>
      </c>
      <c r="M379" s="15" t="n">
        <f aca="false">ROUND(Annahmen!$K$38*(1+Annahmen!$B$20*D379/1000),0)</f>
        <v>1152</v>
      </c>
      <c r="N379" s="16" t="s">
        <v>102</v>
      </c>
    </row>
    <row r="380" customFormat="false" ht="15" hidden="false" customHeight="false" outlineLevel="0" collapsed="false">
      <c r="A380" s="13" t="s">
        <v>841</v>
      </c>
      <c r="B380" s="14" t="s">
        <v>842</v>
      </c>
      <c r="C380" s="15" t="n">
        <v>2200</v>
      </c>
      <c r="D380" s="15" t="n">
        <v>817</v>
      </c>
      <c r="E380" s="13" t="s">
        <v>82</v>
      </c>
      <c r="F380" s="15" t="str">
        <f aca="false">IF(C380&gt;=J380,"ja","nein")</f>
        <v>ja</v>
      </c>
      <c r="G380" s="15" t="str">
        <f aca="false">IF(C380&gt;=K380,"ja","nein")</f>
        <v>ja</v>
      </c>
      <c r="H380" s="15" t="str">
        <f aca="false">IF(C380&gt;=L380,"ja","nein")</f>
        <v>ja</v>
      </c>
      <c r="I380" s="15" t="str">
        <f aca="false">IF(C380&gt;=M380,"ja","nein")</f>
        <v>ja</v>
      </c>
      <c r="J380" s="15" t="n">
        <f aca="false">ROUND(Annahmen!$K$35*(1+Annahmen!$B$20*D380/1000),0)</f>
        <v>902</v>
      </c>
      <c r="K380" s="15" t="n">
        <f aca="false">ROUND(Annahmen!$K$36*(1+Annahmen!$B$20*D380/1000),0)</f>
        <v>1171</v>
      </c>
      <c r="L380" s="15" t="n">
        <f aca="false">ROUND(Annahmen!$K$37*(1+Annahmen!$B$20*D380/1000),0)</f>
        <v>1197</v>
      </c>
      <c r="M380" s="15" t="n">
        <f aca="false">ROUND(Annahmen!$K$38*(1+Annahmen!$B$20*D380/1000),0)</f>
        <v>1197</v>
      </c>
      <c r="N380" s="16" t="s">
        <v>86</v>
      </c>
    </row>
    <row r="381" customFormat="false" ht="15" hidden="false" customHeight="false" outlineLevel="0" collapsed="false">
      <c r="A381" s="13" t="s">
        <v>843</v>
      </c>
      <c r="B381" s="14" t="s">
        <v>844</v>
      </c>
      <c r="C381" s="15" t="n">
        <v>2200</v>
      </c>
      <c r="D381" s="15" t="n">
        <v>219</v>
      </c>
      <c r="E381" s="13" t="s">
        <v>82</v>
      </c>
      <c r="F381" s="15" t="str">
        <f aca="false">IF(C381&gt;=J381,"ja","nein")</f>
        <v>ja</v>
      </c>
      <c r="G381" s="15" t="str">
        <f aca="false">IF(C381&gt;=K381,"ja","nein")</f>
        <v>ja</v>
      </c>
      <c r="H381" s="15" t="str">
        <f aca="false">IF(C381&gt;=L381,"ja","nein")</f>
        <v>ja</v>
      </c>
      <c r="I381" s="15" t="str">
        <f aca="false">IF(C381&gt;=M381,"ja","nein")</f>
        <v>ja</v>
      </c>
      <c r="J381" s="15" t="n">
        <f aca="false">ROUND(Annahmen!$K$35*(1+Annahmen!$B$20*D381/1000),0)</f>
        <v>857</v>
      </c>
      <c r="K381" s="15" t="n">
        <f aca="false">ROUND(Annahmen!$K$36*(1+Annahmen!$B$20*D381/1000),0)</f>
        <v>1113</v>
      </c>
      <c r="L381" s="15" t="n">
        <f aca="false">ROUND(Annahmen!$K$37*(1+Annahmen!$B$20*D381/1000),0)</f>
        <v>1137</v>
      </c>
      <c r="M381" s="15" t="n">
        <f aca="false">ROUND(Annahmen!$K$38*(1+Annahmen!$B$20*D381/1000),0)</f>
        <v>1137</v>
      </c>
      <c r="N381" s="16" t="s">
        <v>86</v>
      </c>
    </row>
    <row r="382" customFormat="false" ht="15" hidden="false" customHeight="false" outlineLevel="0" collapsed="false">
      <c r="A382" s="13" t="s">
        <v>845</v>
      </c>
      <c r="B382" s="14" t="s">
        <v>846</v>
      </c>
      <c r="C382" s="15" t="n">
        <v>2200</v>
      </c>
      <c r="D382" s="15" t="n">
        <v>453</v>
      </c>
      <c r="E382" s="13" t="s">
        <v>82</v>
      </c>
      <c r="F382" s="15" t="str">
        <f aca="false">IF(C382&gt;=J382,"ja","nein")</f>
        <v>ja</v>
      </c>
      <c r="G382" s="15" t="str">
        <f aca="false">IF(C382&gt;=K382,"ja","nein")</f>
        <v>ja</v>
      </c>
      <c r="H382" s="15" t="str">
        <f aca="false">IF(C382&gt;=L382,"ja","nein")</f>
        <v>ja</v>
      </c>
      <c r="I382" s="15" t="str">
        <f aca="false">IF(C382&gt;=M382,"ja","nein")</f>
        <v>ja</v>
      </c>
      <c r="J382" s="15" t="n">
        <f aca="false">ROUND(Annahmen!$K$35*(1+Annahmen!$B$20*D382/1000),0)</f>
        <v>874</v>
      </c>
      <c r="K382" s="15" t="n">
        <f aca="false">ROUND(Annahmen!$K$36*(1+Annahmen!$B$20*D382/1000),0)</f>
        <v>1135</v>
      </c>
      <c r="L382" s="15" t="n">
        <f aca="false">ROUND(Annahmen!$K$37*(1+Annahmen!$B$20*D382/1000),0)</f>
        <v>1160</v>
      </c>
      <c r="M382" s="15" t="n">
        <f aca="false">ROUND(Annahmen!$K$38*(1+Annahmen!$B$20*D382/1000),0)</f>
        <v>1160</v>
      </c>
      <c r="N382" s="16" t="s">
        <v>86</v>
      </c>
    </row>
    <row r="383" customFormat="false" ht="15" hidden="false" customHeight="false" outlineLevel="0" collapsed="false">
      <c r="A383" s="13" t="s">
        <v>847</v>
      </c>
      <c r="B383" s="14" t="s">
        <v>848</v>
      </c>
      <c r="C383" s="15" t="n">
        <v>2165</v>
      </c>
      <c r="D383" s="15" t="n">
        <v>204</v>
      </c>
      <c r="E383" s="13" t="s">
        <v>82</v>
      </c>
      <c r="F383" s="15" t="str">
        <f aca="false">IF(C383&gt;=J383,"ja","nein")</f>
        <v>ja</v>
      </c>
      <c r="G383" s="15" t="str">
        <f aca="false">IF(C383&gt;=K383,"ja","nein")</f>
        <v>ja</v>
      </c>
      <c r="H383" s="15" t="str">
        <f aca="false">IF(C383&gt;=L383,"ja","nein")</f>
        <v>ja</v>
      </c>
      <c r="I383" s="15" t="str">
        <f aca="false">IF(C383&gt;=M383,"ja","nein")</f>
        <v>ja</v>
      </c>
      <c r="J383" s="15" t="n">
        <f aca="false">ROUND(Annahmen!$K$35*(1+Annahmen!$B$20*D383/1000),0)</f>
        <v>855</v>
      </c>
      <c r="K383" s="15" t="n">
        <f aca="false">ROUND(Annahmen!$K$36*(1+Annahmen!$B$20*D383/1000),0)</f>
        <v>1111</v>
      </c>
      <c r="L383" s="15" t="n">
        <f aca="false">ROUND(Annahmen!$K$37*(1+Annahmen!$B$20*D383/1000),0)</f>
        <v>1135</v>
      </c>
      <c r="M383" s="15" t="n">
        <f aca="false">ROUND(Annahmen!$K$38*(1+Annahmen!$B$20*D383/1000),0)</f>
        <v>1135</v>
      </c>
      <c r="N383" s="16" t="s">
        <v>86</v>
      </c>
    </row>
    <row r="384" customFormat="false" ht="15" hidden="false" customHeight="false" outlineLevel="0" collapsed="false">
      <c r="A384" s="13" t="s">
        <v>849</v>
      </c>
      <c r="B384" s="14" t="s">
        <v>850</v>
      </c>
      <c r="C384" s="15" t="n">
        <v>2150</v>
      </c>
      <c r="D384" s="15" t="n">
        <v>297</v>
      </c>
      <c r="E384" s="13" t="s">
        <v>82</v>
      </c>
      <c r="F384" s="15" t="str">
        <f aca="false">IF(C384&gt;=J384,"ja","nein")</f>
        <v>ja</v>
      </c>
      <c r="G384" s="15" t="str">
        <f aca="false">IF(C384&gt;=K384,"ja","nein")</f>
        <v>ja</v>
      </c>
      <c r="H384" s="15" t="str">
        <f aca="false">IF(C384&gt;=L384,"ja","nein")</f>
        <v>ja</v>
      </c>
      <c r="I384" s="15" t="str">
        <f aca="false">IF(C384&gt;=M384,"ja","nein")</f>
        <v>ja</v>
      </c>
      <c r="J384" s="15" t="n">
        <f aca="false">ROUND(Annahmen!$K$35*(1+Annahmen!$B$20*D384/1000),0)</f>
        <v>862</v>
      </c>
      <c r="K384" s="15" t="n">
        <f aca="false">ROUND(Annahmen!$K$36*(1+Annahmen!$B$20*D384/1000),0)</f>
        <v>1120</v>
      </c>
      <c r="L384" s="15" t="n">
        <f aca="false">ROUND(Annahmen!$K$37*(1+Annahmen!$B$20*D384/1000),0)</f>
        <v>1145</v>
      </c>
      <c r="M384" s="15" t="n">
        <f aca="false">ROUND(Annahmen!$K$38*(1+Annahmen!$B$20*D384/1000),0)</f>
        <v>1145</v>
      </c>
      <c r="N384" s="16" t="s">
        <v>86</v>
      </c>
    </row>
    <row r="385" customFormat="false" ht="15" hidden="false" customHeight="false" outlineLevel="0" collapsed="false">
      <c r="A385" s="13" t="s">
        <v>851</v>
      </c>
      <c r="B385" s="14" t="s">
        <v>852</v>
      </c>
      <c r="C385" s="15" t="n">
        <v>2120</v>
      </c>
      <c r="D385" s="15" t="n">
        <v>7</v>
      </c>
      <c r="E385" s="13" t="s">
        <v>82</v>
      </c>
      <c r="F385" s="15" t="str">
        <f aca="false">IF(C385&gt;=J385,"ja","nein")</f>
        <v>ja</v>
      </c>
      <c r="G385" s="15" t="str">
        <f aca="false">IF(C385&gt;=K385,"ja","nein")</f>
        <v>ja</v>
      </c>
      <c r="H385" s="15" t="str">
        <f aca="false">IF(C385&gt;=L385,"ja","nein")</f>
        <v>ja</v>
      </c>
      <c r="I385" s="15" t="str">
        <f aca="false">IF(C385&gt;=M385,"ja","nein")</f>
        <v>ja</v>
      </c>
      <c r="J385" s="15" t="n">
        <f aca="false">ROUND(Annahmen!$K$35*(1+Annahmen!$B$20*D385/1000),0)</f>
        <v>841</v>
      </c>
      <c r="K385" s="15" t="n">
        <f aca="false">ROUND(Annahmen!$K$36*(1+Annahmen!$B$20*D385/1000),0)</f>
        <v>1092</v>
      </c>
      <c r="L385" s="15" t="n">
        <f aca="false">ROUND(Annahmen!$K$37*(1+Annahmen!$B$20*D385/1000),0)</f>
        <v>1116</v>
      </c>
      <c r="M385" s="15" t="n">
        <f aca="false">ROUND(Annahmen!$K$38*(1+Annahmen!$B$20*D385/1000),0)</f>
        <v>1116</v>
      </c>
      <c r="N385" s="16" t="s">
        <v>86</v>
      </c>
    </row>
    <row r="386" customFormat="false" ht="15" hidden="false" customHeight="false" outlineLevel="0" collapsed="false">
      <c r="A386" s="13" t="s">
        <v>853</v>
      </c>
      <c r="B386" s="14" t="s">
        <v>854</v>
      </c>
      <c r="C386" s="15" t="n">
        <v>2100</v>
      </c>
      <c r="D386" s="15" t="n">
        <v>525</v>
      </c>
      <c r="E386" s="13" t="s">
        <v>82</v>
      </c>
      <c r="F386" s="15" t="str">
        <f aca="false">IF(C386&gt;=J386,"ja","nein")</f>
        <v>ja</v>
      </c>
      <c r="G386" s="15" t="str">
        <f aca="false">IF(C386&gt;=K386,"ja","nein")</f>
        <v>ja</v>
      </c>
      <c r="H386" s="15" t="str">
        <f aca="false">IF(C386&gt;=L386,"ja","nein")</f>
        <v>ja</v>
      </c>
      <c r="I386" s="15" t="str">
        <f aca="false">IF(C386&gt;=M386,"ja","nein")</f>
        <v>ja</v>
      </c>
      <c r="J386" s="15" t="n">
        <f aca="false">ROUND(Annahmen!$K$35*(1+Annahmen!$B$20*D386/1000),0)</f>
        <v>880</v>
      </c>
      <c r="K386" s="15" t="n">
        <f aca="false">ROUND(Annahmen!$K$36*(1+Annahmen!$B$20*D386/1000),0)</f>
        <v>1143</v>
      </c>
      <c r="L386" s="15" t="n">
        <f aca="false">ROUND(Annahmen!$K$37*(1+Annahmen!$B$20*D386/1000),0)</f>
        <v>1168</v>
      </c>
      <c r="M386" s="15" t="n">
        <f aca="false">ROUND(Annahmen!$K$38*(1+Annahmen!$B$20*D386/1000),0)</f>
        <v>1168</v>
      </c>
      <c r="N386" s="16" t="s">
        <v>86</v>
      </c>
    </row>
    <row r="387" customFormat="false" ht="15" hidden="false" customHeight="false" outlineLevel="0" collapsed="false">
      <c r="A387" s="13" t="s">
        <v>855</v>
      </c>
      <c r="B387" s="14" t="s">
        <v>856</v>
      </c>
      <c r="C387" s="15" t="n">
        <v>2100</v>
      </c>
      <c r="D387" s="15" t="n">
        <v>124</v>
      </c>
      <c r="E387" s="13" t="s">
        <v>82</v>
      </c>
      <c r="F387" s="15" t="str">
        <f aca="false">IF(C387&gt;=J387,"ja","nein")</f>
        <v>ja</v>
      </c>
      <c r="G387" s="15" t="str">
        <f aca="false">IF(C387&gt;=K387,"ja","nein")</f>
        <v>ja</v>
      </c>
      <c r="H387" s="15" t="str">
        <f aca="false">IF(C387&gt;=L387,"ja","nein")</f>
        <v>ja</v>
      </c>
      <c r="I387" s="15" t="str">
        <f aca="false">IF(C387&gt;=M387,"ja","nein")</f>
        <v>ja</v>
      </c>
      <c r="J387" s="15" t="n">
        <f aca="false">ROUND(Annahmen!$K$35*(1+Annahmen!$B$20*D387/1000),0)</f>
        <v>849</v>
      </c>
      <c r="K387" s="15" t="n">
        <f aca="false">ROUND(Annahmen!$K$36*(1+Annahmen!$B$20*D387/1000),0)</f>
        <v>1103</v>
      </c>
      <c r="L387" s="15" t="n">
        <f aca="false">ROUND(Annahmen!$K$37*(1+Annahmen!$B$20*D387/1000),0)</f>
        <v>1127</v>
      </c>
      <c r="M387" s="15" t="n">
        <f aca="false">ROUND(Annahmen!$K$38*(1+Annahmen!$B$20*D387/1000),0)</f>
        <v>1127</v>
      </c>
      <c r="N387" s="16" t="s">
        <v>86</v>
      </c>
    </row>
    <row r="388" customFormat="false" ht="15" hidden="false" customHeight="false" outlineLevel="0" collapsed="false">
      <c r="A388" s="13" t="s">
        <v>857</v>
      </c>
      <c r="B388" s="14" t="s">
        <v>858</v>
      </c>
      <c r="C388" s="15" t="n">
        <v>2100</v>
      </c>
      <c r="D388" s="15" t="n">
        <v>1016</v>
      </c>
      <c r="E388" s="13" t="s">
        <v>82</v>
      </c>
      <c r="F388" s="15" t="str">
        <f aca="false">IF(C388&gt;=J388,"ja","nein")</f>
        <v>ja</v>
      </c>
      <c r="G388" s="15" t="str">
        <f aca="false">IF(C388&gt;=K388,"ja","nein")</f>
        <v>ja</v>
      </c>
      <c r="H388" s="15" t="str">
        <f aca="false">IF(C388&gt;=L388,"ja","nein")</f>
        <v>ja</v>
      </c>
      <c r="I388" s="15" t="str">
        <f aca="false">IF(C388&gt;=M388,"ja","nein")</f>
        <v>ja</v>
      </c>
      <c r="J388" s="15" t="n">
        <f aca="false">ROUND(Annahmen!$K$35*(1+Annahmen!$B$20*D388/1000),0)</f>
        <v>917</v>
      </c>
      <c r="K388" s="15" t="n">
        <f aca="false">ROUND(Annahmen!$K$36*(1+Annahmen!$B$20*D388/1000),0)</f>
        <v>1191</v>
      </c>
      <c r="L388" s="15" t="n">
        <f aca="false">ROUND(Annahmen!$K$37*(1+Annahmen!$B$20*D388/1000),0)</f>
        <v>1217</v>
      </c>
      <c r="M388" s="15" t="n">
        <f aca="false">ROUND(Annahmen!$K$38*(1+Annahmen!$B$20*D388/1000),0)</f>
        <v>1217</v>
      </c>
      <c r="N388" s="16" t="s">
        <v>86</v>
      </c>
    </row>
    <row r="389" customFormat="false" ht="15" hidden="false" customHeight="false" outlineLevel="0" collapsed="false">
      <c r="A389" s="13" t="s">
        <v>859</v>
      </c>
      <c r="B389" s="14" t="s">
        <v>860</v>
      </c>
      <c r="C389" s="15" t="n">
        <v>2050</v>
      </c>
      <c r="D389" s="15" t="n">
        <v>433</v>
      </c>
      <c r="E389" s="13" t="s">
        <v>82</v>
      </c>
      <c r="F389" s="15" t="str">
        <f aca="false">IF(C389&gt;=J389,"ja","nein")</f>
        <v>ja</v>
      </c>
      <c r="G389" s="15" t="str">
        <f aca="false">IF(C389&gt;=K389,"ja","nein")</f>
        <v>ja</v>
      </c>
      <c r="H389" s="15" t="str">
        <f aca="false">IF(C389&gt;=L389,"ja","nein")</f>
        <v>ja</v>
      </c>
      <c r="I389" s="15" t="str">
        <f aca="false">IF(C389&gt;=M389,"ja","nein")</f>
        <v>ja</v>
      </c>
      <c r="J389" s="15" t="n">
        <f aca="false">ROUND(Annahmen!$K$35*(1+Annahmen!$B$20*D389/1000),0)</f>
        <v>873</v>
      </c>
      <c r="K389" s="15" t="n">
        <f aca="false">ROUND(Annahmen!$K$36*(1+Annahmen!$B$20*D389/1000),0)</f>
        <v>1134</v>
      </c>
      <c r="L389" s="15" t="n">
        <f aca="false">ROUND(Annahmen!$K$37*(1+Annahmen!$B$20*D389/1000),0)</f>
        <v>1158</v>
      </c>
      <c r="M389" s="15" t="n">
        <f aca="false">ROUND(Annahmen!$K$38*(1+Annahmen!$B$20*D389/1000),0)</f>
        <v>1158</v>
      </c>
      <c r="N389" s="16" t="s">
        <v>86</v>
      </c>
    </row>
    <row r="390" customFormat="false" ht="15" hidden="false" customHeight="false" outlineLevel="0" collapsed="false">
      <c r="A390" s="13" t="s">
        <v>861</v>
      </c>
      <c r="B390" s="14" t="s">
        <v>862</v>
      </c>
      <c r="C390" s="15" t="n">
        <v>2040</v>
      </c>
      <c r="D390" s="15" t="n">
        <v>1910</v>
      </c>
      <c r="E390" s="13" t="s">
        <v>82</v>
      </c>
      <c r="F390" s="15" t="str">
        <f aca="false">IF(C390&gt;=J390,"ja","nein")</f>
        <v>ja</v>
      </c>
      <c r="G390" s="15" t="str">
        <f aca="false">IF(C390&gt;=K390,"ja","nein")</f>
        <v>ja</v>
      </c>
      <c r="H390" s="15" t="str">
        <f aca="false">IF(C390&gt;=L390,"ja","nein")</f>
        <v>ja</v>
      </c>
      <c r="I390" s="15" t="str">
        <f aca="false">IF(C390&gt;=M390,"ja","nein")</f>
        <v>ja</v>
      </c>
      <c r="J390" s="15" t="n">
        <f aca="false">ROUND(Annahmen!$K$35*(1+Annahmen!$B$20*D390/1000),0)</f>
        <v>984</v>
      </c>
      <c r="K390" s="15" t="n">
        <f aca="false">ROUND(Annahmen!$K$36*(1+Annahmen!$B$20*D390/1000),0)</f>
        <v>1279</v>
      </c>
      <c r="L390" s="15" t="n">
        <f aca="false">ROUND(Annahmen!$K$37*(1+Annahmen!$B$20*D390/1000),0)</f>
        <v>1307</v>
      </c>
      <c r="M390" s="15" t="n">
        <f aca="false">ROUND(Annahmen!$K$38*(1+Annahmen!$B$20*D390/1000),0)</f>
        <v>1307</v>
      </c>
      <c r="N390" s="16" t="s">
        <v>86</v>
      </c>
    </row>
    <row r="391" customFormat="false" ht="15" hidden="false" customHeight="false" outlineLevel="0" collapsed="false">
      <c r="A391" s="13" t="s">
        <v>863</v>
      </c>
      <c r="B391" s="14" t="s">
        <v>864</v>
      </c>
      <c r="C391" s="15" t="n">
        <v>2030</v>
      </c>
      <c r="D391" s="15" t="n">
        <v>796</v>
      </c>
      <c r="E391" s="13" t="s">
        <v>82</v>
      </c>
      <c r="F391" s="15" t="str">
        <f aca="false">IF(C391&gt;=J391,"ja","nein")</f>
        <v>ja</v>
      </c>
      <c r="G391" s="15" t="str">
        <f aca="false">IF(C391&gt;=K391,"ja","nein")</f>
        <v>ja</v>
      </c>
      <c r="H391" s="15" t="str">
        <f aca="false">IF(C391&gt;=L391,"ja","nein")</f>
        <v>ja</v>
      </c>
      <c r="I391" s="15" t="str">
        <f aca="false">IF(C391&gt;=M391,"ja","nein")</f>
        <v>ja</v>
      </c>
      <c r="J391" s="15" t="n">
        <f aca="false">ROUND(Annahmen!$K$35*(1+Annahmen!$B$20*D391/1000),0)</f>
        <v>900</v>
      </c>
      <c r="K391" s="15" t="n">
        <f aca="false">ROUND(Annahmen!$K$36*(1+Annahmen!$B$20*D391/1000),0)</f>
        <v>1169</v>
      </c>
      <c r="L391" s="15" t="n">
        <f aca="false">ROUND(Annahmen!$K$37*(1+Annahmen!$B$20*D391/1000),0)</f>
        <v>1195</v>
      </c>
      <c r="M391" s="15" t="n">
        <f aca="false">ROUND(Annahmen!$K$38*(1+Annahmen!$B$20*D391/1000),0)</f>
        <v>1195</v>
      </c>
      <c r="N391" s="16" t="s">
        <v>86</v>
      </c>
    </row>
    <row r="392" customFormat="false" ht="15" hidden="false" customHeight="false" outlineLevel="0" collapsed="false">
      <c r="A392" s="13" t="s">
        <v>865</v>
      </c>
      <c r="B392" s="14" t="s">
        <v>866</v>
      </c>
      <c r="C392" s="15" t="n">
        <v>2020</v>
      </c>
      <c r="D392" s="15" t="n">
        <v>779</v>
      </c>
      <c r="E392" s="13" t="s">
        <v>82</v>
      </c>
      <c r="F392" s="15" t="str">
        <f aca="false">IF(C392&gt;=J392,"ja","nein")</f>
        <v>ja</v>
      </c>
      <c r="G392" s="15" t="str">
        <f aca="false">IF(C392&gt;=K392,"ja","nein")</f>
        <v>ja</v>
      </c>
      <c r="H392" s="15" t="str">
        <f aca="false">IF(C392&gt;=L392,"ja","nein")</f>
        <v>ja</v>
      </c>
      <c r="I392" s="15" t="str">
        <f aca="false">IF(C392&gt;=M392,"ja","nein")</f>
        <v>ja</v>
      </c>
      <c r="J392" s="15" t="n">
        <f aca="false">ROUND(Annahmen!$K$35*(1+Annahmen!$B$20*D392/1000),0)</f>
        <v>899</v>
      </c>
      <c r="K392" s="15" t="n">
        <f aca="false">ROUND(Annahmen!$K$36*(1+Annahmen!$B$20*D392/1000),0)</f>
        <v>1167</v>
      </c>
      <c r="L392" s="15" t="n">
        <f aca="false">ROUND(Annahmen!$K$37*(1+Annahmen!$B$20*D392/1000),0)</f>
        <v>1193</v>
      </c>
      <c r="M392" s="15" t="n">
        <f aca="false">ROUND(Annahmen!$K$38*(1+Annahmen!$B$20*D392/1000),0)</f>
        <v>1193</v>
      </c>
      <c r="N392" s="16" t="s">
        <v>86</v>
      </c>
    </row>
    <row r="393" customFormat="false" ht="15" hidden="false" customHeight="false" outlineLevel="0" collapsed="false">
      <c r="A393" s="13" t="s">
        <v>867</v>
      </c>
      <c r="B393" s="14" t="s">
        <v>868</v>
      </c>
      <c r="C393" s="15" t="n">
        <v>2000</v>
      </c>
      <c r="D393" s="15" t="n">
        <v>312</v>
      </c>
      <c r="E393" s="13" t="s">
        <v>82</v>
      </c>
      <c r="F393" s="15" t="str">
        <f aca="false">IF(C393&gt;=J393,"ja","nein")</f>
        <v>ja</v>
      </c>
      <c r="G393" s="15" t="str">
        <f aca="false">IF(C393&gt;=K393,"ja","nein")</f>
        <v>ja</v>
      </c>
      <c r="H393" s="15" t="str">
        <f aca="false">IF(C393&gt;=L393,"ja","nein")</f>
        <v>ja</v>
      </c>
      <c r="I393" s="15" t="str">
        <f aca="false">IF(C393&gt;=M393,"ja","nein")</f>
        <v>ja</v>
      </c>
      <c r="J393" s="15" t="n">
        <f aca="false">ROUND(Annahmen!$K$35*(1+Annahmen!$B$20*D393/1000),0)</f>
        <v>864</v>
      </c>
      <c r="K393" s="15" t="n">
        <f aca="false">ROUND(Annahmen!$K$36*(1+Annahmen!$B$20*D393/1000),0)</f>
        <v>1122</v>
      </c>
      <c r="L393" s="15" t="n">
        <f aca="false">ROUND(Annahmen!$K$37*(1+Annahmen!$B$20*D393/1000),0)</f>
        <v>1146</v>
      </c>
      <c r="M393" s="15" t="n">
        <f aca="false">ROUND(Annahmen!$K$38*(1+Annahmen!$B$20*D393/1000),0)</f>
        <v>1146</v>
      </c>
      <c r="N393" s="16" t="s">
        <v>102</v>
      </c>
    </row>
    <row r="394" customFormat="false" ht="15" hidden="false" customHeight="false" outlineLevel="0" collapsed="false">
      <c r="A394" s="13" t="s">
        <v>869</v>
      </c>
      <c r="B394" s="14" t="s">
        <v>870</v>
      </c>
      <c r="C394" s="15" t="n">
        <v>1975</v>
      </c>
      <c r="D394" s="15" t="n">
        <v>302</v>
      </c>
      <c r="E394" s="13" t="s">
        <v>82</v>
      </c>
      <c r="F394" s="15" t="str">
        <f aca="false">IF(C394&gt;=J394,"ja","nein")</f>
        <v>ja</v>
      </c>
      <c r="G394" s="15" t="str">
        <f aca="false">IF(C394&gt;=K394,"ja","nein")</f>
        <v>ja</v>
      </c>
      <c r="H394" s="15" t="str">
        <f aca="false">IF(C394&gt;=L394,"ja","nein")</f>
        <v>ja</v>
      </c>
      <c r="I394" s="15" t="str">
        <f aca="false">IF(C394&gt;=M394,"ja","nein")</f>
        <v>ja</v>
      </c>
      <c r="J394" s="15" t="n">
        <f aca="false">ROUND(Annahmen!$K$35*(1+Annahmen!$B$20*D394/1000),0)</f>
        <v>863</v>
      </c>
      <c r="K394" s="15" t="n">
        <f aca="false">ROUND(Annahmen!$K$36*(1+Annahmen!$B$20*D394/1000),0)</f>
        <v>1121</v>
      </c>
      <c r="L394" s="15" t="n">
        <f aca="false">ROUND(Annahmen!$K$37*(1+Annahmen!$B$20*D394/1000),0)</f>
        <v>1145</v>
      </c>
      <c r="M394" s="15" t="n">
        <f aca="false">ROUND(Annahmen!$K$38*(1+Annahmen!$B$20*D394/1000),0)</f>
        <v>1145</v>
      </c>
      <c r="N394" s="16" t="s">
        <v>86</v>
      </c>
    </row>
    <row r="395" customFormat="false" ht="15" hidden="false" customHeight="false" outlineLevel="0" collapsed="false">
      <c r="A395" s="13" t="s">
        <v>871</v>
      </c>
      <c r="B395" s="14" t="s">
        <v>872</v>
      </c>
      <c r="C395" s="15" t="n">
        <v>1972</v>
      </c>
      <c r="D395" s="15" t="n">
        <v>266</v>
      </c>
      <c r="E395" s="13" t="s">
        <v>82</v>
      </c>
      <c r="F395" s="15" t="str">
        <f aca="false">IF(C395&gt;=J395,"ja","nein")</f>
        <v>ja</v>
      </c>
      <c r="G395" s="15" t="str">
        <f aca="false">IF(C395&gt;=K395,"ja","nein")</f>
        <v>ja</v>
      </c>
      <c r="H395" s="15" t="str">
        <f aca="false">IF(C395&gt;=L395,"ja","nein")</f>
        <v>ja</v>
      </c>
      <c r="I395" s="15" t="str">
        <f aca="false">IF(C395&gt;=M395,"ja","nein")</f>
        <v>ja</v>
      </c>
      <c r="J395" s="15" t="n">
        <f aca="false">ROUND(Annahmen!$K$35*(1+Annahmen!$B$20*D395/1000),0)</f>
        <v>860</v>
      </c>
      <c r="K395" s="15" t="n">
        <f aca="false">ROUND(Annahmen!$K$36*(1+Annahmen!$B$20*D395/1000),0)</f>
        <v>1117</v>
      </c>
      <c r="L395" s="15" t="n">
        <f aca="false">ROUND(Annahmen!$K$37*(1+Annahmen!$B$20*D395/1000),0)</f>
        <v>1142</v>
      </c>
      <c r="M395" s="15" t="n">
        <f aca="false">ROUND(Annahmen!$K$38*(1+Annahmen!$B$20*D395/1000),0)</f>
        <v>1142</v>
      </c>
      <c r="N395" s="16" t="s">
        <v>102</v>
      </c>
    </row>
    <row r="396" customFormat="false" ht="15" hidden="false" customHeight="false" outlineLevel="0" collapsed="false">
      <c r="A396" s="13" t="s">
        <v>873</v>
      </c>
      <c r="B396" s="14" t="s">
        <v>874</v>
      </c>
      <c r="C396" s="15" t="n">
        <v>1900</v>
      </c>
      <c r="D396" s="15" t="n">
        <v>1497</v>
      </c>
      <c r="E396" s="13" t="s">
        <v>82</v>
      </c>
      <c r="F396" s="15" t="str">
        <f aca="false">IF(C396&gt;=J396,"ja","nein")</f>
        <v>ja</v>
      </c>
      <c r="G396" s="15" t="str">
        <f aca="false">IF(C396&gt;=K396,"ja","nein")</f>
        <v>ja</v>
      </c>
      <c r="H396" s="15" t="str">
        <f aca="false">IF(C396&gt;=L396,"ja","nein")</f>
        <v>ja</v>
      </c>
      <c r="I396" s="15" t="str">
        <f aca="false">IF(C396&gt;=M396,"ja","nein")</f>
        <v>ja</v>
      </c>
      <c r="J396" s="15" t="n">
        <f aca="false">ROUND(Annahmen!$K$35*(1+Annahmen!$B$20*D396/1000),0)</f>
        <v>953</v>
      </c>
      <c r="K396" s="15" t="n">
        <f aca="false">ROUND(Annahmen!$K$36*(1+Annahmen!$B$20*D396/1000),0)</f>
        <v>1238</v>
      </c>
      <c r="L396" s="15" t="n">
        <f aca="false">ROUND(Annahmen!$K$37*(1+Annahmen!$B$20*D396/1000),0)</f>
        <v>1265</v>
      </c>
      <c r="M396" s="15" t="n">
        <f aca="false">ROUND(Annahmen!$K$38*(1+Annahmen!$B$20*D396/1000),0)</f>
        <v>1265</v>
      </c>
      <c r="N396" s="16" t="s">
        <v>86</v>
      </c>
    </row>
    <row r="397" customFormat="false" ht="15" hidden="false" customHeight="false" outlineLevel="0" collapsed="false">
      <c r="A397" s="13" t="s">
        <v>875</v>
      </c>
      <c r="B397" s="14" t="s">
        <v>876</v>
      </c>
      <c r="C397" s="15" t="n">
        <v>1900</v>
      </c>
      <c r="D397" s="15" t="n">
        <v>411</v>
      </c>
      <c r="E397" s="13" t="s">
        <v>82</v>
      </c>
      <c r="F397" s="15" t="str">
        <f aca="false">IF(C397&gt;=J397,"ja","nein")</f>
        <v>ja</v>
      </c>
      <c r="G397" s="15" t="str">
        <f aca="false">IF(C397&gt;=K397,"ja","nein")</f>
        <v>ja</v>
      </c>
      <c r="H397" s="15" t="str">
        <f aca="false">IF(C397&gt;=L397,"ja","nein")</f>
        <v>ja</v>
      </c>
      <c r="I397" s="15" t="str">
        <f aca="false">IF(C397&gt;=M397,"ja","nein")</f>
        <v>ja</v>
      </c>
      <c r="J397" s="15" t="n">
        <f aca="false">ROUND(Annahmen!$K$35*(1+Annahmen!$B$20*D397/1000),0)</f>
        <v>871</v>
      </c>
      <c r="K397" s="15" t="n">
        <f aca="false">ROUND(Annahmen!$K$36*(1+Annahmen!$B$20*D397/1000),0)</f>
        <v>1131</v>
      </c>
      <c r="L397" s="15" t="n">
        <f aca="false">ROUND(Annahmen!$K$37*(1+Annahmen!$B$20*D397/1000),0)</f>
        <v>1156</v>
      </c>
      <c r="M397" s="15" t="n">
        <f aca="false">ROUND(Annahmen!$K$38*(1+Annahmen!$B$20*D397/1000),0)</f>
        <v>1156</v>
      </c>
      <c r="N397" s="16" t="s">
        <v>86</v>
      </c>
    </row>
    <row r="398" customFormat="false" ht="15" hidden="false" customHeight="false" outlineLevel="0" collapsed="false">
      <c r="A398" s="13" t="s">
        <v>877</v>
      </c>
      <c r="B398" s="14" t="s">
        <v>878</v>
      </c>
      <c r="C398" s="15" t="n">
        <v>1900</v>
      </c>
      <c r="D398" s="15" t="n">
        <v>256</v>
      </c>
      <c r="E398" s="13" t="s">
        <v>82</v>
      </c>
      <c r="F398" s="15" t="str">
        <f aca="false">IF(C398&gt;=J398,"ja","nein")</f>
        <v>ja</v>
      </c>
      <c r="G398" s="15" t="str">
        <f aca="false">IF(C398&gt;=K398,"ja","nein")</f>
        <v>ja</v>
      </c>
      <c r="H398" s="15" t="str">
        <f aca="false">IF(C398&gt;=L398,"ja","nein")</f>
        <v>ja</v>
      </c>
      <c r="I398" s="15" t="str">
        <f aca="false">IF(C398&gt;=M398,"ja","nein")</f>
        <v>ja</v>
      </c>
      <c r="J398" s="15" t="n">
        <f aca="false">ROUND(Annahmen!$K$35*(1+Annahmen!$B$20*D398/1000),0)</f>
        <v>859</v>
      </c>
      <c r="K398" s="15" t="n">
        <f aca="false">ROUND(Annahmen!$K$36*(1+Annahmen!$B$20*D398/1000),0)</f>
        <v>1116</v>
      </c>
      <c r="L398" s="15" t="n">
        <f aca="false">ROUND(Annahmen!$K$37*(1+Annahmen!$B$20*D398/1000),0)</f>
        <v>1141</v>
      </c>
      <c r="M398" s="15" t="n">
        <f aca="false">ROUND(Annahmen!$K$38*(1+Annahmen!$B$20*D398/1000),0)</f>
        <v>1141</v>
      </c>
      <c r="N398" s="16" t="s">
        <v>86</v>
      </c>
    </row>
    <row r="399" customFormat="false" ht="15" hidden="false" customHeight="false" outlineLevel="0" collapsed="false">
      <c r="A399" s="13" t="s">
        <v>879</v>
      </c>
      <c r="B399" s="14" t="s">
        <v>880</v>
      </c>
      <c r="C399" s="15" t="n">
        <v>1880</v>
      </c>
      <c r="D399" s="15" t="n">
        <v>124</v>
      </c>
      <c r="E399" s="13" t="s">
        <v>82</v>
      </c>
      <c r="F399" s="15" t="str">
        <f aca="false">IF(C399&gt;=J399,"ja","nein")</f>
        <v>ja</v>
      </c>
      <c r="G399" s="15" t="str">
        <f aca="false">IF(C399&gt;=K399,"ja","nein")</f>
        <v>ja</v>
      </c>
      <c r="H399" s="15" t="str">
        <f aca="false">IF(C399&gt;=L399,"ja","nein")</f>
        <v>ja</v>
      </c>
      <c r="I399" s="15" t="str">
        <f aca="false">IF(C399&gt;=M399,"ja","nein")</f>
        <v>ja</v>
      </c>
      <c r="J399" s="15" t="n">
        <f aca="false">ROUND(Annahmen!$K$35*(1+Annahmen!$B$20*D399/1000),0)</f>
        <v>849</v>
      </c>
      <c r="K399" s="15" t="n">
        <f aca="false">ROUND(Annahmen!$K$36*(1+Annahmen!$B$20*D399/1000),0)</f>
        <v>1103</v>
      </c>
      <c r="L399" s="15" t="n">
        <f aca="false">ROUND(Annahmen!$K$37*(1+Annahmen!$B$20*D399/1000),0)</f>
        <v>1127</v>
      </c>
      <c r="M399" s="15" t="n">
        <f aca="false">ROUND(Annahmen!$K$38*(1+Annahmen!$B$20*D399/1000),0)</f>
        <v>1127</v>
      </c>
      <c r="N399" s="16" t="s">
        <v>86</v>
      </c>
    </row>
    <row r="400" customFormat="false" ht="15" hidden="false" customHeight="false" outlineLevel="0" collapsed="false">
      <c r="A400" s="13" t="s">
        <v>881</v>
      </c>
      <c r="B400" s="14" t="s">
        <v>882</v>
      </c>
      <c r="C400" s="15" t="n">
        <v>1850</v>
      </c>
      <c r="D400" s="15" t="n">
        <v>36</v>
      </c>
      <c r="E400" s="13" t="s">
        <v>82</v>
      </c>
      <c r="F400" s="15" t="str">
        <f aca="false">IF(C400&gt;=J400,"ja","nein")</f>
        <v>ja</v>
      </c>
      <c r="G400" s="15" t="str">
        <f aca="false">IF(C400&gt;=K400,"ja","nein")</f>
        <v>ja</v>
      </c>
      <c r="H400" s="15" t="str">
        <f aca="false">IF(C400&gt;=L400,"ja","nein")</f>
        <v>ja</v>
      </c>
      <c r="I400" s="15" t="str">
        <f aca="false">IF(C400&gt;=M400,"ja","nein")</f>
        <v>ja</v>
      </c>
      <c r="J400" s="15" t="n">
        <f aca="false">ROUND(Annahmen!$K$35*(1+Annahmen!$B$20*D400/1000),0)</f>
        <v>843</v>
      </c>
      <c r="K400" s="15" t="n">
        <f aca="false">ROUND(Annahmen!$K$36*(1+Annahmen!$B$20*D400/1000),0)</f>
        <v>1095</v>
      </c>
      <c r="L400" s="15" t="n">
        <f aca="false">ROUND(Annahmen!$K$37*(1+Annahmen!$B$20*D400/1000),0)</f>
        <v>1119</v>
      </c>
      <c r="M400" s="15" t="n">
        <f aca="false">ROUND(Annahmen!$K$38*(1+Annahmen!$B$20*D400/1000),0)</f>
        <v>1119</v>
      </c>
      <c r="N400" s="16" t="s">
        <v>86</v>
      </c>
    </row>
    <row r="401" customFormat="false" ht="15" hidden="false" customHeight="false" outlineLevel="0" collapsed="false">
      <c r="A401" s="13" t="s">
        <v>883</v>
      </c>
      <c r="B401" s="14" t="s">
        <v>884</v>
      </c>
      <c r="C401" s="15" t="n">
        <v>1840</v>
      </c>
      <c r="D401" s="15" t="n">
        <v>61</v>
      </c>
      <c r="E401" s="13" t="s">
        <v>82</v>
      </c>
      <c r="F401" s="15" t="str">
        <f aca="false">IF(C401&gt;=J401,"ja","nein")</f>
        <v>ja</v>
      </c>
      <c r="G401" s="15" t="str">
        <f aca="false">IF(C401&gt;=K401,"ja","nein")</f>
        <v>ja</v>
      </c>
      <c r="H401" s="15" t="str">
        <f aca="false">IF(C401&gt;=L401,"ja","nein")</f>
        <v>ja</v>
      </c>
      <c r="I401" s="15" t="str">
        <f aca="false">IF(C401&gt;=M401,"ja","nein")</f>
        <v>ja</v>
      </c>
      <c r="J401" s="15" t="n">
        <f aca="false">ROUND(Annahmen!$K$35*(1+Annahmen!$B$20*D401/1000),0)</f>
        <v>845</v>
      </c>
      <c r="K401" s="15" t="n">
        <f aca="false">ROUND(Annahmen!$K$36*(1+Annahmen!$B$20*D401/1000),0)</f>
        <v>1097</v>
      </c>
      <c r="L401" s="15" t="n">
        <f aca="false">ROUND(Annahmen!$K$37*(1+Annahmen!$B$20*D401/1000),0)</f>
        <v>1121</v>
      </c>
      <c r="M401" s="15" t="n">
        <f aca="false">ROUND(Annahmen!$K$38*(1+Annahmen!$B$20*D401/1000),0)</f>
        <v>1121</v>
      </c>
      <c r="N401" s="16" t="s">
        <v>86</v>
      </c>
    </row>
    <row r="402" customFormat="false" ht="15" hidden="false" customHeight="false" outlineLevel="0" collapsed="false">
      <c r="A402" s="13" t="s">
        <v>885</v>
      </c>
      <c r="B402" s="14" t="s">
        <v>886</v>
      </c>
      <c r="C402" s="15" t="n">
        <v>1825</v>
      </c>
      <c r="D402" s="15" t="n">
        <v>788</v>
      </c>
      <c r="E402" s="13" t="s">
        <v>82</v>
      </c>
      <c r="F402" s="15" t="str">
        <f aca="false">IF(C402&gt;=J402,"ja","nein")</f>
        <v>ja</v>
      </c>
      <c r="G402" s="15" t="str">
        <f aca="false">IF(C402&gt;=K402,"ja","nein")</f>
        <v>ja</v>
      </c>
      <c r="H402" s="15" t="str">
        <f aca="false">IF(C402&gt;=L402,"ja","nein")</f>
        <v>ja</v>
      </c>
      <c r="I402" s="15" t="str">
        <f aca="false">IF(C402&gt;=M402,"ja","nein")</f>
        <v>ja</v>
      </c>
      <c r="J402" s="15" t="n">
        <f aca="false">ROUND(Annahmen!$K$35*(1+Annahmen!$B$20*D402/1000),0)</f>
        <v>900</v>
      </c>
      <c r="K402" s="15" t="n">
        <f aca="false">ROUND(Annahmen!$K$36*(1+Annahmen!$B$20*D402/1000),0)</f>
        <v>1168</v>
      </c>
      <c r="L402" s="15" t="n">
        <f aca="false">ROUND(Annahmen!$K$37*(1+Annahmen!$B$20*D402/1000),0)</f>
        <v>1194</v>
      </c>
      <c r="M402" s="15" t="n">
        <f aca="false">ROUND(Annahmen!$K$38*(1+Annahmen!$B$20*D402/1000),0)</f>
        <v>1194</v>
      </c>
      <c r="N402" s="16" t="s">
        <v>86</v>
      </c>
    </row>
    <row r="403" customFormat="false" ht="15" hidden="false" customHeight="false" outlineLevel="0" collapsed="false">
      <c r="A403" s="13" t="s">
        <v>887</v>
      </c>
      <c r="B403" s="14" t="s">
        <v>888</v>
      </c>
      <c r="C403" s="15" t="n">
        <v>1820</v>
      </c>
      <c r="D403" s="15" t="n">
        <v>659</v>
      </c>
      <c r="E403" s="13" t="s">
        <v>82</v>
      </c>
      <c r="F403" s="15" t="str">
        <f aca="false">IF(C403&gt;=J403,"ja","nein")</f>
        <v>ja</v>
      </c>
      <c r="G403" s="15" t="str">
        <f aca="false">IF(C403&gt;=K403,"ja","nein")</f>
        <v>ja</v>
      </c>
      <c r="H403" s="15" t="str">
        <f aca="false">IF(C403&gt;=L403,"ja","nein")</f>
        <v>ja</v>
      </c>
      <c r="I403" s="15" t="str">
        <f aca="false">IF(C403&gt;=M403,"ja","nein")</f>
        <v>ja</v>
      </c>
      <c r="J403" s="15" t="n">
        <f aca="false">ROUND(Annahmen!$K$35*(1+Annahmen!$B$20*D403/1000),0)</f>
        <v>890</v>
      </c>
      <c r="K403" s="15" t="n">
        <f aca="false">ROUND(Annahmen!$K$36*(1+Annahmen!$B$20*D403/1000),0)</f>
        <v>1156</v>
      </c>
      <c r="L403" s="15" t="n">
        <f aca="false">ROUND(Annahmen!$K$37*(1+Annahmen!$B$20*D403/1000),0)</f>
        <v>1181</v>
      </c>
      <c r="M403" s="15" t="n">
        <f aca="false">ROUND(Annahmen!$K$38*(1+Annahmen!$B$20*D403/1000),0)</f>
        <v>1181</v>
      </c>
      <c r="N403" s="16" t="s">
        <v>86</v>
      </c>
    </row>
    <row r="404" customFormat="false" ht="15" hidden="false" customHeight="false" outlineLevel="0" collapsed="false">
      <c r="A404" s="13" t="s">
        <v>889</v>
      </c>
      <c r="B404" s="14" t="s">
        <v>890</v>
      </c>
      <c r="C404" s="15" t="n">
        <v>1820</v>
      </c>
      <c r="D404" s="15" t="n">
        <v>56</v>
      </c>
      <c r="E404" s="13" t="s">
        <v>82</v>
      </c>
      <c r="F404" s="15" t="str">
        <f aca="false">IF(C404&gt;=J404,"ja","nein")</f>
        <v>ja</v>
      </c>
      <c r="G404" s="15" t="str">
        <f aca="false">IF(C404&gt;=K404,"ja","nein")</f>
        <v>ja</v>
      </c>
      <c r="H404" s="15" t="str">
        <f aca="false">IF(C404&gt;=L404,"ja","nein")</f>
        <v>ja</v>
      </c>
      <c r="I404" s="15" t="str">
        <f aca="false">IF(C404&gt;=M404,"ja","nein")</f>
        <v>ja</v>
      </c>
      <c r="J404" s="15" t="n">
        <f aca="false">ROUND(Annahmen!$K$35*(1+Annahmen!$B$20*D404/1000),0)</f>
        <v>844</v>
      </c>
      <c r="K404" s="15" t="n">
        <f aca="false">ROUND(Annahmen!$K$36*(1+Annahmen!$B$20*D404/1000),0)</f>
        <v>1096</v>
      </c>
      <c r="L404" s="15" t="n">
        <f aca="false">ROUND(Annahmen!$K$37*(1+Annahmen!$B$20*D404/1000),0)</f>
        <v>1121</v>
      </c>
      <c r="M404" s="15" t="n">
        <f aca="false">ROUND(Annahmen!$K$38*(1+Annahmen!$B$20*D404/1000),0)</f>
        <v>1121</v>
      </c>
      <c r="N404" s="16" t="s">
        <v>86</v>
      </c>
    </row>
    <row r="405" customFormat="false" ht="15" hidden="false" customHeight="false" outlineLevel="0" collapsed="false">
      <c r="A405" s="13" t="s">
        <v>891</v>
      </c>
      <c r="B405" s="14" t="s">
        <v>892</v>
      </c>
      <c r="C405" s="15" t="n">
        <v>1810</v>
      </c>
      <c r="D405" s="15" t="n">
        <v>436</v>
      </c>
      <c r="E405" s="13" t="s">
        <v>82</v>
      </c>
      <c r="F405" s="15" t="str">
        <f aca="false">IF(C405&gt;=J405,"ja","nein")</f>
        <v>ja</v>
      </c>
      <c r="G405" s="15" t="str">
        <f aca="false">IF(C405&gt;=K405,"ja","nein")</f>
        <v>ja</v>
      </c>
      <c r="H405" s="15" t="str">
        <f aca="false">IF(C405&gt;=L405,"ja","nein")</f>
        <v>ja</v>
      </c>
      <c r="I405" s="15" t="str">
        <f aca="false">IF(C405&gt;=M405,"ja","nein")</f>
        <v>ja</v>
      </c>
      <c r="J405" s="15" t="n">
        <f aca="false">ROUND(Annahmen!$K$35*(1+Annahmen!$B$20*D405/1000),0)</f>
        <v>873</v>
      </c>
      <c r="K405" s="15" t="n">
        <f aca="false">ROUND(Annahmen!$K$36*(1+Annahmen!$B$20*D405/1000),0)</f>
        <v>1134</v>
      </c>
      <c r="L405" s="15" t="n">
        <f aca="false">ROUND(Annahmen!$K$37*(1+Annahmen!$B$20*D405/1000),0)</f>
        <v>1159</v>
      </c>
      <c r="M405" s="15" t="n">
        <f aca="false">ROUND(Annahmen!$K$38*(1+Annahmen!$B$20*D405/1000),0)</f>
        <v>1159</v>
      </c>
      <c r="N405" s="16" t="s">
        <v>86</v>
      </c>
    </row>
    <row r="406" customFormat="false" ht="15" hidden="false" customHeight="false" outlineLevel="0" collapsed="false">
      <c r="A406" s="13" t="s">
        <v>893</v>
      </c>
      <c r="B406" s="14" t="s">
        <v>894</v>
      </c>
      <c r="C406" s="15" t="n">
        <v>1800</v>
      </c>
      <c r="D406" s="15" t="n">
        <v>194</v>
      </c>
      <c r="E406" s="13" t="s">
        <v>82</v>
      </c>
      <c r="F406" s="15" t="str">
        <f aca="false">IF(C406&gt;=J406,"ja","nein")</f>
        <v>ja</v>
      </c>
      <c r="G406" s="15" t="str">
        <f aca="false">IF(C406&gt;=K406,"ja","nein")</f>
        <v>ja</v>
      </c>
      <c r="H406" s="15" t="str">
        <f aca="false">IF(C406&gt;=L406,"ja","nein")</f>
        <v>ja</v>
      </c>
      <c r="I406" s="15" t="str">
        <f aca="false">IF(C406&gt;=M406,"ja","nein")</f>
        <v>ja</v>
      </c>
      <c r="J406" s="15" t="n">
        <f aca="false">ROUND(Annahmen!$K$35*(1+Annahmen!$B$20*D406/1000),0)</f>
        <v>855</v>
      </c>
      <c r="K406" s="15" t="n">
        <f aca="false">ROUND(Annahmen!$K$36*(1+Annahmen!$B$20*D406/1000),0)</f>
        <v>1110</v>
      </c>
      <c r="L406" s="15" t="n">
        <f aca="false">ROUND(Annahmen!$K$37*(1+Annahmen!$B$20*D406/1000),0)</f>
        <v>1134</v>
      </c>
      <c r="M406" s="15" t="n">
        <f aca="false">ROUND(Annahmen!$K$38*(1+Annahmen!$B$20*D406/1000),0)</f>
        <v>1134</v>
      </c>
      <c r="N406" s="16" t="s">
        <v>86</v>
      </c>
    </row>
    <row r="407" customFormat="false" ht="15" hidden="false" customHeight="false" outlineLevel="0" collapsed="false">
      <c r="A407" s="13" t="s">
        <v>895</v>
      </c>
      <c r="B407" s="14" t="s">
        <v>896</v>
      </c>
      <c r="C407" s="15" t="n">
        <v>1760</v>
      </c>
      <c r="D407" s="15" t="n">
        <v>203</v>
      </c>
      <c r="E407" s="13" t="s">
        <v>82</v>
      </c>
      <c r="F407" s="15" t="str">
        <f aca="false">IF(C407&gt;=J407,"ja","nein")</f>
        <v>ja</v>
      </c>
      <c r="G407" s="15" t="str">
        <f aca="false">IF(C407&gt;=K407,"ja","nein")</f>
        <v>ja</v>
      </c>
      <c r="H407" s="15" t="str">
        <f aca="false">IF(C407&gt;=L407,"ja","nein")</f>
        <v>ja</v>
      </c>
      <c r="I407" s="15" t="str">
        <f aca="false">IF(C407&gt;=M407,"ja","nein")</f>
        <v>ja</v>
      </c>
      <c r="J407" s="15" t="n">
        <f aca="false">ROUND(Annahmen!$K$35*(1+Annahmen!$B$20*D407/1000),0)</f>
        <v>855</v>
      </c>
      <c r="K407" s="15" t="n">
        <f aca="false">ROUND(Annahmen!$K$36*(1+Annahmen!$B$20*D407/1000),0)</f>
        <v>1111</v>
      </c>
      <c r="L407" s="15" t="n">
        <f aca="false">ROUND(Annahmen!$K$37*(1+Annahmen!$B$20*D407/1000),0)</f>
        <v>1135</v>
      </c>
      <c r="M407" s="15" t="n">
        <f aca="false">ROUND(Annahmen!$K$38*(1+Annahmen!$B$20*D407/1000),0)</f>
        <v>1135</v>
      </c>
      <c r="N407" s="16" t="s">
        <v>86</v>
      </c>
    </row>
    <row r="408" customFormat="false" ht="15" hidden="false" customHeight="false" outlineLevel="0" collapsed="false">
      <c r="A408" s="13" t="s">
        <v>897</v>
      </c>
      <c r="B408" s="14" t="s">
        <v>898</v>
      </c>
      <c r="C408" s="15" t="n">
        <v>1750</v>
      </c>
      <c r="D408" s="15" t="n">
        <v>328</v>
      </c>
      <c r="E408" s="13" t="s">
        <v>82</v>
      </c>
      <c r="F408" s="15" t="str">
        <f aca="false">IF(C408&gt;=J408,"ja","nein")</f>
        <v>ja</v>
      </c>
      <c r="G408" s="15" t="str">
        <f aca="false">IF(C408&gt;=K408,"ja","nein")</f>
        <v>ja</v>
      </c>
      <c r="H408" s="15" t="str">
        <f aca="false">IF(C408&gt;=L408,"ja","nein")</f>
        <v>ja</v>
      </c>
      <c r="I408" s="15" t="str">
        <f aca="false">IF(C408&gt;=M408,"ja","nein")</f>
        <v>ja</v>
      </c>
      <c r="J408" s="15" t="n">
        <f aca="false">ROUND(Annahmen!$K$35*(1+Annahmen!$B$20*D408/1000),0)</f>
        <v>865</v>
      </c>
      <c r="K408" s="15" t="n">
        <f aca="false">ROUND(Annahmen!$K$36*(1+Annahmen!$B$20*D408/1000),0)</f>
        <v>1123</v>
      </c>
      <c r="L408" s="15" t="n">
        <f aca="false">ROUND(Annahmen!$K$37*(1+Annahmen!$B$20*D408/1000),0)</f>
        <v>1148</v>
      </c>
      <c r="M408" s="15" t="n">
        <f aca="false">ROUND(Annahmen!$K$38*(1+Annahmen!$B$20*D408/1000),0)</f>
        <v>1148</v>
      </c>
      <c r="N408" s="16" t="s">
        <v>86</v>
      </c>
    </row>
    <row r="409" customFormat="false" ht="15" hidden="false" customHeight="false" outlineLevel="0" collapsed="false">
      <c r="A409" s="13" t="s">
        <v>899</v>
      </c>
      <c r="B409" s="14" t="s">
        <v>900</v>
      </c>
      <c r="C409" s="15" t="n">
        <v>1708</v>
      </c>
      <c r="D409" s="15" t="n">
        <v>165</v>
      </c>
      <c r="E409" s="13" t="s">
        <v>82</v>
      </c>
      <c r="F409" s="15" t="str">
        <f aca="false">IF(C409&gt;=J409,"ja","nein")</f>
        <v>ja</v>
      </c>
      <c r="G409" s="15" t="str">
        <f aca="false">IF(C409&gt;=K409,"ja","nein")</f>
        <v>ja</v>
      </c>
      <c r="H409" s="15" t="str">
        <f aca="false">IF(C409&gt;=L409,"ja","nein")</f>
        <v>ja</v>
      </c>
      <c r="I409" s="15" t="str">
        <f aca="false">IF(C409&gt;=M409,"ja","nein")</f>
        <v>ja</v>
      </c>
      <c r="J409" s="15" t="n">
        <f aca="false">ROUND(Annahmen!$K$35*(1+Annahmen!$B$20*D409/1000),0)</f>
        <v>852</v>
      </c>
      <c r="K409" s="15" t="n">
        <f aca="false">ROUND(Annahmen!$K$36*(1+Annahmen!$B$20*D409/1000),0)</f>
        <v>1107</v>
      </c>
      <c r="L409" s="15" t="n">
        <f aca="false">ROUND(Annahmen!$K$37*(1+Annahmen!$B$20*D409/1000),0)</f>
        <v>1132</v>
      </c>
      <c r="M409" s="15" t="n">
        <f aca="false">ROUND(Annahmen!$K$38*(1+Annahmen!$B$20*D409/1000),0)</f>
        <v>1132</v>
      </c>
      <c r="N409" s="16" t="s">
        <v>86</v>
      </c>
    </row>
    <row r="410" customFormat="false" ht="15" hidden="false" customHeight="false" outlineLevel="0" collapsed="false">
      <c r="A410" s="13" t="s">
        <v>901</v>
      </c>
      <c r="B410" s="14" t="s">
        <v>902</v>
      </c>
      <c r="C410" s="15" t="n">
        <v>1700</v>
      </c>
      <c r="D410" s="15" t="n">
        <v>2606</v>
      </c>
      <c r="E410" s="13" t="s">
        <v>82</v>
      </c>
      <c r="F410" s="15" t="str">
        <f aca="false">IF(C410&gt;=J410,"ja","nein")</f>
        <v>ja</v>
      </c>
      <c r="G410" s="15" t="str">
        <f aca="false">IF(C410&gt;=K410,"ja","nein")</f>
        <v>ja</v>
      </c>
      <c r="H410" s="15" t="str">
        <f aca="false">IF(C410&gt;=L410,"ja","nein")</f>
        <v>ja</v>
      </c>
      <c r="I410" s="15" t="str">
        <f aca="false">IF(C410&gt;=M410,"ja","nein")</f>
        <v>ja</v>
      </c>
      <c r="J410" s="15" t="n">
        <f aca="false">ROUND(Annahmen!$K$35*(1+Annahmen!$B$20*D410/1000),0)</f>
        <v>1037</v>
      </c>
      <c r="K410" s="15" t="n">
        <f aca="false">ROUND(Annahmen!$K$36*(1+Annahmen!$B$20*D410/1000),0)</f>
        <v>1347</v>
      </c>
      <c r="L410" s="15" t="n">
        <f aca="false">ROUND(Annahmen!$K$37*(1+Annahmen!$B$20*D410/1000),0)</f>
        <v>1377</v>
      </c>
      <c r="M410" s="15" t="n">
        <f aca="false">ROUND(Annahmen!$K$38*(1+Annahmen!$B$20*D410/1000),0)</f>
        <v>1377</v>
      </c>
      <c r="N410" s="16" t="s">
        <v>102</v>
      </c>
    </row>
    <row r="411" customFormat="false" ht="15" hidden="false" customHeight="false" outlineLevel="0" collapsed="false">
      <c r="A411" s="13" t="s">
        <v>903</v>
      </c>
      <c r="B411" s="14" t="s">
        <v>904</v>
      </c>
      <c r="C411" s="15" t="n">
        <v>1700</v>
      </c>
      <c r="D411" s="15" t="n">
        <v>2096</v>
      </c>
      <c r="E411" s="13" t="s">
        <v>82</v>
      </c>
      <c r="F411" s="15" t="str">
        <f aca="false">IF(C411&gt;=J411,"ja","nein")</f>
        <v>ja</v>
      </c>
      <c r="G411" s="15" t="str">
        <f aca="false">IF(C411&gt;=K411,"ja","nein")</f>
        <v>ja</v>
      </c>
      <c r="H411" s="15" t="str">
        <f aca="false">IF(C411&gt;=L411,"ja","nein")</f>
        <v>ja</v>
      </c>
      <c r="I411" s="15" t="str">
        <f aca="false">IF(C411&gt;=M411,"ja","nein")</f>
        <v>ja</v>
      </c>
      <c r="J411" s="15" t="n">
        <f aca="false">ROUND(Annahmen!$K$35*(1+Annahmen!$B$20*D411/1000),0)</f>
        <v>998</v>
      </c>
      <c r="K411" s="15" t="n">
        <f aca="false">ROUND(Annahmen!$K$36*(1+Annahmen!$B$20*D411/1000),0)</f>
        <v>1297</v>
      </c>
      <c r="L411" s="15" t="n">
        <f aca="false">ROUND(Annahmen!$K$37*(1+Annahmen!$B$20*D411/1000),0)</f>
        <v>1325</v>
      </c>
      <c r="M411" s="15" t="n">
        <f aca="false">ROUND(Annahmen!$K$38*(1+Annahmen!$B$20*D411/1000),0)</f>
        <v>1325</v>
      </c>
      <c r="N411" s="16" t="s">
        <v>86</v>
      </c>
    </row>
    <row r="412" customFormat="false" ht="15" hidden="false" customHeight="false" outlineLevel="0" collapsed="false">
      <c r="A412" s="13" t="s">
        <v>905</v>
      </c>
      <c r="B412" s="14" t="s">
        <v>906</v>
      </c>
      <c r="C412" s="15" t="n">
        <v>1700</v>
      </c>
      <c r="D412" s="15" t="n">
        <v>512</v>
      </c>
      <c r="E412" s="13" t="s">
        <v>82</v>
      </c>
      <c r="F412" s="15" t="str">
        <f aca="false">IF(C412&gt;=J412,"ja","nein")</f>
        <v>ja</v>
      </c>
      <c r="G412" s="15" t="str">
        <f aca="false">IF(C412&gt;=K412,"ja","nein")</f>
        <v>ja</v>
      </c>
      <c r="H412" s="15" t="str">
        <f aca="false">IF(C412&gt;=L412,"ja","nein")</f>
        <v>ja</v>
      </c>
      <c r="I412" s="15" t="str">
        <f aca="false">IF(C412&gt;=M412,"ja","nein")</f>
        <v>ja</v>
      </c>
      <c r="J412" s="15" t="n">
        <f aca="false">ROUND(Annahmen!$K$35*(1+Annahmen!$B$20*D412/1000),0)</f>
        <v>879</v>
      </c>
      <c r="K412" s="15" t="n">
        <f aca="false">ROUND(Annahmen!$K$36*(1+Annahmen!$B$20*D412/1000),0)</f>
        <v>1141</v>
      </c>
      <c r="L412" s="15" t="n">
        <f aca="false">ROUND(Annahmen!$K$37*(1+Annahmen!$B$20*D412/1000),0)</f>
        <v>1166</v>
      </c>
      <c r="M412" s="15" t="n">
        <f aca="false">ROUND(Annahmen!$K$38*(1+Annahmen!$B$20*D412/1000),0)</f>
        <v>1166</v>
      </c>
      <c r="N412" s="16" t="s">
        <v>86</v>
      </c>
    </row>
    <row r="413" customFormat="false" ht="15" hidden="false" customHeight="false" outlineLevel="0" collapsed="false">
      <c r="A413" s="13" t="s">
        <v>907</v>
      </c>
      <c r="B413" s="14" t="s">
        <v>908</v>
      </c>
      <c r="C413" s="15" t="n">
        <v>1700</v>
      </c>
      <c r="D413" s="15" t="n">
        <v>290</v>
      </c>
      <c r="E413" s="13" t="s">
        <v>82</v>
      </c>
      <c r="F413" s="15" t="str">
        <f aca="false">IF(C413&gt;=J413,"ja","nein")</f>
        <v>ja</v>
      </c>
      <c r="G413" s="15" t="str">
        <f aca="false">IF(C413&gt;=K413,"ja","nein")</f>
        <v>ja</v>
      </c>
      <c r="H413" s="15" t="str">
        <f aca="false">IF(C413&gt;=L413,"ja","nein")</f>
        <v>ja</v>
      </c>
      <c r="I413" s="15" t="str">
        <f aca="false">IF(C413&gt;=M413,"ja","nein")</f>
        <v>ja</v>
      </c>
      <c r="J413" s="15" t="n">
        <f aca="false">ROUND(Annahmen!$K$35*(1+Annahmen!$B$20*D413/1000),0)</f>
        <v>862</v>
      </c>
      <c r="K413" s="15" t="n">
        <f aca="false">ROUND(Annahmen!$K$36*(1+Annahmen!$B$20*D413/1000),0)</f>
        <v>1119</v>
      </c>
      <c r="L413" s="15" t="n">
        <f aca="false">ROUND(Annahmen!$K$37*(1+Annahmen!$B$20*D413/1000),0)</f>
        <v>1144</v>
      </c>
      <c r="M413" s="15" t="n">
        <f aca="false">ROUND(Annahmen!$K$38*(1+Annahmen!$B$20*D413/1000),0)</f>
        <v>1144</v>
      </c>
      <c r="N413" s="16" t="s">
        <v>86</v>
      </c>
    </row>
    <row r="414" customFormat="false" ht="15" hidden="false" customHeight="false" outlineLevel="0" collapsed="false">
      <c r="A414" s="13" t="s">
        <v>909</v>
      </c>
      <c r="B414" s="14" t="s">
        <v>910</v>
      </c>
      <c r="C414" s="15" t="n">
        <v>1700</v>
      </c>
      <c r="D414" s="15" t="n">
        <v>1041</v>
      </c>
      <c r="E414" s="13" t="s">
        <v>82</v>
      </c>
      <c r="F414" s="15" t="str">
        <f aca="false">IF(C414&gt;=J414,"ja","nein")</f>
        <v>ja</v>
      </c>
      <c r="G414" s="15" t="str">
        <f aca="false">IF(C414&gt;=K414,"ja","nein")</f>
        <v>ja</v>
      </c>
      <c r="H414" s="15" t="str">
        <f aca="false">IF(C414&gt;=L414,"ja","nein")</f>
        <v>ja</v>
      </c>
      <c r="I414" s="15" t="str">
        <f aca="false">IF(C414&gt;=M414,"ja","nein")</f>
        <v>ja</v>
      </c>
      <c r="J414" s="15" t="n">
        <f aca="false">ROUND(Annahmen!$K$35*(1+Annahmen!$B$20*D414/1000),0)</f>
        <v>919</v>
      </c>
      <c r="K414" s="15" t="n">
        <f aca="false">ROUND(Annahmen!$K$36*(1+Annahmen!$B$20*D414/1000),0)</f>
        <v>1193</v>
      </c>
      <c r="L414" s="15" t="n">
        <f aca="false">ROUND(Annahmen!$K$37*(1+Annahmen!$B$20*D414/1000),0)</f>
        <v>1219</v>
      </c>
      <c r="M414" s="15" t="n">
        <f aca="false">ROUND(Annahmen!$K$38*(1+Annahmen!$B$20*D414/1000),0)</f>
        <v>1219</v>
      </c>
      <c r="N414" s="16" t="s">
        <v>86</v>
      </c>
    </row>
    <row r="415" customFormat="false" ht="15" hidden="false" customHeight="false" outlineLevel="0" collapsed="false">
      <c r="A415" s="13" t="s">
        <v>911</v>
      </c>
      <c r="B415" s="14" t="s">
        <v>912</v>
      </c>
      <c r="C415" s="15" t="n">
        <v>1689</v>
      </c>
      <c r="D415" s="15" t="n">
        <v>325</v>
      </c>
      <c r="E415" s="13" t="s">
        <v>82</v>
      </c>
      <c r="F415" s="15" t="str">
        <f aca="false">IF(C415&gt;=J415,"ja","nein")</f>
        <v>ja</v>
      </c>
      <c r="G415" s="15" t="str">
        <f aca="false">IF(C415&gt;=K415,"ja","nein")</f>
        <v>ja</v>
      </c>
      <c r="H415" s="15" t="str">
        <f aca="false">IF(C415&gt;=L415,"ja","nein")</f>
        <v>ja</v>
      </c>
      <c r="I415" s="15" t="str">
        <f aca="false">IF(C415&gt;=M415,"ja","nein")</f>
        <v>ja</v>
      </c>
      <c r="J415" s="15" t="n">
        <f aca="false">ROUND(Annahmen!$K$35*(1+Annahmen!$B$20*D415/1000),0)</f>
        <v>865</v>
      </c>
      <c r="K415" s="15" t="n">
        <f aca="false">ROUND(Annahmen!$K$36*(1+Annahmen!$B$20*D415/1000),0)</f>
        <v>1123</v>
      </c>
      <c r="L415" s="15" t="n">
        <f aca="false">ROUND(Annahmen!$K$37*(1+Annahmen!$B$20*D415/1000),0)</f>
        <v>1148</v>
      </c>
      <c r="M415" s="15" t="n">
        <f aca="false">ROUND(Annahmen!$K$38*(1+Annahmen!$B$20*D415/1000),0)</f>
        <v>1148</v>
      </c>
      <c r="N415" s="16" t="s">
        <v>86</v>
      </c>
    </row>
    <row r="416" customFormat="false" ht="15" hidden="false" customHeight="false" outlineLevel="0" collapsed="false">
      <c r="A416" s="13" t="s">
        <v>913</v>
      </c>
      <c r="B416" s="14" t="s">
        <v>914</v>
      </c>
      <c r="C416" s="15" t="n">
        <v>1662</v>
      </c>
      <c r="D416" s="15" t="n">
        <v>330</v>
      </c>
      <c r="E416" s="13" t="s">
        <v>82</v>
      </c>
      <c r="F416" s="15" t="str">
        <f aca="false">IF(C416&gt;=J416,"ja","nein")</f>
        <v>ja</v>
      </c>
      <c r="G416" s="15" t="str">
        <f aca="false">IF(C416&gt;=K416,"ja","nein")</f>
        <v>ja</v>
      </c>
      <c r="H416" s="15" t="str">
        <f aca="false">IF(C416&gt;=L416,"ja","nein")</f>
        <v>ja</v>
      </c>
      <c r="I416" s="15" t="str">
        <f aca="false">IF(C416&gt;=M416,"ja","nein")</f>
        <v>ja</v>
      </c>
      <c r="J416" s="15" t="n">
        <f aca="false">ROUND(Annahmen!$K$35*(1+Annahmen!$B$20*D416/1000),0)</f>
        <v>865</v>
      </c>
      <c r="K416" s="15" t="n">
        <f aca="false">ROUND(Annahmen!$K$36*(1+Annahmen!$B$20*D416/1000),0)</f>
        <v>1123</v>
      </c>
      <c r="L416" s="15" t="n">
        <f aca="false">ROUND(Annahmen!$K$37*(1+Annahmen!$B$20*D416/1000),0)</f>
        <v>1148</v>
      </c>
      <c r="M416" s="15" t="n">
        <f aca="false">ROUND(Annahmen!$K$38*(1+Annahmen!$B$20*D416/1000),0)</f>
        <v>1148</v>
      </c>
      <c r="N416" s="16" t="s">
        <v>86</v>
      </c>
    </row>
    <row r="417" customFormat="false" ht="15" hidden="false" customHeight="false" outlineLevel="0" collapsed="false">
      <c r="A417" s="13" t="s">
        <v>915</v>
      </c>
      <c r="B417" s="14" t="s">
        <v>916</v>
      </c>
      <c r="C417" s="15" t="n">
        <v>1650</v>
      </c>
      <c r="D417" s="15" t="n">
        <v>523</v>
      </c>
      <c r="E417" s="13" t="s">
        <v>82</v>
      </c>
      <c r="F417" s="15" t="str">
        <f aca="false">IF(C417&gt;=J417,"ja","nein")</f>
        <v>ja</v>
      </c>
      <c r="G417" s="15" t="str">
        <f aca="false">IF(C417&gt;=K417,"ja","nein")</f>
        <v>ja</v>
      </c>
      <c r="H417" s="15" t="str">
        <f aca="false">IF(C417&gt;=L417,"ja","nein")</f>
        <v>ja</v>
      </c>
      <c r="I417" s="15" t="str">
        <f aca="false">IF(C417&gt;=M417,"ja","nein")</f>
        <v>ja</v>
      </c>
      <c r="J417" s="15" t="n">
        <f aca="false">ROUND(Annahmen!$K$35*(1+Annahmen!$B$20*D417/1000),0)</f>
        <v>880</v>
      </c>
      <c r="K417" s="15" t="n">
        <f aca="false">ROUND(Annahmen!$K$36*(1+Annahmen!$B$20*D417/1000),0)</f>
        <v>1142</v>
      </c>
      <c r="L417" s="15" t="n">
        <f aca="false">ROUND(Annahmen!$K$37*(1+Annahmen!$B$20*D417/1000),0)</f>
        <v>1167</v>
      </c>
      <c r="M417" s="15" t="n">
        <f aca="false">ROUND(Annahmen!$K$38*(1+Annahmen!$B$20*D417/1000),0)</f>
        <v>1167</v>
      </c>
      <c r="N417" s="16" t="s">
        <v>86</v>
      </c>
    </row>
    <row r="418" customFormat="false" ht="15" hidden="false" customHeight="false" outlineLevel="0" collapsed="false">
      <c r="A418" s="13" t="s">
        <v>917</v>
      </c>
      <c r="B418" s="14" t="s">
        <v>918</v>
      </c>
      <c r="C418" s="15" t="n">
        <v>1650</v>
      </c>
      <c r="D418" s="15" t="n">
        <v>388</v>
      </c>
      <c r="E418" s="13" t="s">
        <v>82</v>
      </c>
      <c r="F418" s="15" t="str">
        <f aca="false">IF(C418&gt;=J418,"ja","nein")</f>
        <v>ja</v>
      </c>
      <c r="G418" s="15" t="str">
        <f aca="false">IF(C418&gt;=K418,"ja","nein")</f>
        <v>ja</v>
      </c>
      <c r="H418" s="15" t="str">
        <f aca="false">IF(C418&gt;=L418,"ja","nein")</f>
        <v>ja</v>
      </c>
      <c r="I418" s="15" t="str">
        <f aca="false">IF(C418&gt;=M418,"ja","nein")</f>
        <v>ja</v>
      </c>
      <c r="J418" s="15" t="n">
        <f aca="false">ROUND(Annahmen!$K$35*(1+Annahmen!$B$20*D418/1000),0)</f>
        <v>869</v>
      </c>
      <c r="K418" s="15" t="n">
        <f aca="false">ROUND(Annahmen!$K$36*(1+Annahmen!$B$20*D418/1000),0)</f>
        <v>1129</v>
      </c>
      <c r="L418" s="15" t="n">
        <f aca="false">ROUND(Annahmen!$K$37*(1+Annahmen!$B$20*D418/1000),0)</f>
        <v>1154</v>
      </c>
      <c r="M418" s="15" t="n">
        <f aca="false">ROUND(Annahmen!$K$38*(1+Annahmen!$B$20*D418/1000),0)</f>
        <v>1154</v>
      </c>
      <c r="N418" s="16" t="s">
        <v>86</v>
      </c>
    </row>
    <row r="419" customFormat="false" ht="15" hidden="false" customHeight="false" outlineLevel="0" collapsed="false">
      <c r="A419" s="13" t="s">
        <v>919</v>
      </c>
      <c r="B419" s="14" t="s">
        <v>920</v>
      </c>
      <c r="C419" s="15" t="n">
        <v>1630</v>
      </c>
      <c r="D419" s="15" t="n">
        <v>1521</v>
      </c>
      <c r="E419" s="13" t="s">
        <v>82</v>
      </c>
      <c r="F419" s="15" t="str">
        <f aca="false">IF(C419&gt;=J419,"ja","nein")</f>
        <v>ja</v>
      </c>
      <c r="G419" s="15" t="str">
        <f aca="false">IF(C419&gt;=K419,"ja","nein")</f>
        <v>ja</v>
      </c>
      <c r="H419" s="15" t="str">
        <f aca="false">IF(C419&gt;=L419,"ja","nein")</f>
        <v>ja</v>
      </c>
      <c r="I419" s="15" t="str">
        <f aca="false">IF(C419&gt;=M419,"ja","nein")</f>
        <v>ja</v>
      </c>
      <c r="J419" s="15" t="n">
        <f aca="false">ROUND(Annahmen!$K$35*(1+Annahmen!$B$20*D419/1000),0)</f>
        <v>955</v>
      </c>
      <c r="K419" s="15" t="n">
        <f aca="false">ROUND(Annahmen!$K$36*(1+Annahmen!$B$20*D419/1000),0)</f>
        <v>1240</v>
      </c>
      <c r="L419" s="15" t="n">
        <f aca="false">ROUND(Annahmen!$K$37*(1+Annahmen!$B$20*D419/1000),0)</f>
        <v>1268</v>
      </c>
      <c r="M419" s="15" t="n">
        <f aca="false">ROUND(Annahmen!$K$38*(1+Annahmen!$B$20*D419/1000),0)</f>
        <v>1268</v>
      </c>
      <c r="N419" s="16" t="s">
        <v>86</v>
      </c>
    </row>
    <row r="420" customFormat="false" ht="15" hidden="false" customHeight="false" outlineLevel="0" collapsed="false">
      <c r="A420" s="13" t="s">
        <v>921</v>
      </c>
      <c r="B420" s="14" t="s">
        <v>922</v>
      </c>
      <c r="C420" s="15" t="n">
        <v>1630</v>
      </c>
      <c r="D420" s="15" t="n">
        <v>602</v>
      </c>
      <c r="E420" s="13" t="s">
        <v>82</v>
      </c>
      <c r="F420" s="15" t="str">
        <f aca="false">IF(C420&gt;=J420,"ja","nein")</f>
        <v>ja</v>
      </c>
      <c r="G420" s="15" t="str">
        <f aca="false">IF(C420&gt;=K420,"ja","nein")</f>
        <v>ja</v>
      </c>
      <c r="H420" s="15" t="str">
        <f aca="false">IF(C420&gt;=L420,"ja","nein")</f>
        <v>ja</v>
      </c>
      <c r="I420" s="15" t="str">
        <f aca="false">IF(C420&gt;=M420,"ja","nein")</f>
        <v>ja</v>
      </c>
      <c r="J420" s="15" t="n">
        <f aca="false">ROUND(Annahmen!$K$35*(1+Annahmen!$B$20*D420/1000),0)</f>
        <v>886</v>
      </c>
      <c r="K420" s="15" t="n">
        <f aca="false">ROUND(Annahmen!$K$36*(1+Annahmen!$B$20*D420/1000),0)</f>
        <v>1150</v>
      </c>
      <c r="L420" s="15" t="n">
        <f aca="false">ROUND(Annahmen!$K$37*(1+Annahmen!$B$20*D420/1000),0)</f>
        <v>1175</v>
      </c>
      <c r="M420" s="15" t="n">
        <f aca="false">ROUND(Annahmen!$K$38*(1+Annahmen!$B$20*D420/1000),0)</f>
        <v>1175</v>
      </c>
      <c r="N420" s="16" t="s">
        <v>86</v>
      </c>
    </row>
    <row r="421" customFormat="false" ht="15" hidden="false" customHeight="false" outlineLevel="0" collapsed="false">
      <c r="A421" s="13" t="s">
        <v>923</v>
      </c>
      <c r="B421" s="14" t="s">
        <v>924</v>
      </c>
      <c r="C421" s="15" t="n">
        <v>1617</v>
      </c>
      <c r="D421" s="15" t="n">
        <v>272</v>
      </c>
      <c r="E421" s="13" t="s">
        <v>82</v>
      </c>
      <c r="F421" s="15" t="str">
        <f aca="false">IF(C421&gt;=J421,"ja","nein")</f>
        <v>ja</v>
      </c>
      <c r="G421" s="15" t="str">
        <f aca="false">IF(C421&gt;=K421,"ja","nein")</f>
        <v>ja</v>
      </c>
      <c r="H421" s="15" t="str">
        <f aca="false">IF(C421&gt;=L421,"ja","nein")</f>
        <v>ja</v>
      </c>
      <c r="I421" s="15" t="str">
        <f aca="false">IF(C421&gt;=M421,"ja","nein")</f>
        <v>ja</v>
      </c>
      <c r="J421" s="15" t="n">
        <f aca="false">ROUND(Annahmen!$K$35*(1+Annahmen!$B$20*D421/1000),0)</f>
        <v>861</v>
      </c>
      <c r="K421" s="15" t="n">
        <f aca="false">ROUND(Annahmen!$K$36*(1+Annahmen!$B$20*D421/1000),0)</f>
        <v>1118</v>
      </c>
      <c r="L421" s="15" t="n">
        <f aca="false">ROUND(Annahmen!$K$37*(1+Annahmen!$B$20*D421/1000),0)</f>
        <v>1142</v>
      </c>
      <c r="M421" s="15" t="n">
        <f aca="false">ROUND(Annahmen!$K$38*(1+Annahmen!$B$20*D421/1000),0)</f>
        <v>1142</v>
      </c>
      <c r="N421" s="16" t="s">
        <v>86</v>
      </c>
    </row>
    <row r="422" customFormat="false" ht="15" hidden="false" customHeight="false" outlineLevel="0" collapsed="false">
      <c r="A422" s="13" t="s">
        <v>925</v>
      </c>
      <c r="B422" s="14" t="s">
        <v>926</v>
      </c>
      <c r="C422" s="15" t="n">
        <v>1610</v>
      </c>
      <c r="D422" s="15" t="n">
        <v>628</v>
      </c>
      <c r="E422" s="13" t="s">
        <v>82</v>
      </c>
      <c r="F422" s="15" t="str">
        <f aca="false">IF(C422&gt;=J422,"ja","nein")</f>
        <v>ja</v>
      </c>
      <c r="G422" s="15" t="str">
        <f aca="false">IF(C422&gt;=K422,"ja","nein")</f>
        <v>ja</v>
      </c>
      <c r="H422" s="15" t="str">
        <f aca="false">IF(C422&gt;=L422,"ja","nein")</f>
        <v>ja</v>
      </c>
      <c r="I422" s="15" t="str">
        <f aca="false">IF(C422&gt;=M422,"ja","nein")</f>
        <v>ja</v>
      </c>
      <c r="J422" s="15" t="n">
        <f aca="false">ROUND(Annahmen!$K$35*(1+Annahmen!$B$20*D422/1000),0)</f>
        <v>887</v>
      </c>
      <c r="K422" s="15" t="n">
        <f aca="false">ROUND(Annahmen!$K$36*(1+Annahmen!$B$20*D422/1000),0)</f>
        <v>1153</v>
      </c>
      <c r="L422" s="15" t="n">
        <f aca="false">ROUND(Annahmen!$K$37*(1+Annahmen!$B$20*D422/1000),0)</f>
        <v>1178</v>
      </c>
      <c r="M422" s="15" t="n">
        <f aca="false">ROUND(Annahmen!$K$38*(1+Annahmen!$B$20*D422/1000),0)</f>
        <v>1178</v>
      </c>
      <c r="N422" s="16" t="s">
        <v>86</v>
      </c>
    </row>
    <row r="423" customFormat="false" ht="15" hidden="false" customHeight="false" outlineLevel="0" collapsed="false">
      <c r="A423" s="13" t="s">
        <v>927</v>
      </c>
      <c r="B423" s="14" t="s">
        <v>928</v>
      </c>
      <c r="C423" s="15" t="n">
        <v>1600</v>
      </c>
      <c r="D423" s="15" t="n">
        <v>396</v>
      </c>
      <c r="E423" s="13" t="s">
        <v>82</v>
      </c>
      <c r="F423" s="15" t="str">
        <f aca="false">IF(C423&gt;=J423,"ja","nein")</f>
        <v>ja</v>
      </c>
      <c r="G423" s="15" t="str">
        <f aca="false">IF(C423&gt;=K423,"ja","nein")</f>
        <v>ja</v>
      </c>
      <c r="H423" s="15" t="str">
        <f aca="false">IF(C423&gt;=L423,"ja","nein")</f>
        <v>ja</v>
      </c>
      <c r="I423" s="15" t="str">
        <f aca="false">IF(C423&gt;=M423,"ja","nein")</f>
        <v>ja</v>
      </c>
      <c r="J423" s="15" t="n">
        <f aca="false">ROUND(Annahmen!$K$35*(1+Annahmen!$B$20*D423/1000),0)</f>
        <v>870</v>
      </c>
      <c r="K423" s="15" t="n">
        <f aca="false">ROUND(Annahmen!$K$36*(1+Annahmen!$B$20*D423/1000),0)</f>
        <v>1130</v>
      </c>
      <c r="L423" s="15" t="n">
        <f aca="false">ROUND(Annahmen!$K$37*(1+Annahmen!$B$20*D423/1000),0)</f>
        <v>1155</v>
      </c>
      <c r="M423" s="15" t="n">
        <f aca="false">ROUND(Annahmen!$K$38*(1+Annahmen!$B$20*D423/1000),0)</f>
        <v>1155</v>
      </c>
      <c r="N423" s="16" t="s">
        <v>102</v>
      </c>
    </row>
    <row r="424" customFormat="false" ht="15" hidden="false" customHeight="false" outlineLevel="0" collapsed="false">
      <c r="A424" s="13" t="s">
        <v>929</v>
      </c>
      <c r="B424" s="14" t="s">
        <v>930</v>
      </c>
      <c r="C424" s="15" t="n">
        <v>1600</v>
      </c>
      <c r="D424" s="15" t="n">
        <v>751</v>
      </c>
      <c r="E424" s="13" t="s">
        <v>82</v>
      </c>
      <c r="F424" s="15" t="str">
        <f aca="false">IF(C424&gt;=J424,"ja","nein")</f>
        <v>ja</v>
      </c>
      <c r="G424" s="15" t="str">
        <f aca="false">IF(C424&gt;=K424,"ja","nein")</f>
        <v>ja</v>
      </c>
      <c r="H424" s="15" t="str">
        <f aca="false">IF(C424&gt;=L424,"ja","nein")</f>
        <v>ja</v>
      </c>
      <c r="I424" s="15" t="str">
        <f aca="false">IF(C424&gt;=M424,"ja","nein")</f>
        <v>ja</v>
      </c>
      <c r="J424" s="15" t="n">
        <f aca="false">ROUND(Annahmen!$K$35*(1+Annahmen!$B$20*D424/1000),0)</f>
        <v>897</v>
      </c>
      <c r="K424" s="15" t="n">
        <f aca="false">ROUND(Annahmen!$K$36*(1+Annahmen!$B$20*D424/1000),0)</f>
        <v>1165</v>
      </c>
      <c r="L424" s="15" t="n">
        <f aca="false">ROUND(Annahmen!$K$37*(1+Annahmen!$B$20*D424/1000),0)</f>
        <v>1190</v>
      </c>
      <c r="M424" s="15" t="n">
        <f aca="false">ROUND(Annahmen!$K$38*(1+Annahmen!$B$20*D424/1000),0)</f>
        <v>1190</v>
      </c>
      <c r="N424" s="16" t="s">
        <v>86</v>
      </c>
    </row>
    <row r="425" customFormat="false" ht="15" hidden="false" customHeight="false" outlineLevel="0" collapsed="false">
      <c r="A425" s="13" t="s">
        <v>931</v>
      </c>
      <c r="B425" s="14" t="s">
        <v>932</v>
      </c>
      <c r="C425" s="15" t="n">
        <v>1590</v>
      </c>
      <c r="D425" s="15" t="n">
        <v>470</v>
      </c>
      <c r="E425" s="13" t="s">
        <v>82</v>
      </c>
      <c r="F425" s="15" t="str">
        <f aca="false">IF(C425&gt;=J425,"ja","nein")</f>
        <v>ja</v>
      </c>
      <c r="G425" s="15" t="str">
        <f aca="false">IF(C425&gt;=K425,"ja","nein")</f>
        <v>ja</v>
      </c>
      <c r="H425" s="15" t="str">
        <f aca="false">IF(C425&gt;=L425,"ja","nein")</f>
        <v>ja</v>
      </c>
      <c r="I425" s="15" t="str">
        <f aca="false">IF(C425&gt;=M425,"ja","nein")</f>
        <v>ja</v>
      </c>
      <c r="J425" s="15" t="n">
        <f aca="false">ROUND(Annahmen!$K$35*(1+Annahmen!$B$20*D425/1000),0)</f>
        <v>876</v>
      </c>
      <c r="K425" s="15" t="n">
        <f aca="false">ROUND(Annahmen!$K$36*(1+Annahmen!$B$20*D425/1000),0)</f>
        <v>1137</v>
      </c>
      <c r="L425" s="15" t="n">
        <f aca="false">ROUND(Annahmen!$K$37*(1+Annahmen!$B$20*D425/1000),0)</f>
        <v>1162</v>
      </c>
      <c r="M425" s="15" t="n">
        <f aca="false">ROUND(Annahmen!$K$38*(1+Annahmen!$B$20*D425/1000),0)</f>
        <v>1162</v>
      </c>
      <c r="N425" s="16" t="s">
        <v>102</v>
      </c>
    </row>
    <row r="426" customFormat="false" ht="15" hidden="false" customHeight="false" outlineLevel="0" collapsed="false">
      <c r="A426" s="13" t="s">
        <v>933</v>
      </c>
      <c r="B426" s="14" t="s">
        <v>934</v>
      </c>
      <c r="C426" s="15" t="n">
        <v>1560</v>
      </c>
      <c r="D426" s="15" t="n">
        <v>564</v>
      </c>
      <c r="E426" s="13" t="s">
        <v>82</v>
      </c>
      <c r="F426" s="15" t="str">
        <f aca="false">IF(C426&gt;=J426,"ja","nein")</f>
        <v>ja</v>
      </c>
      <c r="G426" s="15" t="str">
        <f aca="false">IF(C426&gt;=K426,"ja","nein")</f>
        <v>ja</v>
      </c>
      <c r="H426" s="15" t="str">
        <f aca="false">IF(C426&gt;=L426,"ja","nein")</f>
        <v>ja</v>
      </c>
      <c r="I426" s="15" t="str">
        <f aca="false">IF(C426&gt;=M426,"ja","nein")</f>
        <v>ja</v>
      </c>
      <c r="J426" s="15" t="n">
        <f aca="false">ROUND(Annahmen!$K$35*(1+Annahmen!$B$20*D426/1000),0)</f>
        <v>883</v>
      </c>
      <c r="K426" s="15" t="n">
        <f aca="false">ROUND(Annahmen!$K$36*(1+Annahmen!$B$20*D426/1000),0)</f>
        <v>1146</v>
      </c>
      <c r="L426" s="15" t="n">
        <f aca="false">ROUND(Annahmen!$K$37*(1+Annahmen!$B$20*D426/1000),0)</f>
        <v>1172</v>
      </c>
      <c r="M426" s="15" t="n">
        <f aca="false">ROUND(Annahmen!$K$38*(1+Annahmen!$B$20*D426/1000),0)</f>
        <v>1172</v>
      </c>
      <c r="N426" s="16" t="s">
        <v>86</v>
      </c>
    </row>
    <row r="427" customFormat="false" ht="15" hidden="false" customHeight="false" outlineLevel="0" collapsed="false">
      <c r="A427" s="13" t="s">
        <v>935</v>
      </c>
      <c r="B427" s="14" t="s">
        <v>936</v>
      </c>
      <c r="C427" s="15" t="n">
        <v>1550</v>
      </c>
      <c r="D427" s="15" t="n">
        <v>529</v>
      </c>
      <c r="E427" s="13" t="s">
        <v>82</v>
      </c>
      <c r="F427" s="15" t="str">
        <f aca="false">IF(C427&gt;=J427,"ja","nein")</f>
        <v>ja</v>
      </c>
      <c r="G427" s="15" t="str">
        <f aca="false">IF(C427&gt;=K427,"ja","nein")</f>
        <v>ja</v>
      </c>
      <c r="H427" s="15" t="str">
        <f aca="false">IF(C427&gt;=L427,"ja","nein")</f>
        <v>ja</v>
      </c>
      <c r="I427" s="15" t="str">
        <f aca="false">IF(C427&gt;=M427,"ja","nein")</f>
        <v>ja</v>
      </c>
      <c r="J427" s="15" t="n">
        <f aca="false">ROUND(Annahmen!$K$35*(1+Annahmen!$B$20*D427/1000),0)</f>
        <v>880</v>
      </c>
      <c r="K427" s="15" t="n">
        <f aca="false">ROUND(Annahmen!$K$36*(1+Annahmen!$B$20*D427/1000),0)</f>
        <v>1143</v>
      </c>
      <c r="L427" s="15" t="n">
        <f aca="false">ROUND(Annahmen!$K$37*(1+Annahmen!$B$20*D427/1000),0)</f>
        <v>1168</v>
      </c>
      <c r="M427" s="15" t="n">
        <f aca="false">ROUND(Annahmen!$K$38*(1+Annahmen!$B$20*D427/1000),0)</f>
        <v>1168</v>
      </c>
      <c r="N427" s="16" t="s">
        <v>86</v>
      </c>
    </row>
    <row r="428" customFormat="false" ht="15" hidden="false" customHeight="false" outlineLevel="0" collapsed="false">
      <c r="A428" s="13" t="s">
        <v>937</v>
      </c>
      <c r="B428" s="14" t="s">
        <v>938</v>
      </c>
      <c r="C428" s="15" t="n">
        <v>1550</v>
      </c>
      <c r="D428" s="15" t="n">
        <v>299</v>
      </c>
      <c r="E428" s="13" t="s">
        <v>82</v>
      </c>
      <c r="F428" s="15" t="str">
        <f aca="false">IF(C428&gt;=J428,"ja","nein")</f>
        <v>ja</v>
      </c>
      <c r="G428" s="15" t="str">
        <f aca="false">IF(C428&gt;=K428,"ja","nein")</f>
        <v>ja</v>
      </c>
      <c r="H428" s="15" t="str">
        <f aca="false">IF(C428&gt;=L428,"ja","nein")</f>
        <v>ja</v>
      </c>
      <c r="I428" s="15" t="str">
        <f aca="false">IF(C428&gt;=M428,"ja","nein")</f>
        <v>ja</v>
      </c>
      <c r="J428" s="15" t="n">
        <f aca="false">ROUND(Annahmen!$K$35*(1+Annahmen!$B$20*D428/1000),0)</f>
        <v>863</v>
      </c>
      <c r="K428" s="15" t="n">
        <f aca="false">ROUND(Annahmen!$K$36*(1+Annahmen!$B$20*D428/1000),0)</f>
        <v>1120</v>
      </c>
      <c r="L428" s="15" t="n">
        <f aca="false">ROUND(Annahmen!$K$37*(1+Annahmen!$B$20*D428/1000),0)</f>
        <v>1145</v>
      </c>
      <c r="M428" s="15" t="n">
        <f aca="false">ROUND(Annahmen!$K$38*(1+Annahmen!$B$20*D428/1000),0)</f>
        <v>1145</v>
      </c>
      <c r="N428" s="16" t="s">
        <v>86</v>
      </c>
    </row>
    <row r="429" customFormat="false" ht="15" hidden="false" customHeight="false" outlineLevel="0" collapsed="false">
      <c r="A429" s="13" t="s">
        <v>939</v>
      </c>
      <c r="B429" s="14" t="s">
        <v>940</v>
      </c>
      <c r="C429" s="15" t="n">
        <v>1545</v>
      </c>
      <c r="D429" s="15" t="n">
        <v>1391</v>
      </c>
      <c r="E429" s="13" t="s">
        <v>82</v>
      </c>
      <c r="F429" s="15" t="str">
        <f aca="false">IF(C429&gt;=J429,"ja","nein")</f>
        <v>ja</v>
      </c>
      <c r="G429" s="15" t="str">
        <f aca="false">IF(C429&gt;=K429,"ja","nein")</f>
        <v>ja</v>
      </c>
      <c r="H429" s="15" t="str">
        <f aca="false">IF(C429&gt;=L429,"ja","nein")</f>
        <v>ja</v>
      </c>
      <c r="I429" s="15" t="str">
        <f aca="false">IF(C429&gt;=M429,"ja","nein")</f>
        <v>ja</v>
      </c>
      <c r="J429" s="15" t="n">
        <f aca="false">ROUND(Annahmen!$K$35*(1+Annahmen!$B$20*D429/1000),0)</f>
        <v>945</v>
      </c>
      <c r="K429" s="15" t="n">
        <f aca="false">ROUND(Annahmen!$K$36*(1+Annahmen!$B$20*D429/1000),0)</f>
        <v>1228</v>
      </c>
      <c r="L429" s="15" t="n">
        <f aca="false">ROUND(Annahmen!$K$37*(1+Annahmen!$B$20*D429/1000),0)</f>
        <v>1255</v>
      </c>
      <c r="M429" s="15" t="n">
        <f aca="false">ROUND(Annahmen!$K$38*(1+Annahmen!$B$20*D429/1000),0)</f>
        <v>1255</v>
      </c>
      <c r="N429" s="16" t="s">
        <v>86</v>
      </c>
    </row>
    <row r="430" customFormat="false" ht="15" hidden="false" customHeight="false" outlineLevel="0" collapsed="false">
      <c r="A430" s="13" t="s">
        <v>941</v>
      </c>
      <c r="B430" s="14" t="s">
        <v>942</v>
      </c>
      <c r="C430" s="15" t="n">
        <v>1540</v>
      </c>
      <c r="D430" s="15" t="n">
        <v>13</v>
      </c>
      <c r="E430" s="13" t="s">
        <v>82</v>
      </c>
      <c r="F430" s="15" t="str">
        <f aca="false">IF(C430&gt;=J430,"ja","nein")</f>
        <v>ja</v>
      </c>
      <c r="G430" s="15" t="str">
        <f aca="false">IF(C430&gt;=K430,"ja","nein")</f>
        <v>ja</v>
      </c>
      <c r="H430" s="15" t="str">
        <f aca="false">IF(C430&gt;=L430,"ja","nein")</f>
        <v>ja</v>
      </c>
      <c r="I430" s="15" t="str">
        <f aca="false">IF(C430&gt;=M430,"ja","nein")</f>
        <v>ja</v>
      </c>
      <c r="J430" s="15" t="n">
        <f aca="false">ROUND(Annahmen!$K$35*(1+Annahmen!$B$20*D430/1000),0)</f>
        <v>841</v>
      </c>
      <c r="K430" s="15" t="n">
        <f aca="false">ROUND(Annahmen!$K$36*(1+Annahmen!$B$20*D430/1000),0)</f>
        <v>1092</v>
      </c>
      <c r="L430" s="15" t="n">
        <f aca="false">ROUND(Annahmen!$K$37*(1+Annahmen!$B$20*D430/1000),0)</f>
        <v>1116</v>
      </c>
      <c r="M430" s="15" t="n">
        <f aca="false">ROUND(Annahmen!$K$38*(1+Annahmen!$B$20*D430/1000),0)</f>
        <v>1116</v>
      </c>
      <c r="N430" s="16" t="s">
        <v>86</v>
      </c>
    </row>
    <row r="431" customFormat="false" ht="15" hidden="false" customHeight="false" outlineLevel="0" collapsed="false">
      <c r="A431" s="13" t="s">
        <v>943</v>
      </c>
      <c r="B431" s="14" t="s">
        <v>944</v>
      </c>
      <c r="C431" s="15" t="n">
        <v>1535</v>
      </c>
      <c r="D431" s="15" t="n">
        <v>12</v>
      </c>
      <c r="E431" s="13" t="s">
        <v>82</v>
      </c>
      <c r="F431" s="15" t="str">
        <f aca="false">IF(C431&gt;=J431,"ja","nein")</f>
        <v>ja</v>
      </c>
      <c r="G431" s="15" t="str">
        <f aca="false">IF(C431&gt;=K431,"ja","nein")</f>
        <v>ja</v>
      </c>
      <c r="H431" s="15" t="str">
        <f aca="false">IF(C431&gt;=L431,"ja","nein")</f>
        <v>ja</v>
      </c>
      <c r="I431" s="15" t="str">
        <f aca="false">IF(C431&gt;=M431,"ja","nein")</f>
        <v>ja</v>
      </c>
      <c r="J431" s="15" t="n">
        <f aca="false">ROUND(Annahmen!$K$35*(1+Annahmen!$B$20*D431/1000),0)</f>
        <v>841</v>
      </c>
      <c r="K431" s="15" t="n">
        <f aca="false">ROUND(Annahmen!$K$36*(1+Annahmen!$B$20*D431/1000),0)</f>
        <v>1092</v>
      </c>
      <c r="L431" s="15" t="n">
        <f aca="false">ROUND(Annahmen!$K$37*(1+Annahmen!$B$20*D431/1000),0)</f>
        <v>1116</v>
      </c>
      <c r="M431" s="15" t="n">
        <f aca="false">ROUND(Annahmen!$K$38*(1+Annahmen!$B$20*D431/1000),0)</f>
        <v>1116</v>
      </c>
      <c r="N431" s="16" t="s">
        <v>86</v>
      </c>
    </row>
    <row r="432" customFormat="false" ht="15" hidden="false" customHeight="false" outlineLevel="0" collapsed="false">
      <c r="A432" s="13" t="s">
        <v>945</v>
      </c>
      <c r="B432" s="14" t="s">
        <v>946</v>
      </c>
      <c r="C432" s="15" t="n">
        <v>1530</v>
      </c>
      <c r="D432" s="15" t="n">
        <v>446</v>
      </c>
      <c r="E432" s="13" t="s">
        <v>82</v>
      </c>
      <c r="F432" s="15" t="str">
        <f aca="false">IF(C432&gt;=J432,"ja","nein")</f>
        <v>ja</v>
      </c>
      <c r="G432" s="15" t="str">
        <f aca="false">IF(C432&gt;=K432,"ja","nein")</f>
        <v>ja</v>
      </c>
      <c r="H432" s="15" t="str">
        <f aca="false">IF(C432&gt;=L432,"ja","nein")</f>
        <v>ja</v>
      </c>
      <c r="I432" s="15" t="str">
        <f aca="false">IF(C432&gt;=M432,"ja","nein")</f>
        <v>ja</v>
      </c>
      <c r="J432" s="15" t="n">
        <f aca="false">ROUND(Annahmen!$K$35*(1+Annahmen!$B$20*D432/1000),0)</f>
        <v>874</v>
      </c>
      <c r="K432" s="15" t="n">
        <f aca="false">ROUND(Annahmen!$K$36*(1+Annahmen!$B$20*D432/1000),0)</f>
        <v>1135</v>
      </c>
      <c r="L432" s="15" t="n">
        <f aca="false">ROUND(Annahmen!$K$37*(1+Annahmen!$B$20*D432/1000),0)</f>
        <v>1160</v>
      </c>
      <c r="M432" s="15" t="n">
        <f aca="false">ROUND(Annahmen!$K$38*(1+Annahmen!$B$20*D432/1000),0)</f>
        <v>1160</v>
      </c>
      <c r="N432" s="16" t="s">
        <v>86</v>
      </c>
    </row>
    <row r="433" customFormat="false" ht="15" hidden="false" customHeight="false" outlineLevel="0" collapsed="false">
      <c r="A433" s="13" t="s">
        <v>947</v>
      </c>
      <c r="B433" s="14" t="s">
        <v>948</v>
      </c>
      <c r="C433" s="15" t="n">
        <v>1512</v>
      </c>
      <c r="D433" s="15" t="n">
        <v>746</v>
      </c>
      <c r="E433" s="13" t="s">
        <v>82</v>
      </c>
      <c r="F433" s="15" t="str">
        <f aca="false">IF(C433&gt;=J433,"ja","nein")</f>
        <v>ja</v>
      </c>
      <c r="G433" s="15" t="str">
        <f aca="false">IF(C433&gt;=K433,"ja","nein")</f>
        <v>ja</v>
      </c>
      <c r="H433" s="15" t="str">
        <f aca="false">IF(C433&gt;=L433,"ja","nein")</f>
        <v>ja</v>
      </c>
      <c r="I433" s="15" t="str">
        <f aca="false">IF(C433&gt;=M433,"ja","nein")</f>
        <v>ja</v>
      </c>
      <c r="J433" s="15" t="n">
        <f aca="false">ROUND(Annahmen!$K$35*(1+Annahmen!$B$20*D433/1000),0)</f>
        <v>896</v>
      </c>
      <c r="K433" s="15" t="n">
        <f aca="false">ROUND(Annahmen!$K$36*(1+Annahmen!$B$20*D433/1000),0)</f>
        <v>1164</v>
      </c>
      <c r="L433" s="15" t="n">
        <f aca="false">ROUND(Annahmen!$K$37*(1+Annahmen!$B$20*D433/1000),0)</f>
        <v>1190</v>
      </c>
      <c r="M433" s="15" t="n">
        <f aca="false">ROUND(Annahmen!$K$38*(1+Annahmen!$B$20*D433/1000),0)</f>
        <v>1190</v>
      </c>
      <c r="N433" s="16" t="s">
        <v>102</v>
      </c>
    </row>
    <row r="434" customFormat="false" ht="15" hidden="false" customHeight="false" outlineLevel="0" collapsed="false">
      <c r="A434" s="13" t="s">
        <v>949</v>
      </c>
      <c r="B434" s="14" t="s">
        <v>950</v>
      </c>
      <c r="C434" s="15" t="n">
        <v>1504</v>
      </c>
      <c r="D434" s="15" t="n">
        <v>367</v>
      </c>
      <c r="E434" s="13" t="s">
        <v>82</v>
      </c>
      <c r="F434" s="15" t="str">
        <f aca="false">IF(C434&gt;=J434,"ja","nein")</f>
        <v>ja</v>
      </c>
      <c r="G434" s="15" t="str">
        <f aca="false">IF(C434&gt;=K434,"ja","nein")</f>
        <v>ja</v>
      </c>
      <c r="H434" s="15" t="str">
        <f aca="false">IF(C434&gt;=L434,"ja","nein")</f>
        <v>ja</v>
      </c>
      <c r="I434" s="15" t="str">
        <f aca="false">IF(C434&gt;=M434,"ja","nein")</f>
        <v>ja</v>
      </c>
      <c r="J434" s="15" t="n">
        <f aca="false">ROUND(Annahmen!$K$35*(1+Annahmen!$B$20*D434/1000),0)</f>
        <v>868</v>
      </c>
      <c r="K434" s="15" t="n">
        <f aca="false">ROUND(Annahmen!$K$36*(1+Annahmen!$B$20*D434/1000),0)</f>
        <v>1127</v>
      </c>
      <c r="L434" s="15" t="n">
        <f aca="false">ROUND(Annahmen!$K$37*(1+Annahmen!$B$20*D434/1000),0)</f>
        <v>1152</v>
      </c>
      <c r="M434" s="15" t="n">
        <f aca="false">ROUND(Annahmen!$K$38*(1+Annahmen!$B$20*D434/1000),0)</f>
        <v>1152</v>
      </c>
      <c r="N434" s="16" t="s">
        <v>102</v>
      </c>
    </row>
    <row r="435" customFormat="false" ht="15" hidden="false" customHeight="false" outlineLevel="0" collapsed="false">
      <c r="A435" s="13" t="s">
        <v>951</v>
      </c>
      <c r="B435" s="14" t="s">
        <v>952</v>
      </c>
      <c r="C435" s="15" t="n">
        <v>1500</v>
      </c>
      <c r="D435" s="15" t="n">
        <v>912</v>
      </c>
      <c r="E435" s="13" t="s">
        <v>82</v>
      </c>
      <c r="F435" s="15" t="str">
        <f aca="false">IF(C435&gt;=J435,"ja","nein")</f>
        <v>ja</v>
      </c>
      <c r="G435" s="15" t="str">
        <f aca="false">IF(C435&gt;=K435,"ja","nein")</f>
        <v>ja</v>
      </c>
      <c r="H435" s="15" t="str">
        <f aca="false">IF(C435&gt;=L435,"ja","nein")</f>
        <v>ja</v>
      </c>
      <c r="I435" s="15" t="str">
        <f aca="false">IF(C435&gt;=M435,"ja","nein")</f>
        <v>ja</v>
      </c>
      <c r="J435" s="15" t="n">
        <f aca="false">ROUND(Annahmen!$K$35*(1+Annahmen!$B$20*D435/1000),0)</f>
        <v>909</v>
      </c>
      <c r="K435" s="15" t="n">
        <f aca="false">ROUND(Annahmen!$K$36*(1+Annahmen!$B$20*D435/1000),0)</f>
        <v>1181</v>
      </c>
      <c r="L435" s="15" t="n">
        <f aca="false">ROUND(Annahmen!$K$37*(1+Annahmen!$B$20*D435/1000),0)</f>
        <v>1207</v>
      </c>
      <c r="M435" s="15" t="n">
        <f aca="false">ROUND(Annahmen!$K$38*(1+Annahmen!$B$20*D435/1000),0)</f>
        <v>1207</v>
      </c>
      <c r="N435" s="16" t="s">
        <v>86</v>
      </c>
    </row>
    <row r="436" customFormat="false" ht="15" hidden="false" customHeight="false" outlineLevel="0" collapsed="false">
      <c r="A436" s="13" t="s">
        <v>953</v>
      </c>
      <c r="B436" s="14" t="s">
        <v>954</v>
      </c>
      <c r="C436" s="15" t="n">
        <v>1500</v>
      </c>
      <c r="D436" s="15" t="n">
        <v>574</v>
      </c>
      <c r="E436" s="13" t="s">
        <v>82</v>
      </c>
      <c r="F436" s="15" t="str">
        <f aca="false">IF(C436&gt;=J436,"ja","nein")</f>
        <v>ja</v>
      </c>
      <c r="G436" s="15" t="str">
        <f aca="false">IF(C436&gt;=K436,"ja","nein")</f>
        <v>ja</v>
      </c>
      <c r="H436" s="15" t="str">
        <f aca="false">IF(C436&gt;=L436,"ja","nein")</f>
        <v>ja</v>
      </c>
      <c r="I436" s="15" t="str">
        <f aca="false">IF(C436&gt;=M436,"ja","nein")</f>
        <v>ja</v>
      </c>
      <c r="J436" s="15" t="n">
        <f aca="false">ROUND(Annahmen!$K$35*(1+Annahmen!$B$20*D436/1000),0)</f>
        <v>883</v>
      </c>
      <c r="K436" s="15" t="n">
        <f aca="false">ROUND(Annahmen!$K$36*(1+Annahmen!$B$20*D436/1000),0)</f>
        <v>1147</v>
      </c>
      <c r="L436" s="15" t="n">
        <f aca="false">ROUND(Annahmen!$K$37*(1+Annahmen!$B$20*D436/1000),0)</f>
        <v>1173</v>
      </c>
      <c r="M436" s="15" t="n">
        <f aca="false">ROUND(Annahmen!$K$38*(1+Annahmen!$B$20*D436/1000),0)</f>
        <v>1173</v>
      </c>
      <c r="N436" s="16" t="s">
        <v>102</v>
      </c>
    </row>
    <row r="437" customFormat="false" ht="15" hidden="false" customHeight="false" outlineLevel="0" collapsed="false">
      <c r="A437" s="13" t="s">
        <v>955</v>
      </c>
      <c r="B437" s="14" t="s">
        <v>956</v>
      </c>
      <c r="C437" s="15" t="n">
        <v>1500</v>
      </c>
      <c r="D437" s="15" t="n">
        <v>1001</v>
      </c>
      <c r="E437" s="13" t="s">
        <v>82</v>
      </c>
      <c r="F437" s="15" t="str">
        <f aca="false">IF(C437&gt;=J437,"ja","nein")</f>
        <v>ja</v>
      </c>
      <c r="G437" s="15" t="str">
        <f aca="false">IF(C437&gt;=K437,"ja","nein")</f>
        <v>ja</v>
      </c>
      <c r="H437" s="15" t="str">
        <f aca="false">IF(C437&gt;=L437,"ja","nein")</f>
        <v>ja</v>
      </c>
      <c r="I437" s="15" t="str">
        <f aca="false">IF(C437&gt;=M437,"ja","nein")</f>
        <v>ja</v>
      </c>
      <c r="J437" s="15" t="n">
        <f aca="false">ROUND(Annahmen!$K$35*(1+Annahmen!$B$20*D437/1000),0)</f>
        <v>916</v>
      </c>
      <c r="K437" s="15" t="n">
        <f aca="false">ROUND(Annahmen!$K$36*(1+Annahmen!$B$20*D437/1000),0)</f>
        <v>1189</v>
      </c>
      <c r="L437" s="15" t="n">
        <f aca="false">ROUND(Annahmen!$K$37*(1+Annahmen!$B$20*D437/1000),0)</f>
        <v>1215</v>
      </c>
      <c r="M437" s="15" t="n">
        <f aca="false">ROUND(Annahmen!$K$38*(1+Annahmen!$B$20*D437/1000),0)</f>
        <v>1215</v>
      </c>
      <c r="N437" s="16" t="s">
        <v>102</v>
      </c>
    </row>
    <row r="438" customFormat="false" ht="15" hidden="false" customHeight="false" outlineLevel="0" collapsed="false">
      <c r="A438" s="13" t="s">
        <v>957</v>
      </c>
      <c r="B438" s="14" t="s">
        <v>958</v>
      </c>
      <c r="C438" s="15" t="n">
        <v>1500</v>
      </c>
      <c r="D438" s="15" t="n">
        <v>492</v>
      </c>
      <c r="E438" s="13" t="s">
        <v>82</v>
      </c>
      <c r="F438" s="15" t="str">
        <f aca="false">IF(C438&gt;=J438,"ja","nein")</f>
        <v>ja</v>
      </c>
      <c r="G438" s="15" t="str">
        <f aca="false">IF(C438&gt;=K438,"ja","nein")</f>
        <v>ja</v>
      </c>
      <c r="H438" s="15" t="str">
        <f aca="false">IF(C438&gt;=L438,"ja","nein")</f>
        <v>ja</v>
      </c>
      <c r="I438" s="15" t="str">
        <f aca="false">IF(C438&gt;=M438,"ja","nein")</f>
        <v>ja</v>
      </c>
      <c r="J438" s="15" t="n">
        <f aca="false">ROUND(Annahmen!$K$35*(1+Annahmen!$B$20*D438/1000),0)</f>
        <v>877</v>
      </c>
      <c r="K438" s="15" t="n">
        <f aca="false">ROUND(Annahmen!$K$36*(1+Annahmen!$B$20*D438/1000),0)</f>
        <v>1139</v>
      </c>
      <c r="L438" s="15" t="n">
        <f aca="false">ROUND(Annahmen!$K$37*(1+Annahmen!$B$20*D438/1000),0)</f>
        <v>1164</v>
      </c>
      <c r="M438" s="15" t="n">
        <f aca="false">ROUND(Annahmen!$K$38*(1+Annahmen!$B$20*D438/1000),0)</f>
        <v>1164</v>
      </c>
      <c r="N438" s="16" t="s">
        <v>86</v>
      </c>
    </row>
    <row r="439" customFormat="false" ht="15" hidden="false" customHeight="false" outlineLevel="0" collapsed="false">
      <c r="A439" s="13" t="s">
        <v>959</v>
      </c>
      <c r="B439" s="14" t="s">
        <v>960</v>
      </c>
      <c r="C439" s="15" t="n">
        <v>1475</v>
      </c>
      <c r="D439" s="15" t="n">
        <v>1106</v>
      </c>
      <c r="E439" s="13" t="s">
        <v>82</v>
      </c>
      <c r="F439" s="15" t="str">
        <f aca="false">IF(C439&gt;=J439,"ja","nein")</f>
        <v>ja</v>
      </c>
      <c r="G439" s="15" t="str">
        <f aca="false">IF(C439&gt;=K439,"ja","nein")</f>
        <v>ja</v>
      </c>
      <c r="H439" s="15" t="str">
        <f aca="false">IF(C439&gt;=L439,"ja","nein")</f>
        <v>ja</v>
      </c>
      <c r="I439" s="15" t="str">
        <f aca="false">IF(C439&gt;=M439,"ja","nein")</f>
        <v>ja</v>
      </c>
      <c r="J439" s="15" t="n">
        <f aca="false">ROUND(Annahmen!$K$35*(1+Annahmen!$B$20*D439/1000),0)</f>
        <v>924</v>
      </c>
      <c r="K439" s="15" t="n">
        <f aca="false">ROUND(Annahmen!$K$36*(1+Annahmen!$B$20*D439/1000),0)</f>
        <v>1200</v>
      </c>
      <c r="L439" s="15" t="n">
        <f aca="false">ROUND(Annahmen!$K$37*(1+Annahmen!$B$20*D439/1000),0)</f>
        <v>1226</v>
      </c>
      <c r="M439" s="15" t="n">
        <f aca="false">ROUND(Annahmen!$K$38*(1+Annahmen!$B$20*D439/1000),0)</f>
        <v>1226</v>
      </c>
      <c r="N439" s="16" t="s">
        <v>86</v>
      </c>
    </row>
    <row r="440" customFormat="false" ht="15" hidden="false" customHeight="false" outlineLevel="0" collapsed="false">
      <c r="A440" s="13" t="s">
        <v>961</v>
      </c>
      <c r="B440" s="14" t="s">
        <v>962</v>
      </c>
      <c r="C440" s="15" t="n">
        <v>1450</v>
      </c>
      <c r="D440" s="15" t="n">
        <v>269</v>
      </c>
      <c r="E440" s="13" t="s">
        <v>82</v>
      </c>
      <c r="F440" s="15" t="str">
        <f aca="false">IF(C440&gt;=J440,"ja","nein")</f>
        <v>ja</v>
      </c>
      <c r="G440" s="15" t="str">
        <f aca="false">IF(C440&gt;=K440,"ja","nein")</f>
        <v>ja</v>
      </c>
      <c r="H440" s="15" t="str">
        <f aca="false">IF(C440&gt;=L440,"ja","nein")</f>
        <v>ja</v>
      </c>
      <c r="I440" s="15" t="str">
        <f aca="false">IF(C440&gt;=M440,"ja","nein")</f>
        <v>ja</v>
      </c>
      <c r="J440" s="15" t="n">
        <f aca="false">ROUND(Annahmen!$K$35*(1+Annahmen!$B$20*D440/1000),0)</f>
        <v>860</v>
      </c>
      <c r="K440" s="15" t="n">
        <f aca="false">ROUND(Annahmen!$K$36*(1+Annahmen!$B$20*D440/1000),0)</f>
        <v>1117</v>
      </c>
      <c r="L440" s="15" t="n">
        <f aca="false">ROUND(Annahmen!$K$37*(1+Annahmen!$B$20*D440/1000),0)</f>
        <v>1142</v>
      </c>
      <c r="M440" s="15" t="n">
        <f aca="false">ROUND(Annahmen!$K$38*(1+Annahmen!$B$20*D440/1000),0)</f>
        <v>1142</v>
      </c>
      <c r="N440" s="16" t="s">
        <v>102</v>
      </c>
    </row>
    <row r="441" customFormat="false" ht="15" hidden="false" customHeight="false" outlineLevel="0" collapsed="false">
      <c r="A441" s="13" t="s">
        <v>963</v>
      </c>
      <c r="B441" s="14" t="s">
        <v>964</v>
      </c>
      <c r="C441" s="15" t="n">
        <v>1442</v>
      </c>
      <c r="D441" s="15" t="n">
        <v>1249</v>
      </c>
      <c r="E441" s="13" t="s">
        <v>82</v>
      </c>
      <c r="F441" s="15" t="str">
        <f aca="false">IF(C441&gt;=J441,"ja","nein")</f>
        <v>ja</v>
      </c>
      <c r="G441" s="15" t="str">
        <f aca="false">IF(C441&gt;=K441,"ja","nein")</f>
        <v>ja</v>
      </c>
      <c r="H441" s="15" t="str">
        <f aca="false">IF(C441&gt;=L441,"ja","nein")</f>
        <v>ja</v>
      </c>
      <c r="I441" s="15" t="str">
        <f aca="false">IF(C441&gt;=M441,"ja","nein")</f>
        <v>ja</v>
      </c>
      <c r="J441" s="15" t="n">
        <f aca="false">ROUND(Annahmen!$K$35*(1+Annahmen!$B$20*D441/1000),0)</f>
        <v>934</v>
      </c>
      <c r="K441" s="15" t="n">
        <f aca="false">ROUND(Annahmen!$K$36*(1+Annahmen!$B$20*D441/1000),0)</f>
        <v>1214</v>
      </c>
      <c r="L441" s="15" t="n">
        <f aca="false">ROUND(Annahmen!$K$37*(1+Annahmen!$B$20*D441/1000),0)</f>
        <v>1240</v>
      </c>
      <c r="M441" s="15" t="n">
        <f aca="false">ROUND(Annahmen!$K$38*(1+Annahmen!$B$20*D441/1000),0)</f>
        <v>1240</v>
      </c>
      <c r="N441" s="16" t="s">
        <v>86</v>
      </c>
    </row>
    <row r="442" customFormat="false" ht="15" hidden="false" customHeight="false" outlineLevel="0" collapsed="false">
      <c r="A442" s="13" t="s">
        <v>965</v>
      </c>
      <c r="B442" s="14" t="s">
        <v>966</v>
      </c>
      <c r="C442" s="15" t="n">
        <v>1440</v>
      </c>
      <c r="D442" s="15" t="n">
        <v>623</v>
      </c>
      <c r="E442" s="13" t="s">
        <v>82</v>
      </c>
      <c r="F442" s="15" t="str">
        <f aca="false">IF(C442&gt;=J442,"ja","nein")</f>
        <v>ja</v>
      </c>
      <c r="G442" s="15" t="str">
        <f aca="false">IF(C442&gt;=K442,"ja","nein")</f>
        <v>ja</v>
      </c>
      <c r="H442" s="15" t="str">
        <f aca="false">IF(C442&gt;=L442,"ja","nein")</f>
        <v>ja</v>
      </c>
      <c r="I442" s="15" t="str">
        <f aca="false">IF(C442&gt;=M442,"ja","nein")</f>
        <v>ja</v>
      </c>
      <c r="J442" s="15" t="n">
        <f aca="false">ROUND(Annahmen!$K$35*(1+Annahmen!$B$20*D442/1000),0)</f>
        <v>887</v>
      </c>
      <c r="K442" s="15" t="n">
        <f aca="false">ROUND(Annahmen!$K$36*(1+Annahmen!$B$20*D442/1000),0)</f>
        <v>1152</v>
      </c>
      <c r="L442" s="15" t="n">
        <f aca="false">ROUND(Annahmen!$K$37*(1+Annahmen!$B$20*D442/1000),0)</f>
        <v>1178</v>
      </c>
      <c r="M442" s="15" t="n">
        <f aca="false">ROUND(Annahmen!$K$38*(1+Annahmen!$B$20*D442/1000),0)</f>
        <v>1178</v>
      </c>
      <c r="N442" s="16" t="s">
        <v>102</v>
      </c>
    </row>
    <row r="443" customFormat="false" ht="15" hidden="false" customHeight="false" outlineLevel="0" collapsed="false">
      <c r="A443" s="13" t="s">
        <v>967</v>
      </c>
      <c r="B443" s="14" t="s">
        <v>968</v>
      </c>
      <c r="C443" s="15" t="n">
        <v>1425</v>
      </c>
      <c r="D443" s="15" t="n">
        <v>923</v>
      </c>
      <c r="E443" s="13" t="s">
        <v>82</v>
      </c>
      <c r="F443" s="15" t="str">
        <f aca="false">IF(C443&gt;=J443,"ja","nein")</f>
        <v>ja</v>
      </c>
      <c r="G443" s="15" t="str">
        <f aca="false">IF(C443&gt;=K443,"ja","nein")</f>
        <v>ja</v>
      </c>
      <c r="H443" s="15" t="str">
        <f aca="false">IF(C443&gt;=L443,"ja","nein")</f>
        <v>ja</v>
      </c>
      <c r="I443" s="15" t="str">
        <f aca="false">IF(C443&gt;=M443,"ja","nein")</f>
        <v>ja</v>
      </c>
      <c r="J443" s="15" t="n">
        <f aca="false">ROUND(Annahmen!$K$35*(1+Annahmen!$B$20*D443/1000),0)</f>
        <v>910</v>
      </c>
      <c r="K443" s="15" t="n">
        <f aca="false">ROUND(Annahmen!$K$36*(1+Annahmen!$B$20*D443/1000),0)</f>
        <v>1182</v>
      </c>
      <c r="L443" s="15" t="n">
        <f aca="false">ROUND(Annahmen!$K$37*(1+Annahmen!$B$20*D443/1000),0)</f>
        <v>1208</v>
      </c>
      <c r="M443" s="15" t="n">
        <f aca="false">ROUND(Annahmen!$K$38*(1+Annahmen!$B$20*D443/1000),0)</f>
        <v>1208</v>
      </c>
      <c r="N443" s="16" t="s">
        <v>86</v>
      </c>
    </row>
    <row r="444" customFormat="false" ht="15" hidden="false" customHeight="false" outlineLevel="0" collapsed="false">
      <c r="A444" s="13" t="s">
        <v>969</v>
      </c>
      <c r="B444" s="14" t="s">
        <v>970</v>
      </c>
      <c r="C444" s="15" t="n">
        <v>1420</v>
      </c>
      <c r="D444" s="15" t="n">
        <v>194</v>
      </c>
      <c r="E444" s="13" t="s">
        <v>82</v>
      </c>
      <c r="F444" s="15" t="str">
        <f aca="false">IF(C444&gt;=J444,"ja","nein")</f>
        <v>ja</v>
      </c>
      <c r="G444" s="15" t="str">
        <f aca="false">IF(C444&gt;=K444,"ja","nein")</f>
        <v>ja</v>
      </c>
      <c r="H444" s="15" t="str">
        <f aca="false">IF(C444&gt;=L444,"ja","nein")</f>
        <v>ja</v>
      </c>
      <c r="I444" s="15" t="str">
        <f aca="false">IF(C444&gt;=M444,"ja","nein")</f>
        <v>ja</v>
      </c>
      <c r="J444" s="15" t="n">
        <f aca="false">ROUND(Annahmen!$K$35*(1+Annahmen!$B$20*D444/1000),0)</f>
        <v>855</v>
      </c>
      <c r="K444" s="15" t="n">
        <f aca="false">ROUND(Annahmen!$K$36*(1+Annahmen!$B$20*D444/1000),0)</f>
        <v>1110</v>
      </c>
      <c r="L444" s="15" t="n">
        <f aca="false">ROUND(Annahmen!$K$37*(1+Annahmen!$B$20*D444/1000),0)</f>
        <v>1134</v>
      </c>
      <c r="M444" s="15" t="n">
        <f aca="false">ROUND(Annahmen!$K$38*(1+Annahmen!$B$20*D444/1000),0)</f>
        <v>1134</v>
      </c>
      <c r="N444" s="16" t="s">
        <v>86</v>
      </c>
    </row>
    <row r="445" customFormat="false" ht="15" hidden="false" customHeight="false" outlineLevel="0" collapsed="false">
      <c r="A445" s="13" t="s">
        <v>971</v>
      </c>
      <c r="B445" s="14" t="s">
        <v>972</v>
      </c>
      <c r="C445" s="15" t="n">
        <v>1400</v>
      </c>
      <c r="D445" s="15" t="n">
        <v>13</v>
      </c>
      <c r="E445" s="13" t="s">
        <v>82</v>
      </c>
      <c r="F445" s="15" t="str">
        <f aca="false">IF(C445&gt;=J445,"ja","nein")</f>
        <v>ja</v>
      </c>
      <c r="G445" s="15" t="str">
        <f aca="false">IF(C445&gt;=K445,"ja","nein")</f>
        <v>ja</v>
      </c>
      <c r="H445" s="15" t="str">
        <f aca="false">IF(C445&gt;=L445,"ja","nein")</f>
        <v>ja</v>
      </c>
      <c r="I445" s="15" t="str">
        <f aca="false">IF(C445&gt;=M445,"ja","nein")</f>
        <v>ja</v>
      </c>
      <c r="J445" s="15" t="n">
        <f aca="false">ROUND(Annahmen!$K$35*(1+Annahmen!$B$20*D445/1000),0)</f>
        <v>841</v>
      </c>
      <c r="K445" s="15" t="n">
        <f aca="false">ROUND(Annahmen!$K$36*(1+Annahmen!$B$20*D445/1000),0)</f>
        <v>1092</v>
      </c>
      <c r="L445" s="15" t="n">
        <f aca="false">ROUND(Annahmen!$K$37*(1+Annahmen!$B$20*D445/1000),0)</f>
        <v>1116</v>
      </c>
      <c r="M445" s="15" t="n">
        <f aca="false">ROUND(Annahmen!$K$38*(1+Annahmen!$B$20*D445/1000),0)</f>
        <v>1116</v>
      </c>
      <c r="N445" s="16" t="s">
        <v>102</v>
      </c>
    </row>
    <row r="446" customFormat="false" ht="15" hidden="false" customHeight="false" outlineLevel="0" collapsed="false">
      <c r="A446" s="13" t="s">
        <v>973</v>
      </c>
      <c r="B446" s="14" t="s">
        <v>974</v>
      </c>
      <c r="C446" s="15" t="n">
        <v>1400</v>
      </c>
      <c r="D446" s="15" t="n">
        <v>265</v>
      </c>
      <c r="E446" s="13" t="s">
        <v>82</v>
      </c>
      <c r="F446" s="15" t="str">
        <f aca="false">IF(C446&gt;=J446,"ja","nein")</f>
        <v>ja</v>
      </c>
      <c r="G446" s="15" t="str">
        <f aca="false">IF(C446&gt;=K446,"ja","nein")</f>
        <v>ja</v>
      </c>
      <c r="H446" s="15" t="str">
        <f aca="false">IF(C446&gt;=L446,"ja","nein")</f>
        <v>ja</v>
      </c>
      <c r="I446" s="15" t="str">
        <f aca="false">IF(C446&gt;=M446,"ja","nein")</f>
        <v>ja</v>
      </c>
      <c r="J446" s="15" t="n">
        <f aca="false">ROUND(Annahmen!$K$35*(1+Annahmen!$B$20*D446/1000),0)</f>
        <v>860</v>
      </c>
      <c r="K446" s="15" t="n">
        <f aca="false">ROUND(Annahmen!$K$36*(1+Annahmen!$B$20*D446/1000),0)</f>
        <v>1117</v>
      </c>
      <c r="L446" s="15" t="n">
        <f aca="false">ROUND(Annahmen!$K$37*(1+Annahmen!$B$20*D446/1000),0)</f>
        <v>1142</v>
      </c>
      <c r="M446" s="15" t="n">
        <f aca="false">ROUND(Annahmen!$K$38*(1+Annahmen!$B$20*D446/1000),0)</f>
        <v>1142</v>
      </c>
      <c r="N446" s="16" t="s">
        <v>86</v>
      </c>
    </row>
    <row r="447" customFormat="false" ht="15" hidden="false" customHeight="false" outlineLevel="0" collapsed="false">
      <c r="A447" s="13" t="s">
        <v>975</v>
      </c>
      <c r="B447" s="14" t="s">
        <v>976</v>
      </c>
      <c r="C447" s="15" t="n">
        <v>1400</v>
      </c>
      <c r="D447" s="15" t="n">
        <v>1271</v>
      </c>
      <c r="E447" s="13" t="s">
        <v>82</v>
      </c>
      <c r="F447" s="15" t="str">
        <f aca="false">IF(C447&gt;=J447,"ja","nein")</f>
        <v>ja</v>
      </c>
      <c r="G447" s="15" t="str">
        <f aca="false">IF(C447&gt;=K447,"ja","nein")</f>
        <v>ja</v>
      </c>
      <c r="H447" s="15" t="str">
        <f aca="false">IF(C447&gt;=L447,"ja","nein")</f>
        <v>ja</v>
      </c>
      <c r="I447" s="15" t="str">
        <f aca="false">IF(C447&gt;=M447,"ja","nein")</f>
        <v>ja</v>
      </c>
      <c r="J447" s="15" t="n">
        <f aca="false">ROUND(Annahmen!$K$35*(1+Annahmen!$B$20*D447/1000),0)</f>
        <v>936</v>
      </c>
      <c r="K447" s="15" t="n">
        <f aca="false">ROUND(Annahmen!$K$36*(1+Annahmen!$B$20*D447/1000),0)</f>
        <v>1216</v>
      </c>
      <c r="L447" s="15" t="n">
        <f aca="false">ROUND(Annahmen!$K$37*(1+Annahmen!$B$20*D447/1000),0)</f>
        <v>1243</v>
      </c>
      <c r="M447" s="15" t="n">
        <f aca="false">ROUND(Annahmen!$K$38*(1+Annahmen!$B$20*D447/1000),0)</f>
        <v>1243</v>
      </c>
      <c r="N447" s="16" t="s">
        <v>102</v>
      </c>
    </row>
    <row r="448" customFormat="false" ht="15" hidden="false" customHeight="false" outlineLevel="0" collapsed="false">
      <c r="A448" s="13" t="s">
        <v>977</v>
      </c>
      <c r="B448" s="14" t="s">
        <v>978</v>
      </c>
      <c r="C448" s="15" t="n">
        <v>1395</v>
      </c>
      <c r="D448" s="15" t="n">
        <v>668</v>
      </c>
      <c r="E448" s="13" t="s">
        <v>82</v>
      </c>
      <c r="F448" s="15" t="str">
        <f aca="false">IF(C448&gt;=J448,"ja","nein")</f>
        <v>ja</v>
      </c>
      <c r="G448" s="15" t="str">
        <f aca="false">IF(C448&gt;=K448,"ja","nein")</f>
        <v>ja</v>
      </c>
      <c r="H448" s="15" t="str">
        <f aca="false">IF(C448&gt;=L448,"ja","nein")</f>
        <v>ja</v>
      </c>
      <c r="I448" s="15" t="str">
        <f aca="false">IF(C448&gt;=M448,"ja","nein")</f>
        <v>ja</v>
      </c>
      <c r="J448" s="15" t="n">
        <f aca="false">ROUND(Annahmen!$K$35*(1+Annahmen!$B$20*D448/1000),0)</f>
        <v>891</v>
      </c>
      <c r="K448" s="15" t="n">
        <f aca="false">ROUND(Annahmen!$K$36*(1+Annahmen!$B$20*D448/1000),0)</f>
        <v>1157</v>
      </c>
      <c r="L448" s="15" t="n">
        <f aca="false">ROUND(Annahmen!$K$37*(1+Annahmen!$B$20*D448/1000),0)</f>
        <v>1182</v>
      </c>
      <c r="M448" s="15" t="n">
        <f aca="false">ROUND(Annahmen!$K$38*(1+Annahmen!$B$20*D448/1000),0)</f>
        <v>1182</v>
      </c>
      <c r="N448" s="16" t="s">
        <v>86</v>
      </c>
    </row>
    <row r="449" customFormat="false" ht="15" hidden="false" customHeight="false" outlineLevel="0" collapsed="false">
      <c r="A449" s="13" t="s">
        <v>979</v>
      </c>
      <c r="B449" s="14" t="s">
        <v>980</v>
      </c>
      <c r="C449" s="15" t="n">
        <v>1393</v>
      </c>
      <c r="D449" s="15" t="n">
        <v>2731</v>
      </c>
      <c r="E449" s="13" t="s">
        <v>82</v>
      </c>
      <c r="F449" s="15" t="str">
        <f aca="false">IF(C449&gt;=J449,"ja","nein")</f>
        <v>ja</v>
      </c>
      <c r="G449" s="15" t="str">
        <f aca="false">IF(C449&gt;=K449,"ja","nein")</f>
        <v>ja</v>
      </c>
      <c r="H449" s="15" t="str">
        <f aca="false">IF(C449&gt;=L449,"ja","nein")</f>
        <v>ja</v>
      </c>
      <c r="I449" s="15" t="str">
        <f aca="false">IF(C449&gt;=M449,"ja","nein")</f>
        <v>ja</v>
      </c>
      <c r="J449" s="15" t="n">
        <f aca="false">ROUND(Annahmen!$K$35*(1+Annahmen!$B$20*D449/1000),0)</f>
        <v>1046</v>
      </c>
      <c r="K449" s="15" t="n">
        <f aca="false">ROUND(Annahmen!$K$36*(1+Annahmen!$B$20*D449/1000),0)</f>
        <v>1359</v>
      </c>
      <c r="L449" s="15" t="n">
        <f aca="false">ROUND(Annahmen!$K$37*(1+Annahmen!$B$20*D449/1000),0)</f>
        <v>1389</v>
      </c>
      <c r="M449" s="15" t="n">
        <f aca="false">ROUND(Annahmen!$K$38*(1+Annahmen!$B$20*D449/1000),0)</f>
        <v>1389</v>
      </c>
      <c r="N449" s="16" t="s">
        <v>102</v>
      </c>
    </row>
    <row r="450" customFormat="false" ht="15" hidden="false" customHeight="false" outlineLevel="0" collapsed="false">
      <c r="A450" s="13" t="s">
        <v>981</v>
      </c>
      <c r="B450" s="14" t="s">
        <v>982</v>
      </c>
      <c r="C450" s="15" t="n">
        <v>1390</v>
      </c>
      <c r="D450" s="15" t="n">
        <v>295</v>
      </c>
      <c r="E450" s="13" t="s">
        <v>82</v>
      </c>
      <c r="F450" s="15" t="str">
        <f aca="false">IF(C450&gt;=J450,"ja","nein")</f>
        <v>ja</v>
      </c>
      <c r="G450" s="15" t="str">
        <f aca="false">IF(C450&gt;=K450,"ja","nein")</f>
        <v>ja</v>
      </c>
      <c r="H450" s="15" t="str">
        <f aca="false">IF(C450&gt;=L450,"ja","nein")</f>
        <v>ja</v>
      </c>
      <c r="I450" s="15" t="str">
        <f aca="false">IF(C450&gt;=M450,"ja","nein")</f>
        <v>ja</v>
      </c>
      <c r="J450" s="15" t="n">
        <f aca="false">ROUND(Annahmen!$K$35*(1+Annahmen!$B$20*D450/1000),0)</f>
        <v>862</v>
      </c>
      <c r="K450" s="15" t="n">
        <f aca="false">ROUND(Annahmen!$K$36*(1+Annahmen!$B$20*D450/1000),0)</f>
        <v>1120</v>
      </c>
      <c r="L450" s="15" t="n">
        <f aca="false">ROUND(Annahmen!$K$37*(1+Annahmen!$B$20*D450/1000),0)</f>
        <v>1145</v>
      </c>
      <c r="M450" s="15" t="n">
        <f aca="false">ROUND(Annahmen!$K$38*(1+Annahmen!$B$20*D450/1000),0)</f>
        <v>1145</v>
      </c>
      <c r="N450" s="16" t="s">
        <v>86</v>
      </c>
    </row>
    <row r="451" customFormat="false" ht="15" hidden="false" customHeight="false" outlineLevel="0" collapsed="false">
      <c r="A451" s="13" t="s">
        <v>983</v>
      </c>
      <c r="B451" s="14" t="s">
        <v>984</v>
      </c>
      <c r="C451" s="15" t="n">
        <v>1380</v>
      </c>
      <c r="D451" s="15" t="n">
        <v>443</v>
      </c>
      <c r="E451" s="13" t="s">
        <v>82</v>
      </c>
      <c r="F451" s="15" t="str">
        <f aca="false">IF(C451&gt;=J451,"ja","nein")</f>
        <v>ja</v>
      </c>
      <c r="G451" s="15" t="str">
        <f aca="false">IF(C451&gt;=K451,"ja","nein")</f>
        <v>ja</v>
      </c>
      <c r="H451" s="15" t="str">
        <f aca="false">IF(C451&gt;=L451,"ja","nein")</f>
        <v>ja</v>
      </c>
      <c r="I451" s="15" t="str">
        <f aca="false">IF(C451&gt;=M451,"ja","nein")</f>
        <v>ja</v>
      </c>
      <c r="J451" s="15" t="n">
        <f aca="false">ROUND(Annahmen!$K$35*(1+Annahmen!$B$20*D451/1000),0)</f>
        <v>873</v>
      </c>
      <c r="K451" s="15" t="n">
        <f aca="false">ROUND(Annahmen!$K$36*(1+Annahmen!$B$20*D451/1000),0)</f>
        <v>1134</v>
      </c>
      <c r="L451" s="15" t="n">
        <f aca="false">ROUND(Annahmen!$K$37*(1+Annahmen!$B$20*D451/1000),0)</f>
        <v>1159</v>
      </c>
      <c r="M451" s="15" t="n">
        <f aca="false">ROUND(Annahmen!$K$38*(1+Annahmen!$B$20*D451/1000),0)</f>
        <v>1159</v>
      </c>
      <c r="N451" s="16" t="s">
        <v>102</v>
      </c>
    </row>
    <row r="452" customFormat="false" ht="15" hidden="false" customHeight="false" outlineLevel="0" collapsed="false">
      <c r="A452" s="13" t="s">
        <v>985</v>
      </c>
      <c r="B452" s="14" t="s">
        <v>986</v>
      </c>
      <c r="C452" s="15" t="n">
        <v>1350</v>
      </c>
      <c r="D452" s="15" t="n">
        <v>2428</v>
      </c>
      <c r="E452" s="13" t="s">
        <v>82</v>
      </c>
      <c r="F452" s="15" t="str">
        <f aca="false">IF(C452&gt;=J452,"ja","nein")</f>
        <v>ja</v>
      </c>
      <c r="G452" s="15" t="str">
        <f aca="false">IF(C452&gt;=K452,"ja","nein")</f>
        <v>ja</v>
      </c>
      <c r="H452" s="15" t="str">
        <f aca="false">IF(C452&gt;=L452,"ja","nein")</f>
        <v>nein</v>
      </c>
      <c r="I452" s="15" t="str">
        <f aca="false">IF(C452&gt;=M452,"ja","nein")</f>
        <v>nein</v>
      </c>
      <c r="J452" s="15" t="n">
        <f aca="false">ROUND(Annahmen!$K$35*(1+Annahmen!$B$20*D452/1000),0)</f>
        <v>1024</v>
      </c>
      <c r="K452" s="15" t="n">
        <f aca="false">ROUND(Annahmen!$K$36*(1+Annahmen!$B$20*D452/1000),0)</f>
        <v>1329</v>
      </c>
      <c r="L452" s="15" t="n">
        <f aca="false">ROUND(Annahmen!$K$37*(1+Annahmen!$B$20*D452/1000),0)</f>
        <v>1359</v>
      </c>
      <c r="M452" s="15" t="n">
        <f aca="false">ROUND(Annahmen!$K$38*(1+Annahmen!$B$20*D452/1000),0)</f>
        <v>1359</v>
      </c>
      <c r="N452" s="16" t="s">
        <v>102</v>
      </c>
    </row>
    <row r="453" customFormat="false" ht="15" hidden="false" customHeight="false" outlineLevel="0" collapsed="false">
      <c r="A453" s="13" t="s">
        <v>987</v>
      </c>
      <c r="B453" s="14" t="s">
        <v>988</v>
      </c>
      <c r="C453" s="15" t="n">
        <v>1346</v>
      </c>
      <c r="D453" s="15" t="n">
        <v>52</v>
      </c>
      <c r="E453" s="13" t="s">
        <v>82</v>
      </c>
      <c r="F453" s="15" t="str">
        <f aca="false">IF(C453&gt;=J453,"ja","nein")</f>
        <v>ja</v>
      </c>
      <c r="G453" s="15" t="str">
        <f aca="false">IF(C453&gt;=K453,"ja","nein")</f>
        <v>ja</v>
      </c>
      <c r="H453" s="15" t="str">
        <f aca="false">IF(C453&gt;=L453,"ja","nein")</f>
        <v>ja</v>
      </c>
      <c r="I453" s="15" t="str">
        <f aca="false">IF(C453&gt;=M453,"ja","nein")</f>
        <v>ja</v>
      </c>
      <c r="J453" s="15" t="n">
        <f aca="false">ROUND(Annahmen!$K$35*(1+Annahmen!$B$20*D453/1000),0)</f>
        <v>844</v>
      </c>
      <c r="K453" s="15" t="n">
        <f aca="false">ROUND(Annahmen!$K$36*(1+Annahmen!$B$20*D453/1000),0)</f>
        <v>1096</v>
      </c>
      <c r="L453" s="15" t="n">
        <f aca="false">ROUND(Annahmen!$K$37*(1+Annahmen!$B$20*D453/1000),0)</f>
        <v>1120</v>
      </c>
      <c r="M453" s="15" t="n">
        <f aca="false">ROUND(Annahmen!$K$38*(1+Annahmen!$B$20*D453/1000),0)</f>
        <v>1120</v>
      </c>
      <c r="N453" s="16" t="s">
        <v>86</v>
      </c>
    </row>
    <row r="454" customFormat="false" ht="15" hidden="false" customHeight="false" outlineLevel="0" collapsed="false">
      <c r="A454" s="13" t="s">
        <v>989</v>
      </c>
      <c r="B454" s="14" t="s">
        <v>990</v>
      </c>
      <c r="C454" s="15" t="n">
        <v>1310</v>
      </c>
      <c r="D454" s="15" t="n">
        <v>3218</v>
      </c>
      <c r="E454" s="13" t="s">
        <v>82</v>
      </c>
      <c r="F454" s="15" t="str">
        <f aca="false">IF(C454&gt;=J454,"ja","nein")</f>
        <v>ja</v>
      </c>
      <c r="G454" s="15" t="str">
        <f aca="false">IF(C454&gt;=K454,"ja","nein")</f>
        <v>nein</v>
      </c>
      <c r="H454" s="15" t="str">
        <f aca="false">IF(C454&gt;=L454,"ja","nein")</f>
        <v>nein</v>
      </c>
      <c r="I454" s="15" t="str">
        <f aca="false">IF(C454&gt;=M454,"ja","nein")</f>
        <v>nein</v>
      </c>
      <c r="J454" s="15" t="n">
        <f aca="false">ROUND(Annahmen!$K$35*(1+Annahmen!$B$20*D454/1000),0)</f>
        <v>1083</v>
      </c>
      <c r="K454" s="15" t="n">
        <f aca="false">ROUND(Annahmen!$K$36*(1+Annahmen!$B$20*D454/1000),0)</f>
        <v>1407</v>
      </c>
      <c r="L454" s="15" t="n">
        <f aca="false">ROUND(Annahmen!$K$37*(1+Annahmen!$B$20*D454/1000),0)</f>
        <v>1438</v>
      </c>
      <c r="M454" s="15" t="n">
        <f aca="false">ROUND(Annahmen!$K$38*(1+Annahmen!$B$20*D454/1000),0)</f>
        <v>1438</v>
      </c>
      <c r="N454" s="16" t="s">
        <v>102</v>
      </c>
    </row>
    <row r="455" customFormat="false" ht="15" hidden="false" customHeight="false" outlineLevel="0" collapsed="false">
      <c r="A455" s="13" t="s">
        <v>991</v>
      </c>
      <c r="B455" s="14" t="s">
        <v>992</v>
      </c>
      <c r="C455" s="15" t="n">
        <v>1300</v>
      </c>
      <c r="D455" s="15" t="n">
        <v>208</v>
      </c>
      <c r="E455" s="13" t="s">
        <v>82</v>
      </c>
      <c r="F455" s="15" t="str">
        <f aca="false">IF(C455&gt;=J455,"ja","nein")</f>
        <v>ja</v>
      </c>
      <c r="G455" s="15" t="str">
        <f aca="false">IF(C455&gt;=K455,"ja","nein")</f>
        <v>ja</v>
      </c>
      <c r="H455" s="15" t="str">
        <f aca="false">IF(C455&gt;=L455,"ja","nein")</f>
        <v>ja</v>
      </c>
      <c r="I455" s="15" t="str">
        <f aca="false">IF(C455&gt;=M455,"ja","nein")</f>
        <v>ja</v>
      </c>
      <c r="J455" s="15" t="n">
        <f aca="false">ROUND(Annahmen!$K$35*(1+Annahmen!$B$20*D455/1000),0)</f>
        <v>856</v>
      </c>
      <c r="K455" s="15" t="n">
        <f aca="false">ROUND(Annahmen!$K$36*(1+Annahmen!$B$20*D455/1000),0)</f>
        <v>1111</v>
      </c>
      <c r="L455" s="15" t="n">
        <f aca="false">ROUND(Annahmen!$K$37*(1+Annahmen!$B$20*D455/1000),0)</f>
        <v>1136</v>
      </c>
      <c r="M455" s="15" t="n">
        <f aca="false">ROUND(Annahmen!$K$38*(1+Annahmen!$B$20*D455/1000),0)</f>
        <v>1136</v>
      </c>
      <c r="N455" s="16" t="s">
        <v>86</v>
      </c>
    </row>
    <row r="456" customFormat="false" ht="15" hidden="false" customHeight="false" outlineLevel="0" collapsed="false">
      <c r="A456" s="13" t="s">
        <v>993</v>
      </c>
      <c r="B456" s="14" t="s">
        <v>994</v>
      </c>
      <c r="C456" s="15" t="n">
        <v>1300</v>
      </c>
      <c r="D456" s="15" t="n">
        <v>1115</v>
      </c>
      <c r="E456" s="13" t="s">
        <v>82</v>
      </c>
      <c r="F456" s="15" t="str">
        <f aca="false">IF(C456&gt;=J456,"ja","nein")</f>
        <v>ja</v>
      </c>
      <c r="G456" s="15" t="str">
        <f aca="false">IF(C456&gt;=K456,"ja","nein")</f>
        <v>ja</v>
      </c>
      <c r="H456" s="15" t="str">
        <f aca="false">IF(C456&gt;=L456,"ja","nein")</f>
        <v>ja</v>
      </c>
      <c r="I456" s="15" t="str">
        <f aca="false">IF(C456&gt;=M456,"ja","nein")</f>
        <v>ja</v>
      </c>
      <c r="J456" s="15" t="n">
        <f aca="false">ROUND(Annahmen!$K$35*(1+Annahmen!$B$20*D456/1000),0)</f>
        <v>924</v>
      </c>
      <c r="K456" s="15" t="n">
        <f aca="false">ROUND(Annahmen!$K$36*(1+Annahmen!$B$20*D456/1000),0)</f>
        <v>1200</v>
      </c>
      <c r="L456" s="15" t="n">
        <f aca="false">ROUND(Annahmen!$K$37*(1+Annahmen!$B$20*D456/1000),0)</f>
        <v>1227</v>
      </c>
      <c r="M456" s="15" t="n">
        <f aca="false">ROUND(Annahmen!$K$38*(1+Annahmen!$B$20*D456/1000),0)</f>
        <v>1227</v>
      </c>
      <c r="N456" s="16" t="s">
        <v>102</v>
      </c>
    </row>
    <row r="457" customFormat="false" ht="15" hidden="false" customHeight="false" outlineLevel="0" collapsed="false">
      <c r="A457" s="13" t="s">
        <v>995</v>
      </c>
      <c r="B457" s="14" t="s">
        <v>996</v>
      </c>
      <c r="C457" s="15" t="n">
        <v>1300</v>
      </c>
      <c r="D457" s="15" t="n">
        <v>915</v>
      </c>
      <c r="E457" s="13" t="s">
        <v>82</v>
      </c>
      <c r="F457" s="15" t="str">
        <f aca="false">IF(C457&gt;=J457,"ja","nein")</f>
        <v>ja</v>
      </c>
      <c r="G457" s="15" t="str">
        <f aca="false">IF(C457&gt;=K457,"ja","nein")</f>
        <v>ja</v>
      </c>
      <c r="H457" s="15" t="str">
        <f aca="false">IF(C457&gt;=L457,"ja","nein")</f>
        <v>ja</v>
      </c>
      <c r="I457" s="15" t="str">
        <f aca="false">IF(C457&gt;=M457,"ja","nein")</f>
        <v>ja</v>
      </c>
      <c r="J457" s="15" t="n">
        <f aca="false">ROUND(Annahmen!$K$35*(1+Annahmen!$B$20*D457/1000),0)</f>
        <v>909</v>
      </c>
      <c r="K457" s="15" t="n">
        <f aca="false">ROUND(Annahmen!$K$36*(1+Annahmen!$B$20*D457/1000),0)</f>
        <v>1181</v>
      </c>
      <c r="L457" s="15" t="n">
        <f aca="false">ROUND(Annahmen!$K$37*(1+Annahmen!$B$20*D457/1000),0)</f>
        <v>1207</v>
      </c>
      <c r="M457" s="15" t="n">
        <f aca="false">ROUND(Annahmen!$K$38*(1+Annahmen!$B$20*D457/1000),0)</f>
        <v>1207</v>
      </c>
      <c r="N457" s="16" t="s">
        <v>102</v>
      </c>
    </row>
    <row r="458" customFormat="false" ht="15" hidden="false" customHeight="false" outlineLevel="0" collapsed="false">
      <c r="A458" s="13" t="s">
        <v>997</v>
      </c>
      <c r="B458" s="14" t="s">
        <v>998</v>
      </c>
      <c r="C458" s="15" t="n">
        <v>1300</v>
      </c>
      <c r="D458" s="15" t="n">
        <v>1686</v>
      </c>
      <c r="E458" s="13" t="s">
        <v>82</v>
      </c>
      <c r="F458" s="15" t="str">
        <f aca="false">IF(C458&gt;=J458,"ja","nein")</f>
        <v>ja</v>
      </c>
      <c r="G458" s="15" t="str">
        <f aca="false">IF(C458&gt;=K458,"ja","nein")</f>
        <v>ja</v>
      </c>
      <c r="H458" s="15" t="str">
        <f aca="false">IF(C458&gt;=L458,"ja","nein")</f>
        <v>ja</v>
      </c>
      <c r="I458" s="15" t="str">
        <f aca="false">IF(C458&gt;=M458,"ja","nein")</f>
        <v>ja</v>
      </c>
      <c r="J458" s="15" t="n">
        <f aca="false">ROUND(Annahmen!$K$35*(1+Annahmen!$B$20*D458/1000),0)</f>
        <v>967</v>
      </c>
      <c r="K458" s="15" t="n">
        <f aca="false">ROUND(Annahmen!$K$36*(1+Annahmen!$B$20*D458/1000),0)</f>
        <v>1257</v>
      </c>
      <c r="L458" s="15" t="n">
        <f aca="false">ROUND(Annahmen!$K$37*(1+Annahmen!$B$20*D458/1000),0)</f>
        <v>1284</v>
      </c>
      <c r="M458" s="15" t="n">
        <f aca="false">ROUND(Annahmen!$K$38*(1+Annahmen!$B$20*D458/1000),0)</f>
        <v>1284</v>
      </c>
      <c r="N458" s="16" t="s">
        <v>102</v>
      </c>
    </row>
    <row r="459" customFormat="false" ht="15" hidden="false" customHeight="false" outlineLevel="0" collapsed="false">
      <c r="A459" s="13" t="s">
        <v>999</v>
      </c>
      <c r="B459" s="14" t="s">
        <v>1000</v>
      </c>
      <c r="C459" s="15" t="n">
        <v>1300</v>
      </c>
      <c r="D459" s="15" t="n">
        <v>576</v>
      </c>
      <c r="E459" s="13" t="s">
        <v>82</v>
      </c>
      <c r="F459" s="15" t="str">
        <f aca="false">IF(C459&gt;=J459,"ja","nein")</f>
        <v>ja</v>
      </c>
      <c r="G459" s="15" t="str">
        <f aca="false">IF(C459&gt;=K459,"ja","nein")</f>
        <v>ja</v>
      </c>
      <c r="H459" s="15" t="str">
        <f aca="false">IF(C459&gt;=L459,"ja","nein")</f>
        <v>ja</v>
      </c>
      <c r="I459" s="15" t="str">
        <f aca="false">IF(C459&gt;=M459,"ja","nein")</f>
        <v>ja</v>
      </c>
      <c r="J459" s="15" t="n">
        <f aca="false">ROUND(Annahmen!$K$35*(1+Annahmen!$B$20*D459/1000),0)</f>
        <v>884</v>
      </c>
      <c r="K459" s="15" t="n">
        <f aca="false">ROUND(Annahmen!$K$36*(1+Annahmen!$B$20*D459/1000),0)</f>
        <v>1148</v>
      </c>
      <c r="L459" s="15" t="n">
        <f aca="false">ROUND(Annahmen!$K$37*(1+Annahmen!$B$20*D459/1000),0)</f>
        <v>1173</v>
      </c>
      <c r="M459" s="15" t="n">
        <f aca="false">ROUND(Annahmen!$K$38*(1+Annahmen!$B$20*D459/1000),0)</f>
        <v>1173</v>
      </c>
      <c r="N459" s="16" t="s">
        <v>102</v>
      </c>
    </row>
    <row r="460" customFormat="false" ht="15" hidden="false" customHeight="false" outlineLevel="0" collapsed="false">
      <c r="A460" s="13" t="s">
        <v>1001</v>
      </c>
      <c r="B460" s="14" t="s">
        <v>1002</v>
      </c>
      <c r="C460" s="15" t="n">
        <v>1300</v>
      </c>
      <c r="D460" s="15" t="n">
        <v>1620</v>
      </c>
      <c r="E460" s="13" t="s">
        <v>82</v>
      </c>
      <c r="F460" s="15" t="str">
        <f aca="false">IF(C460&gt;=J460,"ja","nein")</f>
        <v>ja</v>
      </c>
      <c r="G460" s="15" t="str">
        <f aca="false">IF(C460&gt;=K460,"ja","nein")</f>
        <v>ja</v>
      </c>
      <c r="H460" s="15" t="str">
        <f aca="false">IF(C460&gt;=L460,"ja","nein")</f>
        <v>ja</v>
      </c>
      <c r="I460" s="15" t="str">
        <f aca="false">IF(C460&gt;=M460,"ja","nein")</f>
        <v>ja</v>
      </c>
      <c r="J460" s="15" t="n">
        <f aca="false">ROUND(Annahmen!$K$35*(1+Annahmen!$B$20*D460/1000),0)</f>
        <v>962</v>
      </c>
      <c r="K460" s="15" t="n">
        <f aca="false">ROUND(Annahmen!$K$36*(1+Annahmen!$B$20*D460/1000),0)</f>
        <v>1250</v>
      </c>
      <c r="L460" s="15" t="n">
        <f aca="false">ROUND(Annahmen!$K$37*(1+Annahmen!$B$20*D460/1000),0)</f>
        <v>1278</v>
      </c>
      <c r="M460" s="15" t="n">
        <f aca="false">ROUND(Annahmen!$K$38*(1+Annahmen!$B$20*D460/1000),0)</f>
        <v>1278</v>
      </c>
      <c r="N460" s="16" t="s">
        <v>86</v>
      </c>
    </row>
    <row r="461" customFormat="false" ht="15" hidden="false" customHeight="false" outlineLevel="0" collapsed="false">
      <c r="A461" s="13" t="s">
        <v>1003</v>
      </c>
      <c r="B461" s="14" t="s">
        <v>1004</v>
      </c>
      <c r="C461" s="15" t="n">
        <v>1300</v>
      </c>
      <c r="D461" s="15" t="n">
        <v>3362</v>
      </c>
      <c r="E461" s="13" t="s">
        <v>82</v>
      </c>
      <c r="F461" s="15" t="str">
        <f aca="false">IF(C461&gt;=J461,"ja","nein")</f>
        <v>ja</v>
      </c>
      <c r="G461" s="15" t="str">
        <f aca="false">IF(C461&gt;=K461,"ja","nein")</f>
        <v>nein</v>
      </c>
      <c r="H461" s="15" t="str">
        <f aca="false">IF(C461&gt;=L461,"ja","nein")</f>
        <v>nein</v>
      </c>
      <c r="I461" s="15" t="str">
        <f aca="false">IF(C461&gt;=M461,"ja","nein")</f>
        <v>nein</v>
      </c>
      <c r="J461" s="15" t="n">
        <f aca="false">ROUND(Annahmen!$K$35*(1+Annahmen!$B$20*D461/1000),0)</f>
        <v>1094</v>
      </c>
      <c r="K461" s="15" t="n">
        <f aca="false">ROUND(Annahmen!$K$36*(1+Annahmen!$B$20*D461/1000),0)</f>
        <v>1421</v>
      </c>
      <c r="L461" s="15" t="n">
        <f aca="false">ROUND(Annahmen!$K$37*(1+Annahmen!$B$20*D461/1000),0)</f>
        <v>1452</v>
      </c>
      <c r="M461" s="15" t="n">
        <f aca="false">ROUND(Annahmen!$K$38*(1+Annahmen!$B$20*D461/1000),0)</f>
        <v>1452</v>
      </c>
      <c r="N461" s="16" t="s">
        <v>86</v>
      </c>
    </row>
    <row r="462" customFormat="false" ht="15" hidden="false" customHeight="false" outlineLevel="0" collapsed="false">
      <c r="A462" s="13" t="s">
        <v>1005</v>
      </c>
      <c r="B462" s="14" t="s">
        <v>1006</v>
      </c>
      <c r="C462" s="15" t="n">
        <v>1300</v>
      </c>
      <c r="D462" s="15" t="n">
        <v>452</v>
      </c>
      <c r="E462" s="13" t="s">
        <v>82</v>
      </c>
      <c r="F462" s="15" t="str">
        <f aca="false">IF(C462&gt;=J462,"ja","nein")</f>
        <v>ja</v>
      </c>
      <c r="G462" s="15" t="str">
        <f aca="false">IF(C462&gt;=K462,"ja","nein")</f>
        <v>ja</v>
      </c>
      <c r="H462" s="15" t="str">
        <f aca="false">IF(C462&gt;=L462,"ja","nein")</f>
        <v>ja</v>
      </c>
      <c r="I462" s="15" t="str">
        <f aca="false">IF(C462&gt;=M462,"ja","nein")</f>
        <v>ja</v>
      </c>
      <c r="J462" s="15" t="n">
        <f aca="false">ROUND(Annahmen!$K$35*(1+Annahmen!$B$20*D462/1000),0)</f>
        <v>874</v>
      </c>
      <c r="K462" s="15" t="n">
        <f aca="false">ROUND(Annahmen!$K$36*(1+Annahmen!$B$20*D462/1000),0)</f>
        <v>1135</v>
      </c>
      <c r="L462" s="15" t="n">
        <f aca="false">ROUND(Annahmen!$K$37*(1+Annahmen!$B$20*D462/1000),0)</f>
        <v>1160</v>
      </c>
      <c r="M462" s="15" t="n">
        <f aca="false">ROUND(Annahmen!$K$38*(1+Annahmen!$B$20*D462/1000),0)</f>
        <v>1160</v>
      </c>
      <c r="N462" s="16" t="s">
        <v>102</v>
      </c>
    </row>
    <row r="463" customFormat="false" ht="15" hidden="false" customHeight="false" outlineLevel="0" collapsed="false">
      <c r="A463" s="13" t="s">
        <v>1007</v>
      </c>
      <c r="B463" s="14" t="s">
        <v>1008</v>
      </c>
      <c r="C463" s="15" t="n">
        <v>1255</v>
      </c>
      <c r="D463" s="15" t="n">
        <v>72</v>
      </c>
      <c r="E463" s="13" t="s">
        <v>82</v>
      </c>
      <c r="F463" s="15" t="str">
        <f aca="false">IF(C463&gt;=J463,"ja","nein")</f>
        <v>ja</v>
      </c>
      <c r="G463" s="15" t="str">
        <f aca="false">IF(C463&gt;=K463,"ja","nein")</f>
        <v>ja</v>
      </c>
      <c r="H463" s="15" t="str">
        <f aca="false">IF(C463&gt;=L463,"ja","nein")</f>
        <v>ja</v>
      </c>
      <c r="I463" s="15" t="str">
        <f aca="false">IF(C463&gt;=M463,"ja","nein")</f>
        <v>ja</v>
      </c>
      <c r="J463" s="15" t="n">
        <f aca="false">ROUND(Annahmen!$K$35*(1+Annahmen!$B$20*D463/1000),0)</f>
        <v>845</v>
      </c>
      <c r="K463" s="15" t="n">
        <f aca="false">ROUND(Annahmen!$K$36*(1+Annahmen!$B$20*D463/1000),0)</f>
        <v>1098</v>
      </c>
      <c r="L463" s="15" t="n">
        <f aca="false">ROUND(Annahmen!$K$37*(1+Annahmen!$B$20*D463/1000),0)</f>
        <v>1122</v>
      </c>
      <c r="M463" s="15" t="n">
        <f aca="false">ROUND(Annahmen!$K$38*(1+Annahmen!$B$20*D463/1000),0)</f>
        <v>1122</v>
      </c>
      <c r="N463" s="16" t="s">
        <v>86</v>
      </c>
    </row>
    <row r="464" customFormat="false" ht="15" hidden="false" customHeight="false" outlineLevel="0" collapsed="false">
      <c r="A464" s="13" t="s">
        <v>1009</v>
      </c>
      <c r="B464" s="14" t="s">
        <v>1010</v>
      </c>
      <c r="C464" s="15" t="n">
        <v>1250</v>
      </c>
      <c r="D464" s="15" t="n">
        <v>220</v>
      </c>
      <c r="E464" s="13" t="s">
        <v>82</v>
      </c>
      <c r="F464" s="15" t="str">
        <f aca="false">IF(C464&gt;=J464,"ja","nein")</f>
        <v>ja</v>
      </c>
      <c r="G464" s="15" t="str">
        <f aca="false">IF(C464&gt;=K464,"ja","nein")</f>
        <v>ja</v>
      </c>
      <c r="H464" s="15" t="str">
        <f aca="false">IF(C464&gt;=L464,"ja","nein")</f>
        <v>ja</v>
      </c>
      <c r="I464" s="15" t="str">
        <f aca="false">IF(C464&gt;=M464,"ja","nein")</f>
        <v>ja</v>
      </c>
      <c r="J464" s="15" t="n">
        <f aca="false">ROUND(Annahmen!$K$35*(1+Annahmen!$B$20*D464/1000),0)</f>
        <v>857</v>
      </c>
      <c r="K464" s="15" t="n">
        <f aca="false">ROUND(Annahmen!$K$36*(1+Annahmen!$B$20*D464/1000),0)</f>
        <v>1113</v>
      </c>
      <c r="L464" s="15" t="n">
        <f aca="false">ROUND(Annahmen!$K$37*(1+Annahmen!$B$20*D464/1000),0)</f>
        <v>1137</v>
      </c>
      <c r="M464" s="15" t="n">
        <f aca="false">ROUND(Annahmen!$K$38*(1+Annahmen!$B$20*D464/1000),0)</f>
        <v>1137</v>
      </c>
      <c r="N464" s="16" t="s">
        <v>86</v>
      </c>
    </row>
    <row r="465" customFormat="false" ht="15" hidden="false" customHeight="false" outlineLevel="0" collapsed="false">
      <c r="A465" s="13" t="s">
        <v>1011</v>
      </c>
      <c r="B465" s="14" t="s">
        <v>1012</v>
      </c>
      <c r="C465" s="15" t="n">
        <v>1250</v>
      </c>
      <c r="D465" s="15" t="n">
        <v>398</v>
      </c>
      <c r="E465" s="13" t="s">
        <v>82</v>
      </c>
      <c r="F465" s="15" t="str">
        <f aca="false">IF(C465&gt;=J465,"ja","nein")</f>
        <v>ja</v>
      </c>
      <c r="G465" s="15" t="str">
        <f aca="false">IF(C465&gt;=K465,"ja","nein")</f>
        <v>ja</v>
      </c>
      <c r="H465" s="15" t="str">
        <f aca="false">IF(C465&gt;=L465,"ja","nein")</f>
        <v>ja</v>
      </c>
      <c r="I465" s="15" t="str">
        <f aca="false">IF(C465&gt;=M465,"ja","nein")</f>
        <v>ja</v>
      </c>
      <c r="J465" s="15" t="n">
        <f aca="false">ROUND(Annahmen!$K$35*(1+Annahmen!$B$20*D465/1000),0)</f>
        <v>870</v>
      </c>
      <c r="K465" s="15" t="n">
        <f aca="false">ROUND(Annahmen!$K$36*(1+Annahmen!$B$20*D465/1000),0)</f>
        <v>1130</v>
      </c>
      <c r="L465" s="15" t="n">
        <f aca="false">ROUND(Annahmen!$K$37*(1+Annahmen!$B$20*D465/1000),0)</f>
        <v>1155</v>
      </c>
      <c r="M465" s="15" t="n">
        <f aca="false">ROUND(Annahmen!$K$38*(1+Annahmen!$B$20*D465/1000),0)</f>
        <v>1155</v>
      </c>
      <c r="N465" s="16" t="s">
        <v>102</v>
      </c>
    </row>
    <row r="466" customFormat="false" ht="15" hidden="false" customHeight="false" outlineLevel="0" collapsed="false">
      <c r="A466" s="13" t="s">
        <v>1013</v>
      </c>
      <c r="B466" s="14" t="s">
        <v>1014</v>
      </c>
      <c r="C466" s="15" t="n">
        <v>1230</v>
      </c>
      <c r="D466" s="15" t="n">
        <v>728</v>
      </c>
      <c r="E466" s="13" t="s">
        <v>82</v>
      </c>
      <c r="F466" s="15" t="str">
        <f aca="false">IF(C466&gt;=J466,"ja","nein")</f>
        <v>ja</v>
      </c>
      <c r="G466" s="15" t="str">
        <f aca="false">IF(C466&gt;=K466,"ja","nein")</f>
        <v>ja</v>
      </c>
      <c r="H466" s="15" t="str">
        <f aca="false">IF(C466&gt;=L466,"ja","nein")</f>
        <v>ja</v>
      </c>
      <c r="I466" s="15" t="str">
        <f aca="false">IF(C466&gt;=M466,"ja","nein")</f>
        <v>ja</v>
      </c>
      <c r="J466" s="15" t="n">
        <f aca="false">ROUND(Annahmen!$K$35*(1+Annahmen!$B$20*D466/1000),0)</f>
        <v>895</v>
      </c>
      <c r="K466" s="15" t="n">
        <f aca="false">ROUND(Annahmen!$K$36*(1+Annahmen!$B$20*D466/1000),0)</f>
        <v>1162</v>
      </c>
      <c r="L466" s="15" t="n">
        <f aca="false">ROUND(Annahmen!$K$37*(1+Annahmen!$B$20*D466/1000),0)</f>
        <v>1188</v>
      </c>
      <c r="M466" s="15" t="n">
        <f aca="false">ROUND(Annahmen!$K$38*(1+Annahmen!$B$20*D466/1000),0)</f>
        <v>1188</v>
      </c>
      <c r="N466" s="16" t="s">
        <v>86</v>
      </c>
    </row>
    <row r="467" customFormat="false" ht="15" hidden="false" customHeight="false" outlineLevel="0" collapsed="false">
      <c r="A467" s="13" t="s">
        <v>1015</v>
      </c>
      <c r="B467" s="14" t="s">
        <v>1016</v>
      </c>
      <c r="C467" s="15" t="n">
        <v>1230</v>
      </c>
      <c r="D467" s="15" t="n">
        <v>494</v>
      </c>
      <c r="E467" s="13" t="s">
        <v>82</v>
      </c>
      <c r="F467" s="15" t="str">
        <f aca="false">IF(C467&gt;=J467,"ja","nein")</f>
        <v>ja</v>
      </c>
      <c r="G467" s="15" t="str">
        <f aca="false">IF(C467&gt;=K467,"ja","nein")</f>
        <v>ja</v>
      </c>
      <c r="H467" s="15" t="str">
        <f aca="false">IF(C467&gt;=L467,"ja","nein")</f>
        <v>ja</v>
      </c>
      <c r="I467" s="15" t="str">
        <f aca="false">IF(C467&gt;=M467,"ja","nein")</f>
        <v>ja</v>
      </c>
      <c r="J467" s="15" t="n">
        <f aca="false">ROUND(Annahmen!$K$35*(1+Annahmen!$B$20*D467/1000),0)</f>
        <v>877</v>
      </c>
      <c r="K467" s="15" t="n">
        <f aca="false">ROUND(Annahmen!$K$36*(1+Annahmen!$B$20*D467/1000),0)</f>
        <v>1140</v>
      </c>
      <c r="L467" s="15" t="n">
        <f aca="false">ROUND(Annahmen!$K$37*(1+Annahmen!$B$20*D467/1000),0)</f>
        <v>1165</v>
      </c>
      <c r="M467" s="15" t="n">
        <f aca="false">ROUND(Annahmen!$K$38*(1+Annahmen!$B$20*D467/1000),0)</f>
        <v>1165</v>
      </c>
      <c r="N467" s="16" t="s">
        <v>102</v>
      </c>
    </row>
    <row r="468" customFormat="false" ht="15" hidden="false" customHeight="false" outlineLevel="0" collapsed="false">
      <c r="A468" s="13" t="s">
        <v>1017</v>
      </c>
      <c r="B468" s="14" t="s">
        <v>1018</v>
      </c>
      <c r="C468" s="15" t="n">
        <v>1220</v>
      </c>
      <c r="D468" s="15" t="n">
        <v>79</v>
      </c>
      <c r="E468" s="13" t="s">
        <v>82</v>
      </c>
      <c r="F468" s="15" t="str">
        <f aca="false">IF(C468&gt;=J468,"ja","nein")</f>
        <v>ja</v>
      </c>
      <c r="G468" s="15" t="str">
        <f aca="false">IF(C468&gt;=K468,"ja","nein")</f>
        <v>ja</v>
      </c>
      <c r="H468" s="15" t="str">
        <f aca="false">IF(C468&gt;=L468,"ja","nein")</f>
        <v>ja</v>
      </c>
      <c r="I468" s="15" t="str">
        <f aca="false">IF(C468&gt;=M468,"ja","nein")</f>
        <v>ja</v>
      </c>
      <c r="J468" s="15" t="n">
        <f aca="false">ROUND(Annahmen!$K$35*(1+Annahmen!$B$20*D468/1000),0)</f>
        <v>846</v>
      </c>
      <c r="K468" s="15" t="n">
        <f aca="false">ROUND(Annahmen!$K$36*(1+Annahmen!$B$20*D468/1000),0)</f>
        <v>1099</v>
      </c>
      <c r="L468" s="15" t="n">
        <f aca="false">ROUND(Annahmen!$K$37*(1+Annahmen!$B$20*D468/1000),0)</f>
        <v>1123</v>
      </c>
      <c r="M468" s="15" t="n">
        <f aca="false">ROUND(Annahmen!$K$38*(1+Annahmen!$B$20*D468/1000),0)</f>
        <v>1123</v>
      </c>
      <c r="N468" s="16" t="s">
        <v>102</v>
      </c>
    </row>
    <row r="469" customFormat="false" ht="15" hidden="false" customHeight="false" outlineLevel="0" collapsed="false">
      <c r="A469" s="13" t="s">
        <v>1019</v>
      </c>
      <c r="B469" s="14" t="s">
        <v>1020</v>
      </c>
      <c r="C469" s="15" t="n">
        <v>1200</v>
      </c>
      <c r="D469" s="15" t="n">
        <v>110</v>
      </c>
      <c r="E469" s="13" t="s">
        <v>82</v>
      </c>
      <c r="F469" s="15" t="str">
        <f aca="false">IF(C469&gt;=J469,"ja","nein")</f>
        <v>ja</v>
      </c>
      <c r="G469" s="15" t="str">
        <f aca="false">IF(C469&gt;=K469,"ja","nein")</f>
        <v>ja</v>
      </c>
      <c r="H469" s="15" t="str">
        <f aca="false">IF(C469&gt;=L469,"ja","nein")</f>
        <v>ja</v>
      </c>
      <c r="I469" s="15" t="str">
        <f aca="false">IF(C469&gt;=M469,"ja","nein")</f>
        <v>ja</v>
      </c>
      <c r="J469" s="15" t="n">
        <f aca="false">ROUND(Annahmen!$K$35*(1+Annahmen!$B$20*D469/1000),0)</f>
        <v>848</v>
      </c>
      <c r="K469" s="15" t="n">
        <f aca="false">ROUND(Annahmen!$K$36*(1+Annahmen!$B$20*D469/1000),0)</f>
        <v>1102</v>
      </c>
      <c r="L469" s="15" t="n">
        <f aca="false">ROUND(Annahmen!$K$37*(1+Annahmen!$B$20*D469/1000),0)</f>
        <v>1126</v>
      </c>
      <c r="M469" s="15" t="n">
        <f aca="false">ROUND(Annahmen!$K$38*(1+Annahmen!$B$20*D469/1000),0)</f>
        <v>1126</v>
      </c>
      <c r="N469" s="16" t="s">
        <v>102</v>
      </c>
    </row>
    <row r="470" customFormat="false" ht="15" hidden="false" customHeight="false" outlineLevel="0" collapsed="false">
      <c r="A470" s="13" t="s">
        <v>1021</v>
      </c>
      <c r="B470" s="14" t="s">
        <v>1022</v>
      </c>
      <c r="C470" s="15" t="n">
        <v>1200</v>
      </c>
      <c r="D470" s="15" t="n">
        <v>111</v>
      </c>
      <c r="E470" s="13" t="s">
        <v>82</v>
      </c>
      <c r="F470" s="15" t="str">
        <f aca="false">IF(C470&gt;=J470,"ja","nein")</f>
        <v>ja</v>
      </c>
      <c r="G470" s="15" t="str">
        <f aca="false">IF(C470&gt;=K470,"ja","nein")</f>
        <v>ja</v>
      </c>
      <c r="H470" s="15" t="str">
        <f aca="false">IF(C470&gt;=L470,"ja","nein")</f>
        <v>ja</v>
      </c>
      <c r="I470" s="15" t="str">
        <f aca="false">IF(C470&gt;=M470,"ja","nein")</f>
        <v>ja</v>
      </c>
      <c r="J470" s="15" t="n">
        <f aca="false">ROUND(Annahmen!$K$35*(1+Annahmen!$B$20*D470/1000),0)</f>
        <v>848</v>
      </c>
      <c r="K470" s="15" t="n">
        <f aca="false">ROUND(Annahmen!$K$36*(1+Annahmen!$B$20*D470/1000),0)</f>
        <v>1102</v>
      </c>
      <c r="L470" s="15" t="n">
        <f aca="false">ROUND(Annahmen!$K$37*(1+Annahmen!$B$20*D470/1000),0)</f>
        <v>1126</v>
      </c>
      <c r="M470" s="15" t="n">
        <f aca="false">ROUND(Annahmen!$K$38*(1+Annahmen!$B$20*D470/1000),0)</f>
        <v>1126</v>
      </c>
      <c r="N470" s="16" t="s">
        <v>102</v>
      </c>
    </row>
    <row r="471" customFormat="false" ht="15" hidden="false" customHeight="false" outlineLevel="0" collapsed="false">
      <c r="A471" s="13" t="s">
        <v>1023</v>
      </c>
      <c r="B471" s="14" t="s">
        <v>1024</v>
      </c>
      <c r="C471" s="15" t="n">
        <v>1200</v>
      </c>
      <c r="D471" s="15" t="n">
        <v>1040</v>
      </c>
      <c r="E471" s="13" t="s">
        <v>82</v>
      </c>
      <c r="F471" s="15" t="str">
        <f aca="false">IF(C471&gt;=J471,"ja","nein")</f>
        <v>ja</v>
      </c>
      <c r="G471" s="15" t="str">
        <f aca="false">IF(C471&gt;=K471,"ja","nein")</f>
        <v>ja</v>
      </c>
      <c r="H471" s="15" t="str">
        <f aca="false">IF(C471&gt;=L471,"ja","nein")</f>
        <v>nein</v>
      </c>
      <c r="I471" s="15" t="str">
        <f aca="false">IF(C471&gt;=M471,"ja","nein")</f>
        <v>nein</v>
      </c>
      <c r="J471" s="15" t="n">
        <f aca="false">ROUND(Annahmen!$K$35*(1+Annahmen!$B$20*D471/1000),0)</f>
        <v>919</v>
      </c>
      <c r="K471" s="15" t="n">
        <f aca="false">ROUND(Annahmen!$K$36*(1+Annahmen!$B$20*D471/1000),0)</f>
        <v>1193</v>
      </c>
      <c r="L471" s="15" t="n">
        <f aca="false">ROUND(Annahmen!$K$37*(1+Annahmen!$B$20*D471/1000),0)</f>
        <v>1219</v>
      </c>
      <c r="M471" s="15" t="n">
        <f aca="false">ROUND(Annahmen!$K$38*(1+Annahmen!$B$20*D471/1000),0)</f>
        <v>1219</v>
      </c>
      <c r="N471" s="16" t="s">
        <v>102</v>
      </c>
    </row>
    <row r="472" customFormat="false" ht="15" hidden="false" customHeight="false" outlineLevel="0" collapsed="false">
      <c r="A472" s="13" t="s">
        <v>1025</v>
      </c>
      <c r="B472" s="14" t="s">
        <v>1026</v>
      </c>
      <c r="C472" s="15" t="n">
        <v>1200</v>
      </c>
      <c r="D472" s="15" t="n">
        <v>240</v>
      </c>
      <c r="E472" s="13" t="s">
        <v>82</v>
      </c>
      <c r="F472" s="15" t="str">
        <f aca="false">IF(C472&gt;=J472,"ja","nein")</f>
        <v>ja</v>
      </c>
      <c r="G472" s="15" t="str">
        <f aca="false">IF(C472&gt;=K472,"ja","nein")</f>
        <v>ja</v>
      </c>
      <c r="H472" s="15" t="str">
        <f aca="false">IF(C472&gt;=L472,"ja","nein")</f>
        <v>ja</v>
      </c>
      <c r="I472" s="15" t="str">
        <f aca="false">IF(C472&gt;=M472,"ja","nein")</f>
        <v>ja</v>
      </c>
      <c r="J472" s="15" t="n">
        <f aca="false">ROUND(Annahmen!$K$35*(1+Annahmen!$B$20*D472/1000),0)</f>
        <v>858</v>
      </c>
      <c r="K472" s="15" t="n">
        <f aca="false">ROUND(Annahmen!$K$36*(1+Annahmen!$B$20*D472/1000),0)</f>
        <v>1115</v>
      </c>
      <c r="L472" s="15" t="n">
        <f aca="false">ROUND(Annahmen!$K$37*(1+Annahmen!$B$20*D472/1000),0)</f>
        <v>1139</v>
      </c>
      <c r="M472" s="15" t="n">
        <f aca="false">ROUND(Annahmen!$K$38*(1+Annahmen!$B$20*D472/1000),0)</f>
        <v>1139</v>
      </c>
      <c r="N472" s="16" t="s">
        <v>102</v>
      </c>
    </row>
    <row r="473" customFormat="false" ht="15" hidden="false" customHeight="false" outlineLevel="0" collapsed="false">
      <c r="A473" s="13" t="s">
        <v>1027</v>
      </c>
      <c r="B473" s="14" t="s">
        <v>1028</v>
      </c>
      <c r="C473" s="15" t="n">
        <v>1200</v>
      </c>
      <c r="D473" s="15" t="n">
        <v>394</v>
      </c>
      <c r="E473" s="13" t="s">
        <v>82</v>
      </c>
      <c r="F473" s="15" t="str">
        <f aca="false">IF(C473&gt;=J473,"ja","nein")</f>
        <v>ja</v>
      </c>
      <c r="G473" s="15" t="str">
        <f aca="false">IF(C473&gt;=K473,"ja","nein")</f>
        <v>ja</v>
      </c>
      <c r="H473" s="15" t="str">
        <f aca="false">IF(C473&gt;=L473,"ja","nein")</f>
        <v>ja</v>
      </c>
      <c r="I473" s="15" t="str">
        <f aca="false">IF(C473&gt;=M473,"ja","nein")</f>
        <v>ja</v>
      </c>
      <c r="J473" s="15" t="n">
        <f aca="false">ROUND(Annahmen!$K$35*(1+Annahmen!$B$20*D473/1000),0)</f>
        <v>870</v>
      </c>
      <c r="K473" s="15" t="n">
        <f aca="false">ROUND(Annahmen!$K$36*(1+Annahmen!$B$20*D473/1000),0)</f>
        <v>1130</v>
      </c>
      <c r="L473" s="15" t="n">
        <f aca="false">ROUND(Annahmen!$K$37*(1+Annahmen!$B$20*D473/1000),0)</f>
        <v>1155</v>
      </c>
      <c r="M473" s="15" t="n">
        <f aca="false">ROUND(Annahmen!$K$38*(1+Annahmen!$B$20*D473/1000),0)</f>
        <v>1155</v>
      </c>
      <c r="N473" s="16" t="s">
        <v>102</v>
      </c>
    </row>
    <row r="474" customFormat="false" ht="15" hidden="false" customHeight="false" outlineLevel="0" collapsed="false">
      <c r="A474" s="13" t="s">
        <v>1029</v>
      </c>
      <c r="B474" s="14" t="s">
        <v>1030</v>
      </c>
      <c r="C474" s="15" t="n">
        <v>1150</v>
      </c>
      <c r="D474" s="15" t="n">
        <v>313</v>
      </c>
      <c r="E474" s="13" t="s">
        <v>82</v>
      </c>
      <c r="F474" s="15" t="str">
        <f aca="false">IF(C474&gt;=J474,"ja","nein")</f>
        <v>ja</v>
      </c>
      <c r="G474" s="15" t="str">
        <f aca="false">IF(C474&gt;=K474,"ja","nein")</f>
        <v>ja</v>
      </c>
      <c r="H474" s="15" t="str">
        <f aca="false">IF(C474&gt;=L474,"ja","nein")</f>
        <v>ja</v>
      </c>
      <c r="I474" s="15" t="str">
        <f aca="false">IF(C474&gt;=M474,"ja","nein")</f>
        <v>ja</v>
      </c>
      <c r="J474" s="15" t="n">
        <f aca="false">ROUND(Annahmen!$K$35*(1+Annahmen!$B$20*D474/1000),0)</f>
        <v>864</v>
      </c>
      <c r="K474" s="15" t="n">
        <f aca="false">ROUND(Annahmen!$K$36*(1+Annahmen!$B$20*D474/1000),0)</f>
        <v>1122</v>
      </c>
      <c r="L474" s="15" t="n">
        <f aca="false">ROUND(Annahmen!$K$37*(1+Annahmen!$B$20*D474/1000),0)</f>
        <v>1146</v>
      </c>
      <c r="M474" s="15" t="n">
        <f aca="false">ROUND(Annahmen!$K$38*(1+Annahmen!$B$20*D474/1000),0)</f>
        <v>1146</v>
      </c>
      <c r="N474" s="16" t="s">
        <v>102</v>
      </c>
    </row>
    <row r="475" customFormat="false" ht="15" hidden="false" customHeight="false" outlineLevel="0" collapsed="false">
      <c r="A475" s="13" t="s">
        <v>1031</v>
      </c>
      <c r="B475" s="14" t="s">
        <v>1032</v>
      </c>
      <c r="C475" s="15" t="n">
        <v>1139</v>
      </c>
      <c r="D475" s="15" t="n">
        <v>857</v>
      </c>
      <c r="E475" s="13" t="s">
        <v>82</v>
      </c>
      <c r="F475" s="15" t="str">
        <f aca="false">IF(C475&gt;=J475,"ja","nein")</f>
        <v>ja</v>
      </c>
      <c r="G475" s="15" t="str">
        <f aca="false">IF(C475&gt;=K475,"ja","nein")</f>
        <v>nein</v>
      </c>
      <c r="H475" s="15" t="str">
        <f aca="false">IF(C475&gt;=L475,"ja","nein")</f>
        <v>nein</v>
      </c>
      <c r="I475" s="15" t="str">
        <f aca="false">IF(C475&gt;=M475,"ja","nein")</f>
        <v>nein</v>
      </c>
      <c r="J475" s="15" t="n">
        <f aca="false">ROUND(Annahmen!$K$35*(1+Annahmen!$B$20*D475/1000),0)</f>
        <v>905</v>
      </c>
      <c r="K475" s="15" t="n">
        <f aca="false">ROUND(Annahmen!$K$36*(1+Annahmen!$B$20*D475/1000),0)</f>
        <v>1175</v>
      </c>
      <c r="L475" s="15" t="n">
        <f aca="false">ROUND(Annahmen!$K$37*(1+Annahmen!$B$20*D475/1000),0)</f>
        <v>1201</v>
      </c>
      <c r="M475" s="15" t="n">
        <f aca="false">ROUND(Annahmen!$K$38*(1+Annahmen!$B$20*D475/1000),0)</f>
        <v>1201</v>
      </c>
      <c r="N475" s="16" t="s">
        <v>102</v>
      </c>
    </row>
    <row r="476" customFormat="false" ht="15" hidden="false" customHeight="false" outlineLevel="0" collapsed="false">
      <c r="A476" s="13" t="s">
        <v>1033</v>
      </c>
      <c r="B476" s="14" t="s">
        <v>1034</v>
      </c>
      <c r="C476" s="15" t="n">
        <v>1120</v>
      </c>
      <c r="D476" s="15" t="n">
        <v>407</v>
      </c>
      <c r="E476" s="13" t="s">
        <v>82</v>
      </c>
      <c r="F476" s="15" t="str">
        <f aca="false">IF(C476&gt;=J476,"ja","nein")</f>
        <v>ja</v>
      </c>
      <c r="G476" s="15" t="str">
        <f aca="false">IF(C476&gt;=K476,"ja","nein")</f>
        <v>nein</v>
      </c>
      <c r="H476" s="15" t="str">
        <f aca="false">IF(C476&gt;=L476,"ja","nein")</f>
        <v>nein</v>
      </c>
      <c r="I476" s="15" t="str">
        <f aca="false">IF(C476&gt;=M476,"ja","nein")</f>
        <v>nein</v>
      </c>
      <c r="J476" s="15" t="n">
        <f aca="false">ROUND(Annahmen!$K$35*(1+Annahmen!$B$20*D476/1000),0)</f>
        <v>871</v>
      </c>
      <c r="K476" s="15" t="n">
        <f aca="false">ROUND(Annahmen!$K$36*(1+Annahmen!$B$20*D476/1000),0)</f>
        <v>1131</v>
      </c>
      <c r="L476" s="15" t="n">
        <f aca="false">ROUND(Annahmen!$K$37*(1+Annahmen!$B$20*D476/1000),0)</f>
        <v>1156</v>
      </c>
      <c r="M476" s="15" t="n">
        <f aca="false">ROUND(Annahmen!$K$38*(1+Annahmen!$B$20*D476/1000),0)</f>
        <v>1156</v>
      </c>
      <c r="N476" s="16" t="s">
        <v>102</v>
      </c>
    </row>
    <row r="477" customFormat="false" ht="15" hidden="false" customHeight="false" outlineLevel="0" collapsed="false">
      <c r="A477" s="13" t="s">
        <v>1035</v>
      </c>
      <c r="B477" s="14" t="s">
        <v>1036</v>
      </c>
      <c r="C477" s="15" t="n">
        <v>1120</v>
      </c>
      <c r="D477" s="15" t="n">
        <v>1230</v>
      </c>
      <c r="E477" s="13" t="s">
        <v>82</v>
      </c>
      <c r="F477" s="15" t="str">
        <f aca="false">IF(C477&gt;=J477,"ja","nein")</f>
        <v>ja</v>
      </c>
      <c r="G477" s="15" t="str">
        <f aca="false">IF(C477&gt;=K477,"ja","nein")</f>
        <v>nein</v>
      </c>
      <c r="H477" s="15" t="str">
        <f aca="false">IF(C477&gt;=L477,"ja","nein")</f>
        <v>nein</v>
      </c>
      <c r="I477" s="15" t="str">
        <f aca="false">IF(C477&gt;=M477,"ja","nein")</f>
        <v>nein</v>
      </c>
      <c r="J477" s="15" t="n">
        <f aca="false">ROUND(Annahmen!$K$35*(1+Annahmen!$B$20*D477/1000),0)</f>
        <v>933</v>
      </c>
      <c r="K477" s="15" t="n">
        <f aca="false">ROUND(Annahmen!$K$36*(1+Annahmen!$B$20*D477/1000),0)</f>
        <v>1212</v>
      </c>
      <c r="L477" s="15" t="n">
        <f aca="false">ROUND(Annahmen!$K$37*(1+Annahmen!$B$20*D477/1000),0)</f>
        <v>1238</v>
      </c>
      <c r="M477" s="15" t="n">
        <f aca="false">ROUND(Annahmen!$K$38*(1+Annahmen!$B$20*D477/1000),0)</f>
        <v>1238</v>
      </c>
      <c r="N477" s="16" t="s">
        <v>86</v>
      </c>
    </row>
    <row r="478" customFormat="false" ht="15" hidden="false" customHeight="false" outlineLevel="0" collapsed="false">
      <c r="A478" s="13" t="s">
        <v>1037</v>
      </c>
      <c r="B478" s="14" t="s">
        <v>1038</v>
      </c>
      <c r="C478" s="15" t="n">
        <v>1100</v>
      </c>
      <c r="D478" s="15" t="n">
        <v>622</v>
      </c>
      <c r="E478" s="13" t="s">
        <v>82</v>
      </c>
      <c r="F478" s="15" t="str">
        <f aca="false">IF(C478&gt;=J478,"ja","nein")</f>
        <v>ja</v>
      </c>
      <c r="G478" s="15" t="str">
        <f aca="false">IF(C478&gt;=K478,"ja","nein")</f>
        <v>nein</v>
      </c>
      <c r="H478" s="15" t="str">
        <f aca="false">IF(C478&gt;=L478,"ja","nein")</f>
        <v>nein</v>
      </c>
      <c r="I478" s="15" t="str">
        <f aca="false">IF(C478&gt;=M478,"ja","nein")</f>
        <v>nein</v>
      </c>
      <c r="J478" s="15" t="n">
        <f aca="false">ROUND(Annahmen!$K$35*(1+Annahmen!$B$20*D478/1000),0)</f>
        <v>887</v>
      </c>
      <c r="K478" s="15" t="n">
        <f aca="false">ROUND(Annahmen!$K$36*(1+Annahmen!$B$20*D478/1000),0)</f>
        <v>1152</v>
      </c>
      <c r="L478" s="15" t="n">
        <f aca="false">ROUND(Annahmen!$K$37*(1+Annahmen!$B$20*D478/1000),0)</f>
        <v>1177</v>
      </c>
      <c r="M478" s="15" t="n">
        <f aca="false">ROUND(Annahmen!$K$38*(1+Annahmen!$B$20*D478/1000),0)</f>
        <v>1177</v>
      </c>
      <c r="N478" s="16" t="s">
        <v>102</v>
      </c>
    </row>
    <row r="479" customFormat="false" ht="15" hidden="false" customHeight="false" outlineLevel="0" collapsed="false">
      <c r="A479" s="13" t="s">
        <v>1039</v>
      </c>
      <c r="B479" s="14" t="s">
        <v>1040</v>
      </c>
      <c r="C479" s="15" t="n">
        <v>1100</v>
      </c>
      <c r="D479" s="15" t="n">
        <v>1368</v>
      </c>
      <c r="E479" s="13" t="s">
        <v>82</v>
      </c>
      <c r="F479" s="15" t="str">
        <f aca="false">IF(C479&gt;=J479,"ja","nein")</f>
        <v>ja</v>
      </c>
      <c r="G479" s="15" t="str">
        <f aca="false">IF(C479&gt;=K479,"ja","nein")</f>
        <v>nein</v>
      </c>
      <c r="H479" s="15" t="str">
        <f aca="false">IF(C479&gt;=L479,"ja","nein")</f>
        <v>nein</v>
      </c>
      <c r="I479" s="15" t="str">
        <f aca="false">IF(C479&gt;=M479,"ja","nein")</f>
        <v>nein</v>
      </c>
      <c r="J479" s="15" t="n">
        <f aca="false">ROUND(Annahmen!$K$35*(1+Annahmen!$B$20*D479/1000),0)</f>
        <v>943</v>
      </c>
      <c r="K479" s="15" t="n">
        <f aca="false">ROUND(Annahmen!$K$36*(1+Annahmen!$B$20*D479/1000),0)</f>
        <v>1225</v>
      </c>
      <c r="L479" s="15" t="n">
        <f aca="false">ROUND(Annahmen!$K$37*(1+Annahmen!$B$20*D479/1000),0)</f>
        <v>1252</v>
      </c>
      <c r="M479" s="15" t="n">
        <f aca="false">ROUND(Annahmen!$K$38*(1+Annahmen!$B$20*D479/1000),0)</f>
        <v>1252</v>
      </c>
      <c r="N479" s="16" t="s">
        <v>86</v>
      </c>
    </row>
    <row r="480" customFormat="false" ht="15" hidden="false" customHeight="false" outlineLevel="0" collapsed="false">
      <c r="A480" s="13" t="s">
        <v>1041</v>
      </c>
      <c r="B480" s="14" t="s">
        <v>1042</v>
      </c>
      <c r="C480" s="15" t="n">
        <v>1100</v>
      </c>
      <c r="D480" s="15" t="n">
        <v>157</v>
      </c>
      <c r="E480" s="13" t="s">
        <v>82</v>
      </c>
      <c r="F480" s="15" t="str">
        <f aca="false">IF(C480&gt;=J480,"ja","nein")</f>
        <v>ja</v>
      </c>
      <c r="G480" s="15" t="str">
        <f aca="false">IF(C480&gt;=K480,"ja","nein")</f>
        <v>nein</v>
      </c>
      <c r="H480" s="15" t="str">
        <f aca="false">IF(C480&gt;=L480,"ja","nein")</f>
        <v>nein</v>
      </c>
      <c r="I480" s="15" t="str">
        <f aca="false">IF(C480&gt;=M480,"ja","nein")</f>
        <v>nein</v>
      </c>
      <c r="J480" s="15" t="n">
        <f aca="false">ROUND(Annahmen!$K$35*(1+Annahmen!$B$20*D480/1000),0)</f>
        <v>852</v>
      </c>
      <c r="K480" s="15" t="n">
        <f aca="false">ROUND(Annahmen!$K$36*(1+Annahmen!$B$20*D480/1000),0)</f>
        <v>1106</v>
      </c>
      <c r="L480" s="15" t="n">
        <f aca="false">ROUND(Annahmen!$K$37*(1+Annahmen!$B$20*D480/1000),0)</f>
        <v>1131</v>
      </c>
      <c r="M480" s="15" t="n">
        <f aca="false">ROUND(Annahmen!$K$38*(1+Annahmen!$B$20*D480/1000),0)</f>
        <v>1131</v>
      </c>
      <c r="N480" s="16" t="s">
        <v>102</v>
      </c>
    </row>
    <row r="481" customFormat="false" ht="15" hidden="false" customHeight="false" outlineLevel="0" collapsed="false">
      <c r="A481" s="13" t="s">
        <v>1043</v>
      </c>
      <c r="B481" s="14" t="s">
        <v>1044</v>
      </c>
      <c r="C481" s="15" t="n">
        <v>1100</v>
      </c>
      <c r="D481" s="15" t="n">
        <v>538</v>
      </c>
      <c r="E481" s="13" t="s">
        <v>82</v>
      </c>
      <c r="F481" s="15" t="str">
        <f aca="false">IF(C481&gt;=J481,"ja","nein")</f>
        <v>ja</v>
      </c>
      <c r="G481" s="15" t="str">
        <f aca="false">IF(C481&gt;=K481,"ja","nein")</f>
        <v>nein</v>
      </c>
      <c r="H481" s="15" t="str">
        <f aca="false">IF(C481&gt;=L481,"ja","nein")</f>
        <v>nein</v>
      </c>
      <c r="I481" s="15" t="str">
        <f aca="false">IF(C481&gt;=M481,"ja","nein")</f>
        <v>nein</v>
      </c>
      <c r="J481" s="15" t="n">
        <f aca="false">ROUND(Annahmen!$K$35*(1+Annahmen!$B$20*D481/1000),0)</f>
        <v>881</v>
      </c>
      <c r="K481" s="15" t="n">
        <f aca="false">ROUND(Annahmen!$K$36*(1+Annahmen!$B$20*D481/1000),0)</f>
        <v>1144</v>
      </c>
      <c r="L481" s="15" t="n">
        <f aca="false">ROUND(Annahmen!$K$37*(1+Annahmen!$B$20*D481/1000),0)</f>
        <v>1169</v>
      </c>
      <c r="M481" s="15" t="n">
        <f aca="false">ROUND(Annahmen!$K$38*(1+Annahmen!$B$20*D481/1000),0)</f>
        <v>1169</v>
      </c>
      <c r="N481" s="16" t="s">
        <v>86</v>
      </c>
    </row>
    <row r="482" customFormat="false" ht="15" hidden="false" customHeight="false" outlineLevel="0" collapsed="false">
      <c r="A482" s="13" t="s">
        <v>1045</v>
      </c>
      <c r="B482" s="14" t="s">
        <v>1046</v>
      </c>
      <c r="C482" s="15" t="n">
        <v>1071</v>
      </c>
      <c r="D482" s="15" t="n">
        <v>59</v>
      </c>
      <c r="E482" s="13" t="s">
        <v>82</v>
      </c>
      <c r="F482" s="15" t="str">
        <f aca="false">IF(C482&gt;=J482,"ja","nein")</f>
        <v>ja</v>
      </c>
      <c r="G482" s="15" t="str">
        <f aca="false">IF(C482&gt;=K482,"ja","nein")</f>
        <v>nein</v>
      </c>
      <c r="H482" s="15" t="str">
        <f aca="false">IF(C482&gt;=L482,"ja","nein")</f>
        <v>nein</v>
      </c>
      <c r="I482" s="15" t="str">
        <f aca="false">IF(C482&gt;=M482,"ja","nein")</f>
        <v>nein</v>
      </c>
      <c r="J482" s="15" t="n">
        <f aca="false">ROUND(Annahmen!$K$35*(1+Annahmen!$B$20*D482/1000),0)</f>
        <v>844</v>
      </c>
      <c r="K482" s="15" t="n">
        <f aca="false">ROUND(Annahmen!$K$36*(1+Annahmen!$B$20*D482/1000),0)</f>
        <v>1097</v>
      </c>
      <c r="L482" s="15" t="n">
        <f aca="false">ROUND(Annahmen!$K$37*(1+Annahmen!$B$20*D482/1000),0)</f>
        <v>1121</v>
      </c>
      <c r="M482" s="15" t="n">
        <f aca="false">ROUND(Annahmen!$K$38*(1+Annahmen!$B$20*D482/1000),0)</f>
        <v>1121</v>
      </c>
      <c r="N482" s="16" t="s">
        <v>102</v>
      </c>
    </row>
    <row r="483" customFormat="false" ht="15" hidden="false" customHeight="false" outlineLevel="0" collapsed="false">
      <c r="A483" s="13" t="s">
        <v>1047</v>
      </c>
      <c r="B483" s="14" t="s">
        <v>1048</v>
      </c>
      <c r="C483" s="15" t="n">
        <v>1060</v>
      </c>
      <c r="D483" s="15" t="n">
        <v>718</v>
      </c>
      <c r="E483" s="13" t="s">
        <v>82</v>
      </c>
      <c r="F483" s="15" t="str">
        <f aca="false">IF(C483&gt;=J483,"ja","nein")</f>
        <v>ja</v>
      </c>
      <c r="G483" s="15" t="str">
        <f aca="false">IF(C483&gt;=K483,"ja","nein")</f>
        <v>nein</v>
      </c>
      <c r="H483" s="15" t="str">
        <f aca="false">IF(C483&gt;=L483,"ja","nein")</f>
        <v>nein</v>
      </c>
      <c r="I483" s="15" t="str">
        <f aca="false">IF(C483&gt;=M483,"ja","nein")</f>
        <v>nein</v>
      </c>
      <c r="J483" s="15" t="n">
        <f aca="false">ROUND(Annahmen!$K$35*(1+Annahmen!$B$20*D483/1000),0)</f>
        <v>894</v>
      </c>
      <c r="K483" s="15" t="n">
        <f aca="false">ROUND(Annahmen!$K$36*(1+Annahmen!$B$20*D483/1000),0)</f>
        <v>1162</v>
      </c>
      <c r="L483" s="15" t="n">
        <f aca="false">ROUND(Annahmen!$K$37*(1+Annahmen!$B$20*D483/1000),0)</f>
        <v>1187</v>
      </c>
      <c r="M483" s="15" t="n">
        <f aca="false">ROUND(Annahmen!$K$38*(1+Annahmen!$B$20*D483/1000),0)</f>
        <v>1187</v>
      </c>
      <c r="N483" s="16" t="s">
        <v>102</v>
      </c>
    </row>
    <row r="484" customFormat="false" ht="15" hidden="false" customHeight="false" outlineLevel="0" collapsed="false">
      <c r="A484" s="13" t="s">
        <v>1049</v>
      </c>
      <c r="B484" s="14" t="s">
        <v>1050</v>
      </c>
      <c r="C484" s="15" t="n">
        <v>1054</v>
      </c>
      <c r="D484" s="15" t="n">
        <v>732</v>
      </c>
      <c r="E484" s="13" t="s">
        <v>82</v>
      </c>
      <c r="F484" s="15" t="str">
        <f aca="false">IF(C484&gt;=J484,"ja","nein")</f>
        <v>ja</v>
      </c>
      <c r="G484" s="15" t="str">
        <f aca="false">IF(C484&gt;=K484,"ja","nein")</f>
        <v>nein</v>
      </c>
      <c r="H484" s="15" t="str">
        <f aca="false">IF(C484&gt;=L484,"ja","nein")</f>
        <v>nein</v>
      </c>
      <c r="I484" s="15" t="str">
        <f aca="false">IF(C484&gt;=M484,"ja","nein")</f>
        <v>nein</v>
      </c>
      <c r="J484" s="15" t="n">
        <f aca="false">ROUND(Annahmen!$K$35*(1+Annahmen!$B$20*D484/1000),0)</f>
        <v>895</v>
      </c>
      <c r="K484" s="15" t="n">
        <f aca="false">ROUND(Annahmen!$K$36*(1+Annahmen!$B$20*D484/1000),0)</f>
        <v>1163</v>
      </c>
      <c r="L484" s="15" t="n">
        <f aca="false">ROUND(Annahmen!$K$37*(1+Annahmen!$B$20*D484/1000),0)</f>
        <v>1188</v>
      </c>
      <c r="M484" s="15" t="n">
        <f aca="false">ROUND(Annahmen!$K$38*(1+Annahmen!$B$20*D484/1000),0)</f>
        <v>1188</v>
      </c>
      <c r="N484" s="16" t="s">
        <v>102</v>
      </c>
    </row>
    <row r="485" customFormat="false" ht="15" hidden="false" customHeight="false" outlineLevel="0" collapsed="false">
      <c r="A485" s="13" t="s">
        <v>1051</v>
      </c>
      <c r="B485" s="14" t="s">
        <v>1052</v>
      </c>
      <c r="C485" s="15" t="n">
        <v>1050</v>
      </c>
      <c r="D485" s="15" t="n">
        <v>2024</v>
      </c>
      <c r="E485" s="13" t="s">
        <v>82</v>
      </c>
      <c r="F485" s="15" t="str">
        <f aca="false">IF(C485&gt;=J485,"ja","nein")</f>
        <v>ja</v>
      </c>
      <c r="G485" s="15" t="str">
        <f aca="false">IF(C485&gt;=K485,"ja","nein")</f>
        <v>nein</v>
      </c>
      <c r="H485" s="15" t="str">
        <f aca="false">IF(C485&gt;=L485,"ja","nein")</f>
        <v>nein</v>
      </c>
      <c r="I485" s="15" t="str">
        <f aca="false">IF(C485&gt;=M485,"ja","nein")</f>
        <v>nein</v>
      </c>
      <c r="J485" s="15" t="n">
        <f aca="false">ROUND(Annahmen!$K$35*(1+Annahmen!$B$20*D485/1000),0)</f>
        <v>993</v>
      </c>
      <c r="K485" s="15" t="n">
        <f aca="false">ROUND(Annahmen!$K$36*(1+Annahmen!$B$20*D485/1000),0)</f>
        <v>1290</v>
      </c>
      <c r="L485" s="15" t="n">
        <f aca="false">ROUND(Annahmen!$K$37*(1+Annahmen!$B$20*D485/1000),0)</f>
        <v>1318</v>
      </c>
      <c r="M485" s="15" t="n">
        <f aca="false">ROUND(Annahmen!$K$38*(1+Annahmen!$B$20*D485/1000),0)</f>
        <v>1318</v>
      </c>
      <c r="N485" s="16" t="s">
        <v>102</v>
      </c>
    </row>
    <row r="486" customFormat="false" ht="15" hidden="false" customHeight="false" outlineLevel="0" collapsed="false">
      <c r="A486" s="13" t="s">
        <v>1053</v>
      </c>
      <c r="B486" s="14" t="s">
        <v>1054</v>
      </c>
      <c r="C486" s="15" t="n">
        <v>1040</v>
      </c>
      <c r="D486" s="15" t="n">
        <v>190</v>
      </c>
      <c r="E486" s="13" t="s">
        <v>82</v>
      </c>
      <c r="F486" s="15" t="str">
        <f aca="false">IF(C486&gt;=J486,"ja","nein")</f>
        <v>ja</v>
      </c>
      <c r="G486" s="15" t="str">
        <f aca="false">IF(C486&gt;=K486,"ja","nein")</f>
        <v>nein</v>
      </c>
      <c r="H486" s="15" t="str">
        <f aca="false">IF(C486&gt;=L486,"ja","nein")</f>
        <v>nein</v>
      </c>
      <c r="I486" s="15" t="str">
        <f aca="false">IF(C486&gt;=M486,"ja","nein")</f>
        <v>nein</v>
      </c>
      <c r="J486" s="15" t="n">
        <f aca="false">ROUND(Annahmen!$K$35*(1+Annahmen!$B$20*D486/1000),0)</f>
        <v>854</v>
      </c>
      <c r="K486" s="15" t="n">
        <f aca="false">ROUND(Annahmen!$K$36*(1+Annahmen!$B$20*D486/1000),0)</f>
        <v>1110</v>
      </c>
      <c r="L486" s="15" t="n">
        <f aca="false">ROUND(Annahmen!$K$37*(1+Annahmen!$B$20*D486/1000),0)</f>
        <v>1134</v>
      </c>
      <c r="M486" s="15" t="n">
        <f aca="false">ROUND(Annahmen!$K$38*(1+Annahmen!$B$20*D486/1000),0)</f>
        <v>1134</v>
      </c>
      <c r="N486" s="16" t="s">
        <v>102</v>
      </c>
    </row>
    <row r="487" customFormat="false" ht="15" hidden="false" customHeight="false" outlineLevel="0" collapsed="false">
      <c r="A487" s="13" t="s">
        <v>1055</v>
      </c>
      <c r="B487" s="14" t="s">
        <v>1056</v>
      </c>
      <c r="C487" s="15" t="n">
        <v>1040</v>
      </c>
      <c r="D487" s="15" t="n">
        <v>164</v>
      </c>
      <c r="E487" s="13" t="s">
        <v>82</v>
      </c>
      <c r="F487" s="15" t="str">
        <f aca="false">IF(C487&gt;=J487,"ja","nein")</f>
        <v>ja</v>
      </c>
      <c r="G487" s="15" t="str">
        <f aca="false">IF(C487&gt;=K487,"ja","nein")</f>
        <v>nein</v>
      </c>
      <c r="H487" s="15" t="str">
        <f aca="false">IF(C487&gt;=L487,"ja","nein")</f>
        <v>nein</v>
      </c>
      <c r="I487" s="15" t="str">
        <f aca="false">IF(C487&gt;=M487,"ja","nein")</f>
        <v>nein</v>
      </c>
      <c r="J487" s="15" t="n">
        <f aca="false">ROUND(Annahmen!$K$35*(1+Annahmen!$B$20*D487/1000),0)</f>
        <v>852</v>
      </c>
      <c r="K487" s="15" t="n">
        <f aca="false">ROUND(Annahmen!$K$36*(1+Annahmen!$B$20*D487/1000),0)</f>
        <v>1107</v>
      </c>
      <c r="L487" s="15" t="n">
        <f aca="false">ROUND(Annahmen!$K$37*(1+Annahmen!$B$20*D487/1000),0)</f>
        <v>1131</v>
      </c>
      <c r="M487" s="15" t="n">
        <f aca="false">ROUND(Annahmen!$K$38*(1+Annahmen!$B$20*D487/1000),0)</f>
        <v>1131</v>
      </c>
      <c r="N487" s="16" t="s">
        <v>102</v>
      </c>
    </row>
    <row r="488" customFormat="false" ht="15" hidden="false" customHeight="false" outlineLevel="0" collapsed="false">
      <c r="A488" s="13" t="s">
        <v>1057</v>
      </c>
      <c r="B488" s="14" t="s">
        <v>1058</v>
      </c>
      <c r="C488" s="15" t="n">
        <v>1040</v>
      </c>
      <c r="D488" s="15" t="n">
        <v>1076</v>
      </c>
      <c r="E488" s="13" t="s">
        <v>82</v>
      </c>
      <c r="F488" s="15" t="str">
        <f aca="false">IF(C488&gt;=J488,"ja","nein")</f>
        <v>ja</v>
      </c>
      <c r="G488" s="15" t="str">
        <f aca="false">IF(C488&gt;=K488,"ja","nein")</f>
        <v>nein</v>
      </c>
      <c r="H488" s="15" t="str">
        <f aca="false">IF(C488&gt;=L488,"ja","nein")</f>
        <v>nein</v>
      </c>
      <c r="I488" s="15" t="str">
        <f aca="false">IF(C488&gt;=M488,"ja","nein")</f>
        <v>nein</v>
      </c>
      <c r="J488" s="15" t="n">
        <f aca="false">ROUND(Annahmen!$K$35*(1+Annahmen!$B$20*D488/1000),0)</f>
        <v>921</v>
      </c>
      <c r="K488" s="15" t="n">
        <f aca="false">ROUND(Annahmen!$K$36*(1+Annahmen!$B$20*D488/1000),0)</f>
        <v>1197</v>
      </c>
      <c r="L488" s="15" t="n">
        <f aca="false">ROUND(Annahmen!$K$37*(1+Annahmen!$B$20*D488/1000),0)</f>
        <v>1223</v>
      </c>
      <c r="M488" s="15" t="n">
        <f aca="false">ROUND(Annahmen!$K$38*(1+Annahmen!$B$20*D488/1000),0)</f>
        <v>1223</v>
      </c>
      <c r="N488" s="16" t="s">
        <v>102</v>
      </c>
    </row>
    <row r="489" customFormat="false" ht="15" hidden="false" customHeight="false" outlineLevel="0" collapsed="false">
      <c r="A489" s="13" t="s">
        <v>1059</v>
      </c>
      <c r="B489" s="14" t="s">
        <v>1060</v>
      </c>
      <c r="C489" s="15" t="n">
        <v>1039</v>
      </c>
      <c r="D489" s="15" t="n">
        <v>790</v>
      </c>
      <c r="E489" s="13" t="s">
        <v>82</v>
      </c>
      <c r="F489" s="15" t="str">
        <f aca="false">IF(C489&gt;=J489,"ja","nein")</f>
        <v>ja</v>
      </c>
      <c r="G489" s="15" t="str">
        <f aca="false">IF(C489&gt;=K489,"ja","nein")</f>
        <v>nein</v>
      </c>
      <c r="H489" s="15" t="str">
        <f aca="false">IF(C489&gt;=L489,"ja","nein")</f>
        <v>nein</v>
      </c>
      <c r="I489" s="15" t="str">
        <f aca="false">IF(C489&gt;=M489,"ja","nein")</f>
        <v>nein</v>
      </c>
      <c r="J489" s="15" t="n">
        <f aca="false">ROUND(Annahmen!$K$35*(1+Annahmen!$B$20*D489/1000),0)</f>
        <v>900</v>
      </c>
      <c r="K489" s="15" t="n">
        <f aca="false">ROUND(Annahmen!$K$36*(1+Annahmen!$B$20*D489/1000),0)</f>
        <v>1169</v>
      </c>
      <c r="L489" s="15" t="n">
        <f aca="false">ROUND(Annahmen!$K$37*(1+Annahmen!$B$20*D489/1000),0)</f>
        <v>1194</v>
      </c>
      <c r="M489" s="15" t="n">
        <f aca="false">ROUND(Annahmen!$K$38*(1+Annahmen!$B$20*D489/1000),0)</f>
        <v>1194</v>
      </c>
      <c r="N489" s="16" t="s">
        <v>102</v>
      </c>
    </row>
    <row r="490" customFormat="false" ht="15" hidden="false" customHeight="false" outlineLevel="0" collapsed="false">
      <c r="A490" s="13" t="s">
        <v>1061</v>
      </c>
      <c r="B490" s="14" t="s">
        <v>1062</v>
      </c>
      <c r="C490" s="15" t="n">
        <v>1021</v>
      </c>
      <c r="D490" s="15" t="n">
        <v>997</v>
      </c>
      <c r="E490" s="13" t="s">
        <v>82</v>
      </c>
      <c r="F490" s="15" t="str">
        <f aca="false">IF(C490&gt;=J490,"ja","nein")</f>
        <v>ja</v>
      </c>
      <c r="G490" s="15" t="str">
        <f aca="false">IF(C490&gt;=K490,"ja","nein")</f>
        <v>nein</v>
      </c>
      <c r="H490" s="15" t="str">
        <f aca="false">IF(C490&gt;=L490,"ja","nein")</f>
        <v>nein</v>
      </c>
      <c r="I490" s="15" t="str">
        <f aca="false">IF(C490&gt;=M490,"ja","nein")</f>
        <v>nein</v>
      </c>
      <c r="J490" s="15" t="n">
        <f aca="false">ROUND(Annahmen!$K$35*(1+Annahmen!$B$20*D490/1000),0)</f>
        <v>915</v>
      </c>
      <c r="K490" s="15" t="n">
        <f aca="false">ROUND(Annahmen!$K$36*(1+Annahmen!$B$20*D490/1000),0)</f>
        <v>1189</v>
      </c>
      <c r="L490" s="15" t="n">
        <f aca="false">ROUND(Annahmen!$K$37*(1+Annahmen!$B$20*D490/1000),0)</f>
        <v>1215</v>
      </c>
      <c r="M490" s="15" t="n">
        <f aca="false">ROUND(Annahmen!$K$38*(1+Annahmen!$B$20*D490/1000),0)</f>
        <v>1215</v>
      </c>
      <c r="N490" s="16" t="s">
        <v>102</v>
      </c>
    </row>
    <row r="491" customFormat="false" ht="15" hidden="false" customHeight="false" outlineLevel="0" collapsed="false">
      <c r="A491" s="13" t="s">
        <v>1063</v>
      </c>
      <c r="B491" s="14" t="s">
        <v>1064</v>
      </c>
      <c r="C491" s="15" t="n">
        <v>1015</v>
      </c>
      <c r="D491" s="15" t="n">
        <v>630</v>
      </c>
      <c r="E491" s="13" t="s">
        <v>82</v>
      </c>
      <c r="F491" s="15" t="str">
        <f aca="false">IF(C491&gt;=J491,"ja","nein")</f>
        <v>ja</v>
      </c>
      <c r="G491" s="15" t="str">
        <f aca="false">IF(C491&gt;=K491,"ja","nein")</f>
        <v>nein</v>
      </c>
      <c r="H491" s="15" t="str">
        <f aca="false">IF(C491&gt;=L491,"ja","nein")</f>
        <v>nein</v>
      </c>
      <c r="I491" s="15" t="str">
        <f aca="false">IF(C491&gt;=M491,"ja","nein")</f>
        <v>nein</v>
      </c>
      <c r="J491" s="15" t="n">
        <f aca="false">ROUND(Annahmen!$K$35*(1+Annahmen!$B$20*D491/1000),0)</f>
        <v>888</v>
      </c>
      <c r="K491" s="15" t="n">
        <f aca="false">ROUND(Annahmen!$K$36*(1+Annahmen!$B$20*D491/1000),0)</f>
        <v>1153</v>
      </c>
      <c r="L491" s="15" t="n">
        <f aca="false">ROUND(Annahmen!$K$37*(1+Annahmen!$B$20*D491/1000),0)</f>
        <v>1178</v>
      </c>
      <c r="M491" s="15" t="n">
        <f aca="false">ROUND(Annahmen!$K$38*(1+Annahmen!$B$20*D491/1000),0)</f>
        <v>1178</v>
      </c>
      <c r="N491" s="16" t="s">
        <v>102</v>
      </c>
    </row>
    <row r="492" customFormat="false" ht="15" hidden="false" customHeight="false" outlineLevel="0" collapsed="false">
      <c r="A492" s="13" t="s">
        <v>1065</v>
      </c>
      <c r="B492" s="14" t="s">
        <v>1066</v>
      </c>
      <c r="C492" s="15" t="n">
        <v>1000</v>
      </c>
      <c r="D492" s="15" t="n">
        <v>304</v>
      </c>
      <c r="E492" s="13" t="s">
        <v>82</v>
      </c>
      <c r="F492" s="15" t="str">
        <f aca="false">IF(C492&gt;=J492,"ja","nein")</f>
        <v>ja</v>
      </c>
      <c r="G492" s="15" t="str">
        <f aca="false">IF(C492&gt;=K492,"ja","nein")</f>
        <v>nein</v>
      </c>
      <c r="H492" s="15" t="str">
        <f aca="false">IF(C492&gt;=L492,"ja","nein")</f>
        <v>nein</v>
      </c>
      <c r="I492" s="15" t="str">
        <f aca="false">IF(C492&gt;=M492,"ja","nein")</f>
        <v>nein</v>
      </c>
      <c r="J492" s="15" t="n">
        <f aca="false">ROUND(Annahmen!$K$35*(1+Annahmen!$B$20*D492/1000),0)</f>
        <v>863</v>
      </c>
      <c r="K492" s="15" t="n">
        <f aca="false">ROUND(Annahmen!$K$36*(1+Annahmen!$B$20*D492/1000),0)</f>
        <v>1121</v>
      </c>
      <c r="L492" s="15" t="n">
        <f aca="false">ROUND(Annahmen!$K$37*(1+Annahmen!$B$20*D492/1000),0)</f>
        <v>1146</v>
      </c>
      <c r="M492" s="15" t="n">
        <f aca="false">ROUND(Annahmen!$K$38*(1+Annahmen!$B$20*D492/1000),0)</f>
        <v>1146</v>
      </c>
      <c r="N492" s="16" t="s">
        <v>102</v>
      </c>
    </row>
    <row r="493" customFormat="false" ht="15" hidden="false" customHeight="false" outlineLevel="0" collapsed="false">
      <c r="A493" s="13" t="s">
        <v>1067</v>
      </c>
      <c r="B493" s="14" t="s">
        <v>1068</v>
      </c>
      <c r="C493" s="15" t="n">
        <v>1000</v>
      </c>
      <c r="D493" s="15" t="n">
        <v>259</v>
      </c>
      <c r="E493" s="13" t="s">
        <v>82</v>
      </c>
      <c r="F493" s="15" t="str">
        <f aca="false">IF(C493&gt;=J493,"ja","nein")</f>
        <v>ja</v>
      </c>
      <c r="G493" s="15" t="str">
        <f aca="false">IF(C493&gt;=K493,"ja","nein")</f>
        <v>nein</v>
      </c>
      <c r="H493" s="15" t="str">
        <f aca="false">IF(C493&gt;=L493,"ja","nein")</f>
        <v>nein</v>
      </c>
      <c r="I493" s="15" t="str">
        <f aca="false">IF(C493&gt;=M493,"ja","nein")</f>
        <v>nein</v>
      </c>
      <c r="J493" s="15" t="n">
        <f aca="false">ROUND(Annahmen!$K$35*(1+Annahmen!$B$20*D493/1000),0)</f>
        <v>860</v>
      </c>
      <c r="K493" s="15" t="n">
        <f aca="false">ROUND(Annahmen!$K$36*(1+Annahmen!$B$20*D493/1000),0)</f>
        <v>1116</v>
      </c>
      <c r="L493" s="15" t="n">
        <f aca="false">ROUND(Annahmen!$K$37*(1+Annahmen!$B$20*D493/1000),0)</f>
        <v>1141</v>
      </c>
      <c r="M493" s="15" t="n">
        <f aca="false">ROUND(Annahmen!$K$38*(1+Annahmen!$B$20*D493/1000),0)</f>
        <v>1141</v>
      </c>
      <c r="N493" s="16" t="s">
        <v>102</v>
      </c>
    </row>
    <row r="494" customFormat="false" ht="15" hidden="false" customHeight="false" outlineLevel="0" collapsed="false">
      <c r="A494" s="13" t="s">
        <v>1069</v>
      </c>
      <c r="B494" s="14" t="s">
        <v>1070</v>
      </c>
      <c r="C494" s="15" t="n">
        <v>1000</v>
      </c>
      <c r="D494" s="15" t="n">
        <v>788</v>
      </c>
      <c r="E494" s="13" t="s">
        <v>82</v>
      </c>
      <c r="F494" s="15" t="str">
        <f aca="false">IF(C494&gt;=J494,"ja","nein")</f>
        <v>ja</v>
      </c>
      <c r="G494" s="15" t="str">
        <f aca="false">IF(C494&gt;=K494,"ja","nein")</f>
        <v>nein</v>
      </c>
      <c r="H494" s="15" t="str">
        <f aca="false">IF(C494&gt;=L494,"ja","nein")</f>
        <v>nein</v>
      </c>
      <c r="I494" s="15" t="str">
        <f aca="false">IF(C494&gt;=M494,"ja","nein")</f>
        <v>nein</v>
      </c>
      <c r="J494" s="15" t="n">
        <f aca="false">ROUND(Annahmen!$K$35*(1+Annahmen!$B$20*D494/1000),0)</f>
        <v>900</v>
      </c>
      <c r="K494" s="15" t="n">
        <f aca="false">ROUND(Annahmen!$K$36*(1+Annahmen!$B$20*D494/1000),0)</f>
        <v>1168</v>
      </c>
      <c r="L494" s="15" t="n">
        <f aca="false">ROUND(Annahmen!$K$37*(1+Annahmen!$B$20*D494/1000),0)</f>
        <v>1194</v>
      </c>
      <c r="M494" s="15" t="n">
        <f aca="false">ROUND(Annahmen!$K$38*(1+Annahmen!$B$20*D494/1000),0)</f>
        <v>1194</v>
      </c>
      <c r="N494" s="16" t="s">
        <v>102</v>
      </c>
    </row>
    <row r="495" customFormat="false" ht="15" hidden="false" customHeight="false" outlineLevel="0" collapsed="false">
      <c r="A495" s="13" t="s">
        <v>1071</v>
      </c>
      <c r="B495" s="14" t="s">
        <v>1072</v>
      </c>
      <c r="C495" s="15" t="n">
        <v>1000</v>
      </c>
      <c r="D495" s="15" t="n">
        <v>973</v>
      </c>
      <c r="E495" s="13" t="s">
        <v>82</v>
      </c>
      <c r="F495" s="15" t="str">
        <f aca="false">IF(C495&gt;=J495,"ja","nein")</f>
        <v>ja</v>
      </c>
      <c r="G495" s="15" t="str">
        <f aca="false">IF(C495&gt;=K495,"ja","nein")</f>
        <v>nein</v>
      </c>
      <c r="H495" s="15" t="str">
        <f aca="false">IF(C495&gt;=L495,"ja","nein")</f>
        <v>nein</v>
      </c>
      <c r="I495" s="15" t="str">
        <f aca="false">IF(C495&gt;=M495,"ja","nein")</f>
        <v>nein</v>
      </c>
      <c r="J495" s="15" t="n">
        <f aca="false">ROUND(Annahmen!$K$35*(1+Annahmen!$B$20*D495/1000),0)</f>
        <v>914</v>
      </c>
      <c r="K495" s="15" t="n">
        <f aca="false">ROUND(Annahmen!$K$36*(1+Annahmen!$B$20*D495/1000),0)</f>
        <v>1187</v>
      </c>
      <c r="L495" s="15" t="n">
        <f aca="false">ROUND(Annahmen!$K$37*(1+Annahmen!$B$20*D495/1000),0)</f>
        <v>1213</v>
      </c>
      <c r="M495" s="15" t="n">
        <f aca="false">ROUND(Annahmen!$K$38*(1+Annahmen!$B$20*D495/1000),0)</f>
        <v>1213</v>
      </c>
      <c r="N495" s="16" t="s">
        <v>102</v>
      </c>
    </row>
    <row r="496" customFormat="false" ht="15" hidden="false" customHeight="false" outlineLevel="0" collapsed="false">
      <c r="A496" s="13" t="s">
        <v>1073</v>
      </c>
      <c r="B496" s="14" t="s">
        <v>1074</v>
      </c>
      <c r="C496" s="15" t="n">
        <v>1000</v>
      </c>
      <c r="D496" s="15" t="n">
        <v>771</v>
      </c>
      <c r="E496" s="13" t="s">
        <v>82</v>
      </c>
      <c r="F496" s="15" t="str">
        <f aca="false">IF(C496&gt;=J496,"ja","nein")</f>
        <v>ja</v>
      </c>
      <c r="G496" s="15" t="str">
        <f aca="false">IF(C496&gt;=K496,"ja","nein")</f>
        <v>nein</v>
      </c>
      <c r="H496" s="15" t="str">
        <f aca="false">IF(C496&gt;=L496,"ja","nein")</f>
        <v>nein</v>
      </c>
      <c r="I496" s="15" t="str">
        <f aca="false">IF(C496&gt;=M496,"ja","nein")</f>
        <v>nein</v>
      </c>
      <c r="J496" s="15" t="n">
        <f aca="false">ROUND(Annahmen!$K$35*(1+Annahmen!$B$20*D496/1000),0)</f>
        <v>898</v>
      </c>
      <c r="K496" s="15" t="n">
        <f aca="false">ROUND(Annahmen!$K$36*(1+Annahmen!$B$20*D496/1000),0)</f>
        <v>1167</v>
      </c>
      <c r="L496" s="15" t="n">
        <f aca="false">ROUND(Annahmen!$K$37*(1+Annahmen!$B$20*D496/1000),0)</f>
        <v>1192</v>
      </c>
      <c r="M496" s="15" t="n">
        <f aca="false">ROUND(Annahmen!$K$38*(1+Annahmen!$B$20*D496/1000),0)</f>
        <v>1192</v>
      </c>
      <c r="N496" s="16" t="s">
        <v>102</v>
      </c>
    </row>
    <row r="497" customFormat="false" ht="15" hidden="false" customHeight="false" outlineLevel="0" collapsed="false">
      <c r="A497" s="13" t="s">
        <v>1075</v>
      </c>
      <c r="B497" s="14" t="s">
        <v>1076</v>
      </c>
      <c r="C497" s="15" t="n">
        <v>1000</v>
      </c>
      <c r="D497" s="15" t="n">
        <v>207</v>
      </c>
      <c r="E497" s="13" t="s">
        <v>82</v>
      </c>
      <c r="F497" s="15" t="str">
        <f aca="false">IF(C497&gt;=J497,"ja","nein")</f>
        <v>ja</v>
      </c>
      <c r="G497" s="15" t="str">
        <f aca="false">IF(C497&gt;=K497,"ja","nein")</f>
        <v>nein</v>
      </c>
      <c r="H497" s="15" t="str">
        <f aca="false">IF(C497&gt;=L497,"ja","nein")</f>
        <v>nein</v>
      </c>
      <c r="I497" s="15" t="str">
        <f aca="false">IF(C497&gt;=M497,"ja","nein")</f>
        <v>nein</v>
      </c>
      <c r="J497" s="15" t="n">
        <f aca="false">ROUND(Annahmen!$K$35*(1+Annahmen!$B$20*D497/1000),0)</f>
        <v>856</v>
      </c>
      <c r="K497" s="15" t="n">
        <f aca="false">ROUND(Annahmen!$K$36*(1+Annahmen!$B$20*D497/1000),0)</f>
        <v>1111</v>
      </c>
      <c r="L497" s="15" t="n">
        <f aca="false">ROUND(Annahmen!$K$37*(1+Annahmen!$B$20*D497/1000),0)</f>
        <v>1136</v>
      </c>
      <c r="M497" s="15" t="n">
        <f aca="false">ROUND(Annahmen!$K$38*(1+Annahmen!$B$20*D497/1000),0)</f>
        <v>1136</v>
      </c>
      <c r="N497" s="16" t="s">
        <v>102</v>
      </c>
    </row>
    <row r="498" customFormat="false" ht="15" hidden="false" customHeight="false" outlineLevel="0" collapsed="false">
      <c r="A498" s="13" t="s">
        <v>1077</v>
      </c>
      <c r="B498" s="14" t="s">
        <v>1078</v>
      </c>
      <c r="C498" s="15" t="n">
        <v>1000</v>
      </c>
      <c r="D498" s="15" t="n">
        <v>2683</v>
      </c>
      <c r="E498" s="13" t="s">
        <v>82</v>
      </c>
      <c r="F498" s="15" t="str">
        <f aca="false">IF(C498&gt;=J498,"ja","nein")</f>
        <v>nein</v>
      </c>
      <c r="G498" s="15" t="str">
        <f aca="false">IF(C498&gt;=K498,"ja","nein")</f>
        <v>nein</v>
      </c>
      <c r="H498" s="15" t="str">
        <f aca="false">IF(C498&gt;=L498,"ja","nein")</f>
        <v>nein</v>
      </c>
      <c r="I498" s="15" t="str">
        <f aca="false">IF(C498&gt;=M498,"ja","nein")</f>
        <v>nein</v>
      </c>
      <c r="J498" s="15" t="n">
        <f aca="false">ROUND(Annahmen!$K$35*(1+Annahmen!$B$20*D498/1000),0)</f>
        <v>1043</v>
      </c>
      <c r="K498" s="15" t="n">
        <f aca="false">ROUND(Annahmen!$K$36*(1+Annahmen!$B$20*D498/1000),0)</f>
        <v>1354</v>
      </c>
      <c r="L498" s="15" t="n">
        <f aca="false">ROUND(Annahmen!$K$37*(1+Annahmen!$B$20*D498/1000),0)</f>
        <v>1384</v>
      </c>
      <c r="M498" s="15" t="n">
        <f aca="false">ROUND(Annahmen!$K$38*(1+Annahmen!$B$20*D498/1000),0)</f>
        <v>1384</v>
      </c>
      <c r="N498" s="16" t="s">
        <v>102</v>
      </c>
    </row>
    <row r="499" customFormat="false" ht="15" hidden="false" customHeight="false" outlineLevel="0" collapsed="false">
      <c r="A499" s="13" t="s">
        <v>1079</v>
      </c>
      <c r="B499" s="14" t="s">
        <v>1080</v>
      </c>
      <c r="C499" s="15" t="n">
        <v>995</v>
      </c>
      <c r="D499" s="15" t="n">
        <v>491</v>
      </c>
      <c r="E499" s="13" t="s">
        <v>82</v>
      </c>
      <c r="F499" s="15" t="str">
        <f aca="false">IF(C499&gt;=J499,"ja","nein")</f>
        <v>ja</v>
      </c>
      <c r="G499" s="15" t="str">
        <f aca="false">IF(C499&gt;=K499,"ja","nein")</f>
        <v>nein</v>
      </c>
      <c r="H499" s="15" t="str">
        <f aca="false">IF(C499&gt;=L499,"ja","nein")</f>
        <v>nein</v>
      </c>
      <c r="I499" s="15" t="str">
        <f aca="false">IF(C499&gt;=M499,"ja","nein")</f>
        <v>nein</v>
      </c>
      <c r="J499" s="15" t="n">
        <f aca="false">ROUND(Annahmen!$K$35*(1+Annahmen!$B$20*D499/1000),0)</f>
        <v>877</v>
      </c>
      <c r="K499" s="15" t="n">
        <f aca="false">ROUND(Annahmen!$K$36*(1+Annahmen!$B$20*D499/1000),0)</f>
        <v>1139</v>
      </c>
      <c r="L499" s="15" t="n">
        <f aca="false">ROUND(Annahmen!$K$37*(1+Annahmen!$B$20*D499/1000),0)</f>
        <v>1164</v>
      </c>
      <c r="M499" s="15" t="n">
        <f aca="false">ROUND(Annahmen!$K$38*(1+Annahmen!$B$20*D499/1000),0)</f>
        <v>1164</v>
      </c>
      <c r="N499" s="16" t="s">
        <v>102</v>
      </c>
    </row>
    <row r="500" customFormat="false" ht="15" hidden="false" customHeight="false" outlineLevel="0" collapsed="false">
      <c r="A500" s="13" t="s">
        <v>1081</v>
      </c>
      <c r="B500" s="14" t="s">
        <v>1082</v>
      </c>
      <c r="C500" s="15" t="n">
        <v>980</v>
      </c>
      <c r="D500" s="15" t="n">
        <v>351</v>
      </c>
      <c r="E500" s="13" t="s">
        <v>82</v>
      </c>
      <c r="F500" s="15" t="str">
        <f aca="false">IF(C500&gt;=J500,"ja","nein")</f>
        <v>ja</v>
      </c>
      <c r="G500" s="15" t="str">
        <f aca="false">IF(C500&gt;=K500,"ja","nein")</f>
        <v>nein</v>
      </c>
      <c r="H500" s="15" t="str">
        <f aca="false">IF(C500&gt;=L500,"ja","nein")</f>
        <v>nein</v>
      </c>
      <c r="I500" s="15" t="str">
        <f aca="false">IF(C500&gt;=M500,"ja","nein")</f>
        <v>nein</v>
      </c>
      <c r="J500" s="15" t="n">
        <f aca="false">ROUND(Annahmen!$K$35*(1+Annahmen!$B$20*D500/1000),0)</f>
        <v>867</v>
      </c>
      <c r="K500" s="15" t="n">
        <f aca="false">ROUND(Annahmen!$K$36*(1+Annahmen!$B$20*D500/1000),0)</f>
        <v>1125</v>
      </c>
      <c r="L500" s="15" t="n">
        <f aca="false">ROUND(Annahmen!$K$37*(1+Annahmen!$B$20*D500/1000),0)</f>
        <v>1150</v>
      </c>
      <c r="M500" s="15" t="n">
        <f aca="false">ROUND(Annahmen!$K$38*(1+Annahmen!$B$20*D500/1000),0)</f>
        <v>1150</v>
      </c>
      <c r="N500" s="16" t="s">
        <v>102</v>
      </c>
    </row>
    <row r="501" customFormat="false" ht="15" hidden="false" customHeight="false" outlineLevel="0" collapsed="false">
      <c r="A501" s="13" t="s">
        <v>1083</v>
      </c>
      <c r="B501" s="14" t="s">
        <v>1084</v>
      </c>
      <c r="C501" s="15" t="n">
        <v>975</v>
      </c>
      <c r="D501" s="15" t="n">
        <v>148</v>
      </c>
      <c r="E501" s="13" t="s">
        <v>82</v>
      </c>
      <c r="F501" s="15" t="str">
        <f aca="false">IF(C501&gt;=J501,"ja","nein")</f>
        <v>ja</v>
      </c>
      <c r="G501" s="15" t="str">
        <f aca="false">IF(C501&gt;=K501,"ja","nein")</f>
        <v>nein</v>
      </c>
      <c r="H501" s="15" t="str">
        <f aca="false">IF(C501&gt;=L501,"ja","nein")</f>
        <v>nein</v>
      </c>
      <c r="I501" s="15" t="str">
        <f aca="false">IF(C501&gt;=M501,"ja","nein")</f>
        <v>nein</v>
      </c>
      <c r="J501" s="15" t="n">
        <f aca="false">ROUND(Annahmen!$K$35*(1+Annahmen!$B$20*D501/1000),0)</f>
        <v>851</v>
      </c>
      <c r="K501" s="15" t="n">
        <f aca="false">ROUND(Annahmen!$K$36*(1+Annahmen!$B$20*D501/1000),0)</f>
        <v>1106</v>
      </c>
      <c r="L501" s="15" t="n">
        <f aca="false">ROUND(Annahmen!$K$37*(1+Annahmen!$B$20*D501/1000),0)</f>
        <v>1130</v>
      </c>
      <c r="M501" s="15" t="n">
        <f aca="false">ROUND(Annahmen!$K$38*(1+Annahmen!$B$20*D501/1000),0)</f>
        <v>1130</v>
      </c>
      <c r="N501" s="16" t="s">
        <v>102</v>
      </c>
    </row>
    <row r="502" customFormat="false" ht="15" hidden="false" customHeight="false" outlineLevel="0" collapsed="false">
      <c r="A502" s="13" t="s">
        <v>1085</v>
      </c>
      <c r="B502" s="14" t="s">
        <v>1086</v>
      </c>
      <c r="C502" s="15" t="n">
        <v>965</v>
      </c>
      <c r="D502" s="15" t="n">
        <v>581</v>
      </c>
      <c r="E502" s="13" t="s">
        <v>82</v>
      </c>
      <c r="F502" s="15" t="str">
        <f aca="false">IF(C502&gt;=J502,"ja","nein")</f>
        <v>ja</v>
      </c>
      <c r="G502" s="15" t="str">
        <f aca="false">IF(C502&gt;=K502,"ja","nein")</f>
        <v>nein</v>
      </c>
      <c r="H502" s="15" t="str">
        <f aca="false">IF(C502&gt;=L502,"ja","nein")</f>
        <v>nein</v>
      </c>
      <c r="I502" s="15" t="str">
        <f aca="false">IF(C502&gt;=M502,"ja","nein")</f>
        <v>nein</v>
      </c>
      <c r="J502" s="15" t="n">
        <f aca="false">ROUND(Annahmen!$K$35*(1+Annahmen!$B$20*D502/1000),0)</f>
        <v>884</v>
      </c>
      <c r="K502" s="15" t="n">
        <f aca="false">ROUND(Annahmen!$K$36*(1+Annahmen!$B$20*D502/1000),0)</f>
        <v>1148</v>
      </c>
      <c r="L502" s="15" t="n">
        <f aca="false">ROUND(Annahmen!$K$37*(1+Annahmen!$B$20*D502/1000),0)</f>
        <v>1173</v>
      </c>
      <c r="M502" s="15" t="n">
        <f aca="false">ROUND(Annahmen!$K$38*(1+Annahmen!$B$20*D502/1000),0)</f>
        <v>1173</v>
      </c>
      <c r="N502" s="16" t="s">
        <v>102</v>
      </c>
    </row>
    <row r="503" customFormat="false" ht="15" hidden="false" customHeight="false" outlineLevel="0" collapsed="false">
      <c r="A503" s="13" t="s">
        <v>1087</v>
      </c>
      <c r="B503" s="14" t="s">
        <v>1088</v>
      </c>
      <c r="C503" s="15" t="n">
        <v>960</v>
      </c>
      <c r="D503" s="15" t="n">
        <v>255</v>
      </c>
      <c r="E503" s="13" t="s">
        <v>82</v>
      </c>
      <c r="F503" s="15" t="str">
        <f aca="false">IF(C503&gt;=J503,"ja","nein")</f>
        <v>ja</v>
      </c>
      <c r="G503" s="15" t="str">
        <f aca="false">IF(C503&gt;=K503,"ja","nein")</f>
        <v>nein</v>
      </c>
      <c r="H503" s="15" t="str">
        <f aca="false">IF(C503&gt;=L503,"ja","nein")</f>
        <v>nein</v>
      </c>
      <c r="I503" s="15" t="str">
        <f aca="false">IF(C503&gt;=M503,"ja","nein")</f>
        <v>nein</v>
      </c>
      <c r="J503" s="15" t="n">
        <f aca="false">ROUND(Annahmen!$K$35*(1+Annahmen!$B$20*D503/1000),0)</f>
        <v>859</v>
      </c>
      <c r="K503" s="15" t="n">
        <f aca="false">ROUND(Annahmen!$K$36*(1+Annahmen!$B$20*D503/1000),0)</f>
        <v>1116</v>
      </c>
      <c r="L503" s="15" t="n">
        <f aca="false">ROUND(Annahmen!$K$37*(1+Annahmen!$B$20*D503/1000),0)</f>
        <v>1141</v>
      </c>
      <c r="M503" s="15" t="n">
        <f aca="false">ROUND(Annahmen!$K$38*(1+Annahmen!$B$20*D503/1000),0)</f>
        <v>1141</v>
      </c>
      <c r="N503" s="16" t="s">
        <v>102</v>
      </c>
    </row>
    <row r="504" customFormat="false" ht="15" hidden="false" customHeight="false" outlineLevel="0" collapsed="false">
      <c r="A504" s="13" t="s">
        <v>1089</v>
      </c>
      <c r="B504" s="14" t="s">
        <v>1090</v>
      </c>
      <c r="C504" s="15" t="n">
        <v>960</v>
      </c>
      <c r="D504" s="15" t="n">
        <v>45</v>
      </c>
      <c r="E504" s="13" t="s">
        <v>82</v>
      </c>
      <c r="F504" s="15" t="str">
        <f aca="false">IF(C504&gt;=J504,"ja","nein")</f>
        <v>ja</v>
      </c>
      <c r="G504" s="15" t="str">
        <f aca="false">IF(C504&gt;=K504,"ja","nein")</f>
        <v>nein</v>
      </c>
      <c r="H504" s="15" t="str">
        <f aca="false">IF(C504&gt;=L504,"ja","nein")</f>
        <v>nein</v>
      </c>
      <c r="I504" s="15" t="str">
        <f aca="false">IF(C504&gt;=M504,"ja","nein")</f>
        <v>nein</v>
      </c>
      <c r="J504" s="15" t="n">
        <f aca="false">ROUND(Annahmen!$K$35*(1+Annahmen!$B$20*D504/1000),0)</f>
        <v>843</v>
      </c>
      <c r="K504" s="15" t="n">
        <f aca="false">ROUND(Annahmen!$K$36*(1+Annahmen!$B$20*D504/1000),0)</f>
        <v>1095</v>
      </c>
      <c r="L504" s="15" t="n">
        <f aca="false">ROUND(Annahmen!$K$37*(1+Annahmen!$B$20*D504/1000),0)</f>
        <v>1120</v>
      </c>
      <c r="M504" s="15" t="n">
        <f aca="false">ROUND(Annahmen!$K$38*(1+Annahmen!$B$20*D504/1000),0)</f>
        <v>1120</v>
      </c>
      <c r="N504" s="16" t="s">
        <v>86</v>
      </c>
    </row>
    <row r="505" customFormat="false" ht="15" hidden="false" customHeight="false" outlineLevel="0" collapsed="false">
      <c r="A505" s="13" t="s">
        <v>1091</v>
      </c>
      <c r="B505" s="14" t="s">
        <v>1092</v>
      </c>
      <c r="C505" s="15" t="n">
        <v>955</v>
      </c>
      <c r="D505" s="15" t="n">
        <v>428</v>
      </c>
      <c r="E505" s="13" t="s">
        <v>82</v>
      </c>
      <c r="F505" s="15" t="str">
        <f aca="false">IF(C505&gt;=J505,"ja","nein")</f>
        <v>ja</v>
      </c>
      <c r="G505" s="15" t="str">
        <f aca="false">IF(C505&gt;=K505,"ja","nein")</f>
        <v>nein</v>
      </c>
      <c r="H505" s="15" t="str">
        <f aca="false">IF(C505&gt;=L505,"ja","nein")</f>
        <v>nein</v>
      </c>
      <c r="I505" s="15" t="str">
        <f aca="false">IF(C505&gt;=M505,"ja","nein")</f>
        <v>nein</v>
      </c>
      <c r="J505" s="15" t="n">
        <f aca="false">ROUND(Annahmen!$K$35*(1+Annahmen!$B$20*D505/1000),0)</f>
        <v>872</v>
      </c>
      <c r="K505" s="15" t="n">
        <f aca="false">ROUND(Annahmen!$K$36*(1+Annahmen!$B$20*D505/1000),0)</f>
        <v>1133</v>
      </c>
      <c r="L505" s="15" t="n">
        <f aca="false">ROUND(Annahmen!$K$37*(1+Annahmen!$B$20*D505/1000),0)</f>
        <v>1158</v>
      </c>
      <c r="M505" s="15" t="n">
        <f aca="false">ROUND(Annahmen!$K$38*(1+Annahmen!$B$20*D505/1000),0)</f>
        <v>1158</v>
      </c>
      <c r="N505" s="16" t="s">
        <v>102</v>
      </c>
    </row>
    <row r="506" customFormat="false" ht="15" hidden="false" customHeight="false" outlineLevel="0" collapsed="false">
      <c r="A506" s="13" t="s">
        <v>1093</v>
      </c>
      <c r="B506" s="14" t="s">
        <v>1094</v>
      </c>
      <c r="C506" s="15" t="n">
        <v>950</v>
      </c>
      <c r="D506" s="15" t="n">
        <v>460</v>
      </c>
      <c r="E506" s="13" t="s">
        <v>82</v>
      </c>
      <c r="F506" s="15" t="str">
        <f aca="false">IF(C506&gt;=J506,"ja","nein")</f>
        <v>ja</v>
      </c>
      <c r="G506" s="15" t="str">
        <f aca="false">IF(C506&gt;=K506,"ja","nein")</f>
        <v>nein</v>
      </c>
      <c r="H506" s="15" t="str">
        <f aca="false">IF(C506&gt;=L506,"ja","nein")</f>
        <v>nein</v>
      </c>
      <c r="I506" s="15" t="str">
        <f aca="false">IF(C506&gt;=M506,"ja","nein")</f>
        <v>nein</v>
      </c>
      <c r="J506" s="15" t="n">
        <f aca="false">ROUND(Annahmen!$K$35*(1+Annahmen!$B$20*D506/1000),0)</f>
        <v>875</v>
      </c>
      <c r="K506" s="15" t="n">
        <f aca="false">ROUND(Annahmen!$K$36*(1+Annahmen!$B$20*D506/1000),0)</f>
        <v>1136</v>
      </c>
      <c r="L506" s="15" t="n">
        <f aca="false">ROUND(Annahmen!$K$37*(1+Annahmen!$B$20*D506/1000),0)</f>
        <v>1161</v>
      </c>
      <c r="M506" s="15" t="n">
        <f aca="false">ROUND(Annahmen!$K$38*(1+Annahmen!$B$20*D506/1000),0)</f>
        <v>1161</v>
      </c>
      <c r="N506" s="16" t="s">
        <v>102</v>
      </c>
    </row>
    <row r="507" customFormat="false" ht="15" hidden="false" customHeight="false" outlineLevel="0" collapsed="false">
      <c r="A507" s="13" t="s">
        <v>1095</v>
      </c>
      <c r="B507" s="14" t="s">
        <v>1096</v>
      </c>
      <c r="C507" s="15" t="n">
        <v>950</v>
      </c>
      <c r="D507" s="15" t="n">
        <v>354</v>
      </c>
      <c r="E507" s="13" t="s">
        <v>82</v>
      </c>
      <c r="F507" s="15" t="str">
        <f aca="false">IF(C507&gt;=J507,"ja","nein")</f>
        <v>ja</v>
      </c>
      <c r="G507" s="15" t="str">
        <f aca="false">IF(C507&gt;=K507,"ja","nein")</f>
        <v>nein</v>
      </c>
      <c r="H507" s="15" t="str">
        <f aca="false">IF(C507&gt;=L507,"ja","nein")</f>
        <v>nein</v>
      </c>
      <c r="I507" s="15" t="str">
        <f aca="false">IF(C507&gt;=M507,"ja","nein")</f>
        <v>nein</v>
      </c>
      <c r="J507" s="15" t="n">
        <f aca="false">ROUND(Annahmen!$K$35*(1+Annahmen!$B$20*D507/1000),0)</f>
        <v>867</v>
      </c>
      <c r="K507" s="15" t="n">
        <f aca="false">ROUND(Annahmen!$K$36*(1+Annahmen!$B$20*D507/1000),0)</f>
        <v>1126</v>
      </c>
      <c r="L507" s="15" t="n">
        <f aca="false">ROUND(Annahmen!$K$37*(1+Annahmen!$B$20*D507/1000),0)</f>
        <v>1151</v>
      </c>
      <c r="M507" s="15" t="n">
        <f aca="false">ROUND(Annahmen!$K$38*(1+Annahmen!$B$20*D507/1000),0)</f>
        <v>1151</v>
      </c>
      <c r="N507" s="16" t="s">
        <v>102</v>
      </c>
    </row>
    <row r="508" customFormat="false" ht="15" hidden="false" customHeight="false" outlineLevel="0" collapsed="false">
      <c r="A508" s="13" t="s">
        <v>1097</v>
      </c>
      <c r="B508" s="14" t="s">
        <v>1098</v>
      </c>
      <c r="C508" s="15" t="n">
        <v>950</v>
      </c>
      <c r="D508" s="15" t="n">
        <v>105</v>
      </c>
      <c r="E508" s="13" t="s">
        <v>82</v>
      </c>
      <c r="F508" s="15" t="str">
        <f aca="false">IF(C508&gt;=J508,"ja","nein")</f>
        <v>ja</v>
      </c>
      <c r="G508" s="15" t="str">
        <f aca="false">IF(C508&gt;=K508,"ja","nein")</f>
        <v>nein</v>
      </c>
      <c r="H508" s="15" t="str">
        <f aca="false">IF(C508&gt;=L508,"ja","nein")</f>
        <v>nein</v>
      </c>
      <c r="I508" s="15" t="str">
        <f aca="false">IF(C508&gt;=M508,"ja","nein")</f>
        <v>nein</v>
      </c>
      <c r="J508" s="15" t="n">
        <f aca="false">ROUND(Annahmen!$K$35*(1+Annahmen!$B$20*D508/1000),0)</f>
        <v>848</v>
      </c>
      <c r="K508" s="15" t="n">
        <f aca="false">ROUND(Annahmen!$K$36*(1+Annahmen!$B$20*D508/1000),0)</f>
        <v>1101</v>
      </c>
      <c r="L508" s="15" t="n">
        <f aca="false">ROUND(Annahmen!$K$37*(1+Annahmen!$B$20*D508/1000),0)</f>
        <v>1126</v>
      </c>
      <c r="M508" s="15" t="n">
        <f aca="false">ROUND(Annahmen!$K$38*(1+Annahmen!$B$20*D508/1000),0)</f>
        <v>1126</v>
      </c>
      <c r="N508" s="16" t="s">
        <v>86</v>
      </c>
    </row>
    <row r="509" customFormat="false" ht="15" hidden="false" customHeight="false" outlineLevel="0" collapsed="false">
      <c r="A509" s="13" t="s">
        <v>1099</v>
      </c>
      <c r="B509" s="14" t="s">
        <v>1100</v>
      </c>
      <c r="C509" s="15" t="n">
        <v>945</v>
      </c>
      <c r="D509" s="15" t="n">
        <v>1986</v>
      </c>
      <c r="E509" s="13" t="s">
        <v>82</v>
      </c>
      <c r="F509" s="15" t="str">
        <f aca="false">IF(C509&gt;=J509,"ja","nein")</f>
        <v>nein</v>
      </c>
      <c r="G509" s="15" t="str">
        <f aca="false">IF(C509&gt;=K509,"ja","nein")</f>
        <v>nein</v>
      </c>
      <c r="H509" s="15" t="str">
        <f aca="false">IF(C509&gt;=L509,"ja","nein")</f>
        <v>nein</v>
      </c>
      <c r="I509" s="15" t="str">
        <f aca="false">IF(C509&gt;=M509,"ja","nein")</f>
        <v>nein</v>
      </c>
      <c r="J509" s="15" t="n">
        <f aca="false">ROUND(Annahmen!$K$35*(1+Annahmen!$B$20*D509/1000),0)</f>
        <v>990</v>
      </c>
      <c r="K509" s="15" t="n">
        <f aca="false">ROUND(Annahmen!$K$36*(1+Annahmen!$B$20*D509/1000),0)</f>
        <v>1286</v>
      </c>
      <c r="L509" s="15" t="n">
        <f aca="false">ROUND(Annahmen!$K$37*(1+Annahmen!$B$20*D509/1000),0)</f>
        <v>1314</v>
      </c>
      <c r="M509" s="15" t="n">
        <f aca="false">ROUND(Annahmen!$K$38*(1+Annahmen!$B$20*D509/1000),0)</f>
        <v>1314</v>
      </c>
      <c r="N509" s="16" t="s">
        <v>102</v>
      </c>
    </row>
    <row r="510" customFormat="false" ht="15" hidden="false" customHeight="false" outlineLevel="0" collapsed="false">
      <c r="A510" s="13" t="s">
        <v>1101</v>
      </c>
      <c r="B510" s="14" t="s">
        <v>1102</v>
      </c>
      <c r="C510" s="15" t="n">
        <v>940</v>
      </c>
      <c r="D510" s="15" t="n">
        <v>1132</v>
      </c>
      <c r="E510" s="13" t="s">
        <v>82</v>
      </c>
      <c r="F510" s="15" t="str">
        <f aca="false">IF(C510&gt;=J510,"ja","nein")</f>
        <v>ja</v>
      </c>
      <c r="G510" s="15" t="str">
        <f aca="false">IF(C510&gt;=K510,"ja","nein")</f>
        <v>nein</v>
      </c>
      <c r="H510" s="15" t="str">
        <f aca="false">IF(C510&gt;=L510,"ja","nein")</f>
        <v>nein</v>
      </c>
      <c r="I510" s="15" t="str">
        <f aca="false">IF(C510&gt;=M510,"ja","nein")</f>
        <v>nein</v>
      </c>
      <c r="J510" s="15" t="n">
        <f aca="false">ROUND(Annahmen!$K$35*(1+Annahmen!$B$20*D510/1000),0)</f>
        <v>926</v>
      </c>
      <c r="K510" s="15" t="n">
        <f aca="false">ROUND(Annahmen!$K$36*(1+Annahmen!$B$20*D510/1000),0)</f>
        <v>1202</v>
      </c>
      <c r="L510" s="15" t="n">
        <f aca="false">ROUND(Annahmen!$K$37*(1+Annahmen!$B$20*D510/1000),0)</f>
        <v>1229</v>
      </c>
      <c r="M510" s="15" t="n">
        <f aca="false">ROUND(Annahmen!$K$38*(1+Annahmen!$B$20*D510/1000),0)</f>
        <v>1229</v>
      </c>
      <c r="N510" s="16" t="s">
        <v>102</v>
      </c>
    </row>
    <row r="511" customFormat="false" ht="15" hidden="false" customHeight="false" outlineLevel="0" collapsed="false">
      <c r="A511" s="13" t="s">
        <v>1103</v>
      </c>
      <c r="B511" s="14" t="s">
        <v>1104</v>
      </c>
      <c r="C511" s="15" t="n">
        <v>940</v>
      </c>
      <c r="D511" s="15" t="n">
        <v>1096</v>
      </c>
      <c r="E511" s="13" t="s">
        <v>82</v>
      </c>
      <c r="F511" s="15" t="str">
        <f aca="false">IF(C511&gt;=J511,"ja","nein")</f>
        <v>ja</v>
      </c>
      <c r="G511" s="15" t="str">
        <f aca="false">IF(C511&gt;=K511,"ja","nein")</f>
        <v>nein</v>
      </c>
      <c r="H511" s="15" t="str">
        <f aca="false">IF(C511&gt;=L511,"ja","nein")</f>
        <v>nein</v>
      </c>
      <c r="I511" s="15" t="str">
        <f aca="false">IF(C511&gt;=M511,"ja","nein")</f>
        <v>nein</v>
      </c>
      <c r="J511" s="15" t="n">
        <f aca="false">ROUND(Annahmen!$K$35*(1+Annahmen!$B$20*D511/1000),0)</f>
        <v>923</v>
      </c>
      <c r="K511" s="15" t="n">
        <f aca="false">ROUND(Annahmen!$K$36*(1+Annahmen!$B$20*D511/1000),0)</f>
        <v>1199</v>
      </c>
      <c r="L511" s="15" t="n">
        <f aca="false">ROUND(Annahmen!$K$37*(1+Annahmen!$B$20*D511/1000),0)</f>
        <v>1225</v>
      </c>
      <c r="M511" s="15" t="n">
        <f aca="false">ROUND(Annahmen!$K$38*(1+Annahmen!$B$20*D511/1000),0)</f>
        <v>1225</v>
      </c>
      <c r="N511" s="16" t="s">
        <v>102</v>
      </c>
    </row>
    <row r="512" customFormat="false" ht="15" hidden="false" customHeight="false" outlineLevel="0" collapsed="false">
      <c r="A512" s="13" t="s">
        <v>1105</v>
      </c>
      <c r="B512" s="14" t="s">
        <v>1106</v>
      </c>
      <c r="C512" s="15" t="n">
        <v>910</v>
      </c>
      <c r="D512" s="15" t="n">
        <v>656</v>
      </c>
      <c r="E512" s="13" t="s">
        <v>82</v>
      </c>
      <c r="F512" s="15" t="str">
        <f aca="false">IF(C512&gt;=J512,"ja","nein")</f>
        <v>ja</v>
      </c>
      <c r="G512" s="15" t="str">
        <f aca="false">IF(C512&gt;=K512,"ja","nein")</f>
        <v>nein</v>
      </c>
      <c r="H512" s="15" t="str">
        <f aca="false">IF(C512&gt;=L512,"ja","nein")</f>
        <v>nein</v>
      </c>
      <c r="I512" s="15" t="str">
        <f aca="false">IF(C512&gt;=M512,"ja","nein")</f>
        <v>nein</v>
      </c>
      <c r="J512" s="15" t="n">
        <f aca="false">ROUND(Annahmen!$K$35*(1+Annahmen!$B$20*D512/1000),0)</f>
        <v>890</v>
      </c>
      <c r="K512" s="15" t="n">
        <f aca="false">ROUND(Annahmen!$K$36*(1+Annahmen!$B$20*D512/1000),0)</f>
        <v>1155</v>
      </c>
      <c r="L512" s="15" t="n">
        <f aca="false">ROUND(Annahmen!$K$37*(1+Annahmen!$B$20*D512/1000),0)</f>
        <v>1181</v>
      </c>
      <c r="M512" s="15" t="n">
        <f aca="false">ROUND(Annahmen!$K$38*(1+Annahmen!$B$20*D512/1000),0)</f>
        <v>1181</v>
      </c>
      <c r="N512" s="16" t="s">
        <v>102</v>
      </c>
    </row>
    <row r="513" customFormat="false" ht="15" hidden="false" customHeight="false" outlineLevel="0" collapsed="false">
      <c r="A513" s="13" t="s">
        <v>1107</v>
      </c>
      <c r="B513" s="14" t="s">
        <v>1108</v>
      </c>
      <c r="C513" s="15" t="n">
        <v>900</v>
      </c>
      <c r="D513" s="15" t="n">
        <v>328</v>
      </c>
      <c r="E513" s="13" t="s">
        <v>82</v>
      </c>
      <c r="F513" s="15" t="str">
        <f aca="false">IF(C513&gt;=J513,"ja","nein")</f>
        <v>ja</v>
      </c>
      <c r="G513" s="15" t="str">
        <f aca="false">IF(C513&gt;=K513,"ja","nein")</f>
        <v>nein</v>
      </c>
      <c r="H513" s="15" t="str">
        <f aca="false">IF(C513&gt;=L513,"ja","nein")</f>
        <v>nein</v>
      </c>
      <c r="I513" s="15" t="str">
        <f aca="false">IF(C513&gt;=M513,"ja","nein")</f>
        <v>nein</v>
      </c>
      <c r="J513" s="15" t="n">
        <f aca="false">ROUND(Annahmen!$K$35*(1+Annahmen!$B$20*D513/1000),0)</f>
        <v>865</v>
      </c>
      <c r="K513" s="15" t="n">
        <f aca="false">ROUND(Annahmen!$K$36*(1+Annahmen!$B$20*D513/1000),0)</f>
        <v>1123</v>
      </c>
      <c r="L513" s="15" t="n">
        <f aca="false">ROUND(Annahmen!$K$37*(1+Annahmen!$B$20*D513/1000),0)</f>
        <v>1148</v>
      </c>
      <c r="M513" s="15" t="n">
        <f aca="false">ROUND(Annahmen!$K$38*(1+Annahmen!$B$20*D513/1000),0)</f>
        <v>1148</v>
      </c>
      <c r="N513" s="16" t="s">
        <v>102</v>
      </c>
    </row>
    <row r="514" customFormat="false" ht="15" hidden="false" customHeight="false" outlineLevel="0" collapsed="false">
      <c r="A514" s="13" t="s">
        <v>1109</v>
      </c>
      <c r="B514" s="14" t="s">
        <v>1110</v>
      </c>
      <c r="C514" s="15" t="n">
        <v>900</v>
      </c>
      <c r="D514" s="15" t="n">
        <v>1086</v>
      </c>
      <c r="E514" s="13" t="s">
        <v>82</v>
      </c>
      <c r="F514" s="15" t="str">
        <f aca="false">IF(C514&gt;=J514,"ja","nein")</f>
        <v>nein</v>
      </c>
      <c r="G514" s="15" t="str">
        <f aca="false">IF(C514&gt;=K514,"ja","nein")</f>
        <v>nein</v>
      </c>
      <c r="H514" s="15" t="str">
        <f aca="false">IF(C514&gt;=L514,"ja","nein")</f>
        <v>nein</v>
      </c>
      <c r="I514" s="15" t="str">
        <f aca="false">IF(C514&gt;=M514,"ja","nein")</f>
        <v>nein</v>
      </c>
      <c r="J514" s="15" t="n">
        <f aca="false">ROUND(Annahmen!$K$35*(1+Annahmen!$B$20*D514/1000),0)</f>
        <v>922</v>
      </c>
      <c r="K514" s="15" t="n">
        <f aca="false">ROUND(Annahmen!$K$36*(1+Annahmen!$B$20*D514/1000),0)</f>
        <v>1198</v>
      </c>
      <c r="L514" s="15" t="n">
        <f aca="false">ROUND(Annahmen!$K$37*(1+Annahmen!$B$20*D514/1000),0)</f>
        <v>1224</v>
      </c>
      <c r="M514" s="15" t="n">
        <f aca="false">ROUND(Annahmen!$K$38*(1+Annahmen!$B$20*D514/1000),0)</f>
        <v>1224</v>
      </c>
      <c r="N514" s="16" t="s">
        <v>102</v>
      </c>
    </row>
    <row r="515" customFormat="false" ht="15" hidden="false" customHeight="false" outlineLevel="0" collapsed="false">
      <c r="A515" s="13" t="s">
        <v>1111</v>
      </c>
      <c r="B515" s="14" t="s">
        <v>1112</v>
      </c>
      <c r="C515" s="15" t="n">
        <v>900</v>
      </c>
      <c r="D515" s="15" t="n">
        <v>509</v>
      </c>
      <c r="E515" s="13" t="s">
        <v>82</v>
      </c>
      <c r="F515" s="15" t="str">
        <f aca="false">IF(C515&gt;=J515,"ja","nein")</f>
        <v>ja</v>
      </c>
      <c r="G515" s="15" t="str">
        <f aca="false">IF(C515&gt;=K515,"ja","nein")</f>
        <v>nein</v>
      </c>
      <c r="H515" s="15" t="str">
        <f aca="false">IF(C515&gt;=L515,"ja","nein")</f>
        <v>nein</v>
      </c>
      <c r="I515" s="15" t="str">
        <f aca="false">IF(C515&gt;=M515,"ja","nein")</f>
        <v>nein</v>
      </c>
      <c r="J515" s="15" t="n">
        <f aca="false">ROUND(Annahmen!$K$35*(1+Annahmen!$B$20*D515/1000),0)</f>
        <v>878</v>
      </c>
      <c r="K515" s="15" t="n">
        <f aca="false">ROUND(Annahmen!$K$36*(1+Annahmen!$B$20*D515/1000),0)</f>
        <v>1141</v>
      </c>
      <c r="L515" s="15" t="n">
        <f aca="false">ROUND(Annahmen!$K$37*(1+Annahmen!$B$20*D515/1000),0)</f>
        <v>1166</v>
      </c>
      <c r="M515" s="15" t="n">
        <f aca="false">ROUND(Annahmen!$K$38*(1+Annahmen!$B$20*D515/1000),0)</f>
        <v>1166</v>
      </c>
      <c r="N515" s="16" t="s">
        <v>102</v>
      </c>
    </row>
    <row r="516" customFormat="false" ht="15" hidden="false" customHeight="false" outlineLevel="0" collapsed="false">
      <c r="A516" s="13" t="s">
        <v>1113</v>
      </c>
      <c r="B516" s="14" t="s">
        <v>1114</v>
      </c>
      <c r="C516" s="15" t="n">
        <v>900</v>
      </c>
      <c r="D516" s="15" t="n">
        <v>5</v>
      </c>
      <c r="E516" s="13" t="s">
        <v>82</v>
      </c>
      <c r="F516" s="15" t="str">
        <f aca="false">IF(C516&gt;=J516,"ja","nein")</f>
        <v>ja</v>
      </c>
      <c r="G516" s="15" t="str">
        <f aca="false">IF(C516&gt;=K516,"ja","nein")</f>
        <v>nein</v>
      </c>
      <c r="H516" s="15" t="str">
        <f aca="false">IF(C516&gt;=L516,"ja","nein")</f>
        <v>nein</v>
      </c>
      <c r="I516" s="15" t="str">
        <f aca="false">IF(C516&gt;=M516,"ja","nein")</f>
        <v>nein</v>
      </c>
      <c r="J516" s="15" t="n">
        <f aca="false">ROUND(Annahmen!$K$35*(1+Annahmen!$B$20*D516/1000),0)</f>
        <v>840</v>
      </c>
      <c r="K516" s="15" t="n">
        <f aca="false">ROUND(Annahmen!$K$36*(1+Annahmen!$B$20*D516/1000),0)</f>
        <v>1091</v>
      </c>
      <c r="L516" s="15" t="n">
        <f aca="false">ROUND(Annahmen!$K$37*(1+Annahmen!$B$20*D516/1000),0)</f>
        <v>1116</v>
      </c>
      <c r="M516" s="15" t="n">
        <f aca="false">ROUND(Annahmen!$K$38*(1+Annahmen!$B$20*D516/1000),0)</f>
        <v>1116</v>
      </c>
      <c r="N516" s="16" t="s">
        <v>102</v>
      </c>
    </row>
    <row r="517" customFormat="false" ht="15" hidden="false" customHeight="false" outlineLevel="0" collapsed="false">
      <c r="A517" s="13" t="s">
        <v>1115</v>
      </c>
      <c r="B517" s="14" t="s">
        <v>1116</v>
      </c>
      <c r="C517" s="15" t="n">
        <v>900</v>
      </c>
      <c r="D517" s="15" t="n">
        <v>312</v>
      </c>
      <c r="E517" s="13" t="s">
        <v>82</v>
      </c>
      <c r="F517" s="15" t="str">
        <f aca="false">IF(C517&gt;=J517,"ja","nein")</f>
        <v>ja</v>
      </c>
      <c r="G517" s="15" t="str">
        <f aca="false">IF(C517&gt;=K517,"ja","nein")</f>
        <v>nein</v>
      </c>
      <c r="H517" s="15" t="str">
        <f aca="false">IF(C517&gt;=L517,"ja","nein")</f>
        <v>nein</v>
      </c>
      <c r="I517" s="15" t="str">
        <f aca="false">IF(C517&gt;=M517,"ja","nein")</f>
        <v>nein</v>
      </c>
      <c r="J517" s="15" t="n">
        <f aca="false">ROUND(Annahmen!$K$35*(1+Annahmen!$B$20*D517/1000),0)</f>
        <v>864</v>
      </c>
      <c r="K517" s="15" t="n">
        <f aca="false">ROUND(Annahmen!$K$36*(1+Annahmen!$B$20*D517/1000),0)</f>
        <v>1122</v>
      </c>
      <c r="L517" s="15" t="n">
        <f aca="false">ROUND(Annahmen!$K$37*(1+Annahmen!$B$20*D517/1000),0)</f>
        <v>1146</v>
      </c>
      <c r="M517" s="15" t="n">
        <f aca="false">ROUND(Annahmen!$K$38*(1+Annahmen!$B$20*D517/1000),0)</f>
        <v>1146</v>
      </c>
      <c r="N517" s="16" t="s">
        <v>102</v>
      </c>
    </row>
    <row r="518" customFormat="false" ht="15" hidden="false" customHeight="false" outlineLevel="0" collapsed="false">
      <c r="A518" s="13" t="s">
        <v>1117</v>
      </c>
      <c r="B518" s="14" t="s">
        <v>1118</v>
      </c>
      <c r="C518" s="15" t="n">
        <v>870</v>
      </c>
      <c r="D518" s="15" t="n">
        <v>1184</v>
      </c>
      <c r="E518" s="13" t="s">
        <v>82</v>
      </c>
      <c r="F518" s="15" t="str">
        <f aca="false">IF(C518&gt;=J518,"ja","nein")</f>
        <v>nein</v>
      </c>
      <c r="G518" s="15" t="str">
        <f aca="false">IF(C518&gt;=K518,"ja","nein")</f>
        <v>nein</v>
      </c>
      <c r="H518" s="15" t="str">
        <f aca="false">IF(C518&gt;=L518,"ja","nein")</f>
        <v>nein</v>
      </c>
      <c r="I518" s="15" t="str">
        <f aca="false">IF(C518&gt;=M518,"ja","nein")</f>
        <v>nein</v>
      </c>
      <c r="J518" s="15" t="n">
        <f aca="false">ROUND(Annahmen!$K$35*(1+Annahmen!$B$20*D518/1000),0)</f>
        <v>930</v>
      </c>
      <c r="K518" s="15" t="n">
        <f aca="false">ROUND(Annahmen!$K$36*(1+Annahmen!$B$20*D518/1000),0)</f>
        <v>1207</v>
      </c>
      <c r="L518" s="15" t="n">
        <f aca="false">ROUND(Annahmen!$K$37*(1+Annahmen!$B$20*D518/1000),0)</f>
        <v>1234</v>
      </c>
      <c r="M518" s="15" t="n">
        <f aca="false">ROUND(Annahmen!$K$38*(1+Annahmen!$B$20*D518/1000),0)</f>
        <v>1234</v>
      </c>
      <c r="N518" s="16" t="s">
        <v>102</v>
      </c>
    </row>
    <row r="519" customFormat="false" ht="15" hidden="false" customHeight="false" outlineLevel="0" collapsed="false">
      <c r="A519" s="13" t="s">
        <v>1119</v>
      </c>
      <c r="B519" s="14" t="s">
        <v>1120</v>
      </c>
      <c r="C519" s="15" t="n">
        <v>847</v>
      </c>
      <c r="D519" s="15" t="n">
        <v>2963</v>
      </c>
      <c r="E519" s="13" t="s">
        <v>82</v>
      </c>
      <c r="F519" s="15" t="str">
        <f aca="false">IF(C519&gt;=J519,"ja","nein")</f>
        <v>nein</v>
      </c>
      <c r="G519" s="15" t="str">
        <f aca="false">IF(C519&gt;=K519,"ja","nein")</f>
        <v>nein</v>
      </c>
      <c r="H519" s="15" t="str">
        <f aca="false">IF(C519&gt;=L519,"ja","nein")</f>
        <v>nein</v>
      </c>
      <c r="I519" s="15" t="str">
        <f aca="false">IF(C519&gt;=M519,"ja","nein")</f>
        <v>nein</v>
      </c>
      <c r="J519" s="15" t="n">
        <f aca="false">ROUND(Annahmen!$K$35*(1+Annahmen!$B$20*D519/1000),0)</f>
        <v>1064</v>
      </c>
      <c r="K519" s="15" t="n">
        <f aca="false">ROUND(Annahmen!$K$36*(1+Annahmen!$B$20*D519/1000),0)</f>
        <v>1382</v>
      </c>
      <c r="L519" s="15" t="n">
        <f aca="false">ROUND(Annahmen!$K$37*(1+Annahmen!$B$20*D519/1000),0)</f>
        <v>1412</v>
      </c>
      <c r="M519" s="15" t="n">
        <f aca="false">ROUND(Annahmen!$K$38*(1+Annahmen!$B$20*D519/1000),0)</f>
        <v>1412</v>
      </c>
      <c r="N519" s="16" t="s">
        <v>102</v>
      </c>
    </row>
    <row r="520" customFormat="false" ht="15" hidden="false" customHeight="false" outlineLevel="0" collapsed="false">
      <c r="A520" s="13" t="s">
        <v>1121</v>
      </c>
      <c r="B520" s="14" t="s">
        <v>1122</v>
      </c>
      <c r="C520" s="15" t="n">
        <v>840</v>
      </c>
      <c r="D520" s="15" t="n">
        <v>509</v>
      </c>
      <c r="E520" s="13" t="s">
        <v>82</v>
      </c>
      <c r="F520" s="15" t="str">
        <f aca="false">IF(C520&gt;=J520,"ja","nein")</f>
        <v>nein</v>
      </c>
      <c r="G520" s="15" t="str">
        <f aca="false">IF(C520&gt;=K520,"ja","nein")</f>
        <v>nein</v>
      </c>
      <c r="H520" s="15" t="str">
        <f aca="false">IF(C520&gt;=L520,"ja","nein")</f>
        <v>nein</v>
      </c>
      <c r="I520" s="15" t="str">
        <f aca="false">IF(C520&gt;=M520,"ja","nein")</f>
        <v>nein</v>
      </c>
      <c r="J520" s="15" t="n">
        <f aca="false">ROUND(Annahmen!$K$35*(1+Annahmen!$B$20*D520/1000),0)</f>
        <v>878</v>
      </c>
      <c r="K520" s="15" t="n">
        <f aca="false">ROUND(Annahmen!$K$36*(1+Annahmen!$B$20*D520/1000),0)</f>
        <v>1141</v>
      </c>
      <c r="L520" s="15" t="n">
        <f aca="false">ROUND(Annahmen!$K$37*(1+Annahmen!$B$20*D520/1000),0)</f>
        <v>1166</v>
      </c>
      <c r="M520" s="15" t="n">
        <f aca="false">ROUND(Annahmen!$K$38*(1+Annahmen!$B$20*D520/1000),0)</f>
        <v>1166</v>
      </c>
      <c r="N520" s="16" t="s">
        <v>102</v>
      </c>
    </row>
    <row r="521" customFormat="false" ht="15" hidden="false" customHeight="false" outlineLevel="0" collapsed="false">
      <c r="A521" s="13" t="s">
        <v>1123</v>
      </c>
      <c r="B521" s="14" t="s">
        <v>1124</v>
      </c>
      <c r="C521" s="15" t="n">
        <v>833</v>
      </c>
      <c r="D521" s="15" t="n">
        <v>142</v>
      </c>
      <c r="E521" s="13" t="s">
        <v>82</v>
      </c>
      <c r="F521" s="15" t="str">
        <f aca="false">IF(C521&gt;=J521,"ja","nein")</f>
        <v>nein</v>
      </c>
      <c r="G521" s="15" t="str">
        <f aca="false">IF(C521&gt;=K521,"ja","nein")</f>
        <v>nein</v>
      </c>
      <c r="H521" s="15" t="str">
        <f aca="false">IF(C521&gt;=L521,"ja","nein")</f>
        <v>nein</v>
      </c>
      <c r="I521" s="15" t="str">
        <f aca="false">IF(C521&gt;=M521,"ja","nein")</f>
        <v>nein</v>
      </c>
      <c r="J521" s="15" t="n">
        <f aca="false">ROUND(Annahmen!$K$35*(1+Annahmen!$B$20*D521/1000),0)</f>
        <v>851</v>
      </c>
      <c r="K521" s="15" t="n">
        <f aca="false">ROUND(Annahmen!$K$36*(1+Annahmen!$B$20*D521/1000),0)</f>
        <v>1105</v>
      </c>
      <c r="L521" s="15" t="n">
        <f aca="false">ROUND(Annahmen!$K$37*(1+Annahmen!$B$20*D521/1000),0)</f>
        <v>1129</v>
      </c>
      <c r="M521" s="15" t="n">
        <f aca="false">ROUND(Annahmen!$K$38*(1+Annahmen!$B$20*D521/1000),0)</f>
        <v>1129</v>
      </c>
      <c r="N521" s="16" t="s">
        <v>102</v>
      </c>
    </row>
    <row r="522" customFormat="false" ht="15" hidden="false" customHeight="false" outlineLevel="0" collapsed="false">
      <c r="A522" s="13" t="s">
        <v>1125</v>
      </c>
      <c r="B522" s="14" t="s">
        <v>1126</v>
      </c>
      <c r="C522" s="15" t="n">
        <v>830</v>
      </c>
      <c r="D522" s="15" t="n">
        <v>394</v>
      </c>
      <c r="E522" s="13" t="s">
        <v>82</v>
      </c>
      <c r="F522" s="15" t="str">
        <f aca="false">IF(C522&gt;=J522,"ja","nein")</f>
        <v>nein</v>
      </c>
      <c r="G522" s="15" t="str">
        <f aca="false">IF(C522&gt;=K522,"ja","nein")</f>
        <v>nein</v>
      </c>
      <c r="H522" s="15" t="str">
        <f aca="false">IF(C522&gt;=L522,"ja","nein")</f>
        <v>nein</v>
      </c>
      <c r="I522" s="15" t="str">
        <f aca="false">IF(C522&gt;=M522,"ja","nein")</f>
        <v>nein</v>
      </c>
      <c r="J522" s="15" t="n">
        <f aca="false">ROUND(Annahmen!$K$35*(1+Annahmen!$B$20*D522/1000),0)</f>
        <v>870</v>
      </c>
      <c r="K522" s="15" t="n">
        <f aca="false">ROUND(Annahmen!$K$36*(1+Annahmen!$B$20*D522/1000),0)</f>
        <v>1130</v>
      </c>
      <c r="L522" s="15" t="n">
        <f aca="false">ROUND(Annahmen!$K$37*(1+Annahmen!$B$20*D522/1000),0)</f>
        <v>1155</v>
      </c>
      <c r="M522" s="15" t="n">
        <f aca="false">ROUND(Annahmen!$K$38*(1+Annahmen!$B$20*D522/1000),0)</f>
        <v>1155</v>
      </c>
      <c r="N522" s="16" t="s">
        <v>102</v>
      </c>
    </row>
    <row r="523" customFormat="false" ht="15" hidden="false" customHeight="false" outlineLevel="0" collapsed="false">
      <c r="A523" s="13" t="s">
        <v>1127</v>
      </c>
      <c r="B523" s="14" t="s">
        <v>1128</v>
      </c>
      <c r="C523" s="15" t="n">
        <v>820</v>
      </c>
      <c r="D523" s="15" t="n">
        <v>456</v>
      </c>
      <c r="E523" s="13" t="s">
        <v>82</v>
      </c>
      <c r="F523" s="15" t="str">
        <f aca="false">IF(C523&gt;=J523,"ja","nein")</f>
        <v>nein</v>
      </c>
      <c r="G523" s="15" t="str">
        <f aca="false">IF(C523&gt;=K523,"ja","nein")</f>
        <v>nein</v>
      </c>
      <c r="H523" s="15" t="str">
        <f aca="false">IF(C523&gt;=L523,"ja","nein")</f>
        <v>nein</v>
      </c>
      <c r="I523" s="15" t="str">
        <f aca="false">IF(C523&gt;=M523,"ja","nein")</f>
        <v>nein</v>
      </c>
      <c r="J523" s="15" t="n">
        <f aca="false">ROUND(Annahmen!$K$35*(1+Annahmen!$B$20*D523/1000),0)</f>
        <v>874</v>
      </c>
      <c r="K523" s="15" t="n">
        <f aca="false">ROUND(Annahmen!$K$36*(1+Annahmen!$B$20*D523/1000),0)</f>
        <v>1136</v>
      </c>
      <c r="L523" s="15" t="n">
        <f aca="false">ROUND(Annahmen!$K$37*(1+Annahmen!$B$20*D523/1000),0)</f>
        <v>1161</v>
      </c>
      <c r="M523" s="15" t="n">
        <f aca="false">ROUND(Annahmen!$K$38*(1+Annahmen!$B$20*D523/1000),0)</f>
        <v>1161</v>
      </c>
      <c r="N523" s="16" t="s">
        <v>102</v>
      </c>
    </row>
    <row r="524" customFormat="false" ht="15" hidden="false" customHeight="false" outlineLevel="0" collapsed="false">
      <c r="A524" s="13" t="s">
        <v>1129</v>
      </c>
      <c r="B524" s="14" t="s">
        <v>1130</v>
      </c>
      <c r="C524" s="15" t="n">
        <v>810</v>
      </c>
      <c r="D524" s="15" t="n">
        <v>551</v>
      </c>
      <c r="E524" s="13" t="s">
        <v>82</v>
      </c>
      <c r="F524" s="15" t="str">
        <f aca="false">IF(C524&gt;=J524,"ja","nein")</f>
        <v>nein</v>
      </c>
      <c r="G524" s="15" t="str">
        <f aca="false">IF(C524&gt;=K524,"ja","nein")</f>
        <v>nein</v>
      </c>
      <c r="H524" s="15" t="str">
        <f aca="false">IF(C524&gt;=L524,"ja","nein")</f>
        <v>nein</v>
      </c>
      <c r="I524" s="15" t="str">
        <f aca="false">IF(C524&gt;=M524,"ja","nein")</f>
        <v>nein</v>
      </c>
      <c r="J524" s="15" t="n">
        <f aca="false">ROUND(Annahmen!$K$35*(1+Annahmen!$B$20*D524/1000),0)</f>
        <v>882</v>
      </c>
      <c r="K524" s="15" t="n">
        <f aca="false">ROUND(Annahmen!$K$36*(1+Annahmen!$B$20*D524/1000),0)</f>
        <v>1145</v>
      </c>
      <c r="L524" s="15" t="n">
        <f aca="false">ROUND(Annahmen!$K$37*(1+Annahmen!$B$20*D524/1000),0)</f>
        <v>1170</v>
      </c>
      <c r="M524" s="15" t="n">
        <f aca="false">ROUND(Annahmen!$K$38*(1+Annahmen!$B$20*D524/1000),0)</f>
        <v>1170</v>
      </c>
      <c r="N524" s="16" t="s">
        <v>102</v>
      </c>
    </row>
    <row r="525" customFormat="false" ht="15" hidden="false" customHeight="false" outlineLevel="0" collapsed="false">
      <c r="A525" s="13" t="s">
        <v>1131</v>
      </c>
      <c r="B525" s="14" t="s">
        <v>1132</v>
      </c>
      <c r="C525" s="15" t="n">
        <v>800</v>
      </c>
      <c r="D525" s="15" t="n">
        <v>190</v>
      </c>
      <c r="E525" s="13" t="s">
        <v>82</v>
      </c>
      <c r="F525" s="15" t="str">
        <f aca="false">IF(C525&gt;=J525,"ja","nein")</f>
        <v>nein</v>
      </c>
      <c r="G525" s="15" t="str">
        <f aca="false">IF(C525&gt;=K525,"ja","nein")</f>
        <v>nein</v>
      </c>
      <c r="H525" s="15" t="str">
        <f aca="false">IF(C525&gt;=L525,"ja","nein")</f>
        <v>nein</v>
      </c>
      <c r="I525" s="15" t="str">
        <f aca="false">IF(C525&gt;=M525,"ja","nein")</f>
        <v>nein</v>
      </c>
      <c r="J525" s="15" t="n">
        <f aca="false">ROUND(Annahmen!$K$35*(1+Annahmen!$B$20*D525/1000),0)</f>
        <v>854</v>
      </c>
      <c r="K525" s="15" t="n">
        <f aca="false">ROUND(Annahmen!$K$36*(1+Annahmen!$B$20*D525/1000),0)</f>
        <v>1110</v>
      </c>
      <c r="L525" s="15" t="n">
        <f aca="false">ROUND(Annahmen!$K$37*(1+Annahmen!$B$20*D525/1000),0)</f>
        <v>1134</v>
      </c>
      <c r="M525" s="15" t="n">
        <f aca="false">ROUND(Annahmen!$K$38*(1+Annahmen!$B$20*D525/1000),0)</f>
        <v>1134</v>
      </c>
      <c r="N525" s="16" t="s">
        <v>102</v>
      </c>
    </row>
    <row r="526" customFormat="false" ht="15" hidden="false" customHeight="false" outlineLevel="0" collapsed="false">
      <c r="A526" s="13" t="s">
        <v>1133</v>
      </c>
      <c r="B526" s="14" t="s">
        <v>1134</v>
      </c>
      <c r="C526" s="15" t="n">
        <v>800</v>
      </c>
      <c r="D526" s="15" t="n">
        <v>679</v>
      </c>
      <c r="E526" s="13" t="s">
        <v>82</v>
      </c>
      <c r="F526" s="15" t="str">
        <f aca="false">IF(C526&gt;=J526,"ja","nein")</f>
        <v>nein</v>
      </c>
      <c r="G526" s="15" t="str">
        <f aca="false">IF(C526&gt;=K526,"ja","nein")</f>
        <v>nein</v>
      </c>
      <c r="H526" s="15" t="str">
        <f aca="false">IF(C526&gt;=L526,"ja","nein")</f>
        <v>nein</v>
      </c>
      <c r="I526" s="15" t="str">
        <f aca="false">IF(C526&gt;=M526,"ja","nein")</f>
        <v>nein</v>
      </c>
      <c r="J526" s="15" t="n">
        <f aca="false">ROUND(Annahmen!$K$35*(1+Annahmen!$B$20*D526/1000),0)</f>
        <v>891</v>
      </c>
      <c r="K526" s="15" t="n">
        <f aca="false">ROUND(Annahmen!$K$36*(1+Annahmen!$B$20*D526/1000),0)</f>
        <v>1158</v>
      </c>
      <c r="L526" s="15" t="n">
        <f aca="false">ROUND(Annahmen!$K$37*(1+Annahmen!$B$20*D526/1000),0)</f>
        <v>1183</v>
      </c>
      <c r="M526" s="15" t="n">
        <f aca="false">ROUND(Annahmen!$K$38*(1+Annahmen!$B$20*D526/1000),0)</f>
        <v>1183</v>
      </c>
      <c r="N526" s="16" t="s">
        <v>102</v>
      </c>
    </row>
    <row r="527" customFormat="false" ht="15" hidden="false" customHeight="false" outlineLevel="0" collapsed="false">
      <c r="A527" s="13" t="s">
        <v>1135</v>
      </c>
      <c r="B527" s="14" t="s">
        <v>1136</v>
      </c>
      <c r="C527" s="15" t="n">
        <v>800</v>
      </c>
      <c r="D527" s="15" t="n">
        <v>1033</v>
      </c>
      <c r="E527" s="13" t="s">
        <v>82</v>
      </c>
      <c r="F527" s="15" t="str">
        <f aca="false">IF(C527&gt;=J527,"ja","nein")</f>
        <v>nein</v>
      </c>
      <c r="G527" s="15" t="str">
        <f aca="false">IF(C527&gt;=K527,"ja","nein")</f>
        <v>nein</v>
      </c>
      <c r="H527" s="15" t="str">
        <f aca="false">IF(C527&gt;=L527,"ja","nein")</f>
        <v>nein</v>
      </c>
      <c r="I527" s="15" t="str">
        <f aca="false">IF(C527&gt;=M527,"ja","nein")</f>
        <v>nein</v>
      </c>
      <c r="J527" s="15" t="n">
        <f aca="false">ROUND(Annahmen!$K$35*(1+Annahmen!$B$20*D527/1000),0)</f>
        <v>918</v>
      </c>
      <c r="K527" s="15" t="n">
        <f aca="false">ROUND(Annahmen!$K$36*(1+Annahmen!$B$20*D527/1000),0)</f>
        <v>1192</v>
      </c>
      <c r="L527" s="15" t="n">
        <f aca="false">ROUND(Annahmen!$K$37*(1+Annahmen!$B$20*D527/1000),0)</f>
        <v>1219</v>
      </c>
      <c r="M527" s="15" t="n">
        <f aca="false">ROUND(Annahmen!$K$38*(1+Annahmen!$B$20*D527/1000),0)</f>
        <v>1219</v>
      </c>
      <c r="N527" s="16" t="s">
        <v>102</v>
      </c>
    </row>
    <row r="528" customFormat="false" ht="15" hidden="false" customHeight="false" outlineLevel="0" collapsed="false">
      <c r="A528" s="13" t="s">
        <v>1137</v>
      </c>
      <c r="B528" s="14" t="s">
        <v>1138</v>
      </c>
      <c r="C528" s="15" t="n">
        <v>775</v>
      </c>
      <c r="D528" s="15" t="n">
        <v>37</v>
      </c>
      <c r="E528" s="13" t="s">
        <v>82</v>
      </c>
      <c r="F528" s="15" t="str">
        <f aca="false">IF(C528&gt;=J528,"ja","nein")</f>
        <v>nein</v>
      </c>
      <c r="G528" s="15" t="str">
        <f aca="false">IF(C528&gt;=K528,"ja","nein")</f>
        <v>nein</v>
      </c>
      <c r="H528" s="15" t="str">
        <f aca="false">IF(C528&gt;=L528,"ja","nein")</f>
        <v>nein</v>
      </c>
      <c r="I528" s="15" t="str">
        <f aca="false">IF(C528&gt;=M528,"ja","nein")</f>
        <v>nein</v>
      </c>
      <c r="J528" s="15" t="n">
        <f aca="false">ROUND(Annahmen!$K$35*(1+Annahmen!$B$20*D528/1000),0)</f>
        <v>843</v>
      </c>
      <c r="K528" s="15" t="n">
        <f aca="false">ROUND(Annahmen!$K$36*(1+Annahmen!$B$20*D528/1000),0)</f>
        <v>1095</v>
      </c>
      <c r="L528" s="15" t="n">
        <f aca="false">ROUND(Annahmen!$K$37*(1+Annahmen!$B$20*D528/1000),0)</f>
        <v>1119</v>
      </c>
      <c r="M528" s="15" t="n">
        <f aca="false">ROUND(Annahmen!$K$38*(1+Annahmen!$B$20*D528/1000),0)</f>
        <v>1119</v>
      </c>
      <c r="N528" s="16" t="s">
        <v>102</v>
      </c>
    </row>
    <row r="529" customFormat="false" ht="15" hidden="false" customHeight="false" outlineLevel="0" collapsed="false">
      <c r="A529" s="13" t="s">
        <v>1139</v>
      </c>
      <c r="B529" s="14" t="s">
        <v>1140</v>
      </c>
      <c r="C529" s="15" t="n">
        <v>770</v>
      </c>
      <c r="D529" s="15" t="n">
        <v>7</v>
      </c>
      <c r="E529" s="13" t="s">
        <v>82</v>
      </c>
      <c r="F529" s="15" t="str">
        <f aca="false">IF(C529&gt;=J529,"ja","nein")</f>
        <v>nein</v>
      </c>
      <c r="G529" s="15" t="str">
        <f aca="false">IF(C529&gt;=K529,"ja","nein")</f>
        <v>nein</v>
      </c>
      <c r="H529" s="15" t="str">
        <f aca="false">IF(C529&gt;=L529,"ja","nein")</f>
        <v>nein</v>
      </c>
      <c r="I529" s="15" t="str">
        <f aca="false">IF(C529&gt;=M529,"ja","nein")</f>
        <v>nein</v>
      </c>
      <c r="J529" s="15" t="n">
        <f aca="false">ROUND(Annahmen!$K$35*(1+Annahmen!$B$20*D529/1000),0)</f>
        <v>841</v>
      </c>
      <c r="K529" s="15" t="n">
        <f aca="false">ROUND(Annahmen!$K$36*(1+Annahmen!$B$20*D529/1000),0)</f>
        <v>1092</v>
      </c>
      <c r="L529" s="15" t="n">
        <f aca="false">ROUND(Annahmen!$K$37*(1+Annahmen!$B$20*D529/1000),0)</f>
        <v>1116</v>
      </c>
      <c r="M529" s="15" t="n">
        <f aca="false">ROUND(Annahmen!$K$38*(1+Annahmen!$B$20*D529/1000),0)</f>
        <v>1116</v>
      </c>
      <c r="N529" s="16" t="s">
        <v>102</v>
      </c>
    </row>
    <row r="530" customFormat="false" ht="15" hidden="false" customHeight="false" outlineLevel="0" collapsed="false">
      <c r="A530" s="13" t="s">
        <v>1141</v>
      </c>
      <c r="B530" s="14" t="s">
        <v>1142</v>
      </c>
      <c r="C530" s="15" t="n">
        <v>750</v>
      </c>
      <c r="D530" s="15" t="n">
        <v>1586</v>
      </c>
      <c r="E530" s="13" t="s">
        <v>82</v>
      </c>
      <c r="F530" s="15" t="str">
        <f aca="false">IF(C530&gt;=J530,"ja","nein")</f>
        <v>nein</v>
      </c>
      <c r="G530" s="15" t="str">
        <f aca="false">IF(C530&gt;=K530,"ja","nein")</f>
        <v>nein</v>
      </c>
      <c r="H530" s="15" t="str">
        <f aca="false">IF(C530&gt;=L530,"ja","nein")</f>
        <v>nein</v>
      </c>
      <c r="I530" s="15" t="str">
        <f aca="false">IF(C530&gt;=M530,"ja","nein")</f>
        <v>nein</v>
      </c>
      <c r="J530" s="15" t="n">
        <f aca="false">ROUND(Annahmen!$K$35*(1+Annahmen!$B$20*D530/1000),0)</f>
        <v>960</v>
      </c>
      <c r="K530" s="15" t="n">
        <f aca="false">ROUND(Annahmen!$K$36*(1+Annahmen!$B$20*D530/1000),0)</f>
        <v>1247</v>
      </c>
      <c r="L530" s="15" t="n">
        <f aca="false">ROUND(Annahmen!$K$37*(1+Annahmen!$B$20*D530/1000),0)</f>
        <v>1274</v>
      </c>
      <c r="M530" s="15" t="n">
        <f aca="false">ROUND(Annahmen!$K$38*(1+Annahmen!$B$20*D530/1000),0)</f>
        <v>1274</v>
      </c>
      <c r="N530" s="16" t="s">
        <v>102</v>
      </c>
    </row>
    <row r="531" customFormat="false" ht="15" hidden="false" customHeight="false" outlineLevel="0" collapsed="false">
      <c r="A531" s="13" t="s">
        <v>1143</v>
      </c>
      <c r="B531" s="14" t="s">
        <v>1144</v>
      </c>
      <c r="C531" s="15" t="n">
        <v>736</v>
      </c>
      <c r="D531" s="15" t="n">
        <v>1847</v>
      </c>
      <c r="E531" s="13" t="s">
        <v>82</v>
      </c>
      <c r="F531" s="15" t="str">
        <f aca="false">IF(C531&gt;=J531,"ja","nein")</f>
        <v>nein</v>
      </c>
      <c r="G531" s="15" t="str">
        <f aca="false">IF(C531&gt;=K531,"ja","nein")</f>
        <v>nein</v>
      </c>
      <c r="H531" s="15" t="str">
        <f aca="false">IF(C531&gt;=L531,"ja","nein")</f>
        <v>nein</v>
      </c>
      <c r="I531" s="15" t="str">
        <f aca="false">IF(C531&gt;=M531,"ja","nein")</f>
        <v>nein</v>
      </c>
      <c r="J531" s="15" t="n">
        <f aca="false">ROUND(Annahmen!$K$35*(1+Annahmen!$B$20*D531/1000),0)</f>
        <v>980</v>
      </c>
      <c r="K531" s="15" t="n">
        <f aca="false">ROUND(Annahmen!$K$36*(1+Annahmen!$B$20*D531/1000),0)</f>
        <v>1272</v>
      </c>
      <c r="L531" s="15" t="n">
        <f aca="false">ROUND(Annahmen!$K$37*(1+Annahmen!$B$20*D531/1000),0)</f>
        <v>1300</v>
      </c>
      <c r="M531" s="15" t="n">
        <f aca="false">ROUND(Annahmen!$K$38*(1+Annahmen!$B$20*D531/1000),0)</f>
        <v>1300</v>
      </c>
      <c r="N531" s="16" t="s">
        <v>102</v>
      </c>
    </row>
    <row r="532" customFormat="false" ht="15" hidden="false" customHeight="false" outlineLevel="0" collapsed="false">
      <c r="A532" s="13" t="s">
        <v>1145</v>
      </c>
      <c r="B532" s="14" t="s">
        <v>1146</v>
      </c>
      <c r="C532" s="15" t="n">
        <v>732</v>
      </c>
      <c r="D532" s="15" t="n">
        <v>1053</v>
      </c>
      <c r="E532" s="13" t="s">
        <v>82</v>
      </c>
      <c r="F532" s="15" t="str">
        <f aca="false">IF(C532&gt;=J532,"ja","nein")</f>
        <v>nein</v>
      </c>
      <c r="G532" s="15" t="str">
        <f aca="false">IF(C532&gt;=K532,"ja","nein")</f>
        <v>nein</v>
      </c>
      <c r="H532" s="15" t="str">
        <f aca="false">IF(C532&gt;=L532,"ja","nein")</f>
        <v>nein</v>
      </c>
      <c r="I532" s="15" t="str">
        <f aca="false">IF(C532&gt;=M532,"ja","nein")</f>
        <v>nein</v>
      </c>
      <c r="J532" s="15" t="n">
        <f aca="false">ROUND(Annahmen!$K$35*(1+Annahmen!$B$20*D532/1000),0)</f>
        <v>920</v>
      </c>
      <c r="K532" s="15" t="n">
        <f aca="false">ROUND(Annahmen!$K$36*(1+Annahmen!$B$20*D532/1000),0)</f>
        <v>1194</v>
      </c>
      <c r="L532" s="15" t="n">
        <f aca="false">ROUND(Annahmen!$K$37*(1+Annahmen!$B$20*D532/1000),0)</f>
        <v>1221</v>
      </c>
      <c r="M532" s="15" t="n">
        <f aca="false">ROUND(Annahmen!$K$38*(1+Annahmen!$B$20*D532/1000),0)</f>
        <v>1221</v>
      </c>
      <c r="N532" s="16" t="s">
        <v>102</v>
      </c>
    </row>
    <row r="533" customFormat="false" ht="15" hidden="false" customHeight="false" outlineLevel="0" collapsed="false">
      <c r="A533" s="13" t="s">
        <v>1147</v>
      </c>
      <c r="B533" s="14" t="s">
        <v>1148</v>
      </c>
      <c r="C533" s="15" t="n">
        <v>730</v>
      </c>
      <c r="D533" s="15" t="n">
        <v>1722</v>
      </c>
      <c r="E533" s="13" t="s">
        <v>82</v>
      </c>
      <c r="F533" s="15" t="str">
        <f aca="false">IF(C533&gt;=J533,"ja","nein")</f>
        <v>nein</v>
      </c>
      <c r="G533" s="15" t="str">
        <f aca="false">IF(C533&gt;=K533,"ja","nein")</f>
        <v>nein</v>
      </c>
      <c r="H533" s="15" t="str">
        <f aca="false">IF(C533&gt;=L533,"ja","nein")</f>
        <v>nein</v>
      </c>
      <c r="I533" s="15" t="str">
        <f aca="false">IF(C533&gt;=M533,"ja","nein")</f>
        <v>nein</v>
      </c>
      <c r="J533" s="15" t="n">
        <f aca="false">ROUND(Annahmen!$K$35*(1+Annahmen!$B$20*D533/1000),0)</f>
        <v>970</v>
      </c>
      <c r="K533" s="15" t="n">
        <f aca="false">ROUND(Annahmen!$K$36*(1+Annahmen!$B$20*D533/1000),0)</f>
        <v>1260</v>
      </c>
      <c r="L533" s="15" t="n">
        <f aca="false">ROUND(Annahmen!$K$37*(1+Annahmen!$B$20*D533/1000),0)</f>
        <v>1288</v>
      </c>
      <c r="M533" s="15" t="n">
        <f aca="false">ROUND(Annahmen!$K$38*(1+Annahmen!$B$20*D533/1000),0)</f>
        <v>1288</v>
      </c>
      <c r="N533" s="16" t="s">
        <v>102</v>
      </c>
    </row>
    <row r="534" customFormat="false" ht="15" hidden="false" customHeight="false" outlineLevel="0" collapsed="false">
      <c r="A534" s="13" t="s">
        <v>1149</v>
      </c>
      <c r="B534" s="14" t="s">
        <v>1150</v>
      </c>
      <c r="C534" s="15" t="n">
        <v>721</v>
      </c>
      <c r="D534" s="15" t="n">
        <v>656</v>
      </c>
      <c r="E534" s="13" t="s">
        <v>82</v>
      </c>
      <c r="F534" s="15" t="str">
        <f aca="false">IF(C534&gt;=J534,"ja","nein")</f>
        <v>nein</v>
      </c>
      <c r="G534" s="15" t="str">
        <f aca="false">IF(C534&gt;=K534,"ja","nein")</f>
        <v>nein</v>
      </c>
      <c r="H534" s="15" t="str">
        <f aca="false">IF(C534&gt;=L534,"ja","nein")</f>
        <v>nein</v>
      </c>
      <c r="I534" s="15" t="str">
        <f aca="false">IF(C534&gt;=M534,"ja","nein")</f>
        <v>nein</v>
      </c>
      <c r="J534" s="15" t="n">
        <f aca="false">ROUND(Annahmen!$K$35*(1+Annahmen!$B$20*D534/1000),0)</f>
        <v>890</v>
      </c>
      <c r="K534" s="15" t="n">
        <f aca="false">ROUND(Annahmen!$K$36*(1+Annahmen!$B$20*D534/1000),0)</f>
        <v>1155</v>
      </c>
      <c r="L534" s="15" t="n">
        <f aca="false">ROUND(Annahmen!$K$37*(1+Annahmen!$B$20*D534/1000),0)</f>
        <v>1181</v>
      </c>
      <c r="M534" s="15" t="n">
        <f aca="false">ROUND(Annahmen!$K$38*(1+Annahmen!$B$20*D534/1000),0)</f>
        <v>1181</v>
      </c>
      <c r="N534" s="16" t="s">
        <v>102</v>
      </c>
    </row>
    <row r="535" customFormat="false" ht="15" hidden="false" customHeight="false" outlineLevel="0" collapsed="false">
      <c r="A535" s="13" t="s">
        <v>1151</v>
      </c>
      <c r="B535" s="14" t="s">
        <v>1152</v>
      </c>
      <c r="C535" s="15" t="n">
        <v>700</v>
      </c>
      <c r="D535" s="15" t="n">
        <v>980</v>
      </c>
      <c r="E535" s="13" t="s">
        <v>82</v>
      </c>
      <c r="F535" s="15" t="str">
        <f aca="false">IF(C535&gt;=J535,"ja","nein")</f>
        <v>nein</v>
      </c>
      <c r="G535" s="15" t="str">
        <f aca="false">IF(C535&gt;=K535,"ja","nein")</f>
        <v>nein</v>
      </c>
      <c r="H535" s="15" t="str">
        <f aca="false">IF(C535&gt;=L535,"ja","nein")</f>
        <v>nein</v>
      </c>
      <c r="I535" s="15" t="str">
        <f aca="false">IF(C535&gt;=M535,"ja","nein")</f>
        <v>nein</v>
      </c>
      <c r="J535" s="15" t="n">
        <f aca="false">ROUND(Annahmen!$K$35*(1+Annahmen!$B$20*D535/1000),0)</f>
        <v>914</v>
      </c>
      <c r="K535" s="15" t="n">
        <f aca="false">ROUND(Annahmen!$K$36*(1+Annahmen!$B$20*D535/1000),0)</f>
        <v>1187</v>
      </c>
      <c r="L535" s="15" t="n">
        <f aca="false">ROUND(Annahmen!$K$37*(1+Annahmen!$B$20*D535/1000),0)</f>
        <v>1213</v>
      </c>
      <c r="M535" s="15" t="n">
        <f aca="false">ROUND(Annahmen!$K$38*(1+Annahmen!$B$20*D535/1000),0)</f>
        <v>1213</v>
      </c>
      <c r="N535" s="16" t="s">
        <v>102</v>
      </c>
    </row>
    <row r="536" customFormat="false" ht="15" hidden="false" customHeight="false" outlineLevel="0" collapsed="false">
      <c r="A536" s="13" t="s">
        <v>1153</v>
      </c>
      <c r="B536" s="14" t="s">
        <v>1154</v>
      </c>
      <c r="C536" s="15" t="n">
        <v>700</v>
      </c>
      <c r="D536" s="15" t="n">
        <v>180</v>
      </c>
      <c r="E536" s="13" t="s">
        <v>82</v>
      </c>
      <c r="F536" s="15" t="str">
        <f aca="false">IF(C536&gt;=J536,"ja","nein")</f>
        <v>nein</v>
      </c>
      <c r="G536" s="15" t="str">
        <f aca="false">IF(C536&gt;=K536,"ja","nein")</f>
        <v>nein</v>
      </c>
      <c r="H536" s="15" t="str">
        <f aca="false">IF(C536&gt;=L536,"ja","nein")</f>
        <v>nein</v>
      </c>
      <c r="I536" s="15" t="str">
        <f aca="false">IF(C536&gt;=M536,"ja","nein")</f>
        <v>nein</v>
      </c>
      <c r="J536" s="15" t="n">
        <f aca="false">ROUND(Annahmen!$K$35*(1+Annahmen!$B$20*D536/1000),0)</f>
        <v>854</v>
      </c>
      <c r="K536" s="15" t="n">
        <f aca="false">ROUND(Annahmen!$K$36*(1+Annahmen!$B$20*D536/1000),0)</f>
        <v>1109</v>
      </c>
      <c r="L536" s="15" t="n">
        <f aca="false">ROUND(Annahmen!$K$37*(1+Annahmen!$B$20*D536/1000),0)</f>
        <v>1133</v>
      </c>
      <c r="M536" s="15" t="n">
        <f aca="false">ROUND(Annahmen!$K$38*(1+Annahmen!$B$20*D536/1000),0)</f>
        <v>1133</v>
      </c>
      <c r="N536" s="16" t="s">
        <v>102</v>
      </c>
    </row>
    <row r="537" customFormat="false" ht="15" hidden="false" customHeight="false" outlineLevel="0" collapsed="false">
      <c r="A537" s="13" t="s">
        <v>1155</v>
      </c>
      <c r="B537" s="14" t="s">
        <v>1156</v>
      </c>
      <c r="C537" s="15" t="n">
        <v>700</v>
      </c>
      <c r="D537" s="15" t="n">
        <v>299</v>
      </c>
      <c r="E537" s="13" t="s">
        <v>82</v>
      </c>
      <c r="F537" s="15" t="str">
        <f aca="false">IF(C537&gt;=J537,"ja","nein")</f>
        <v>nein</v>
      </c>
      <c r="G537" s="15" t="str">
        <f aca="false">IF(C537&gt;=K537,"ja","nein")</f>
        <v>nein</v>
      </c>
      <c r="H537" s="15" t="str">
        <f aca="false">IF(C537&gt;=L537,"ja","nein")</f>
        <v>nein</v>
      </c>
      <c r="I537" s="15" t="str">
        <f aca="false">IF(C537&gt;=M537,"ja","nein")</f>
        <v>nein</v>
      </c>
      <c r="J537" s="15" t="n">
        <f aca="false">ROUND(Annahmen!$K$35*(1+Annahmen!$B$20*D537/1000),0)</f>
        <v>863</v>
      </c>
      <c r="K537" s="15" t="n">
        <f aca="false">ROUND(Annahmen!$K$36*(1+Annahmen!$B$20*D537/1000),0)</f>
        <v>1120</v>
      </c>
      <c r="L537" s="15" t="n">
        <f aca="false">ROUND(Annahmen!$K$37*(1+Annahmen!$B$20*D537/1000),0)</f>
        <v>1145</v>
      </c>
      <c r="M537" s="15" t="n">
        <f aca="false">ROUND(Annahmen!$K$38*(1+Annahmen!$B$20*D537/1000),0)</f>
        <v>1145</v>
      </c>
      <c r="N537" s="16" t="s">
        <v>102</v>
      </c>
    </row>
    <row r="538" customFormat="false" ht="15" hidden="false" customHeight="false" outlineLevel="0" collapsed="false">
      <c r="A538" s="13" t="s">
        <v>1157</v>
      </c>
      <c r="B538" s="14" t="s">
        <v>1158</v>
      </c>
      <c r="C538" s="15" t="n">
        <v>700</v>
      </c>
      <c r="D538" s="15" t="n">
        <v>359</v>
      </c>
      <c r="E538" s="13" t="s">
        <v>82</v>
      </c>
      <c r="F538" s="15" t="str">
        <f aca="false">IF(C538&gt;=J538,"ja","nein")</f>
        <v>nein</v>
      </c>
      <c r="G538" s="15" t="str">
        <f aca="false">IF(C538&gt;=K538,"ja","nein")</f>
        <v>nein</v>
      </c>
      <c r="H538" s="15" t="str">
        <f aca="false">IF(C538&gt;=L538,"ja","nein")</f>
        <v>nein</v>
      </c>
      <c r="I538" s="15" t="str">
        <f aca="false">IF(C538&gt;=M538,"ja","nein")</f>
        <v>nein</v>
      </c>
      <c r="J538" s="15" t="n">
        <f aca="false">ROUND(Annahmen!$K$35*(1+Annahmen!$B$20*D538/1000),0)</f>
        <v>867</v>
      </c>
      <c r="K538" s="15" t="n">
        <f aca="false">ROUND(Annahmen!$K$36*(1+Annahmen!$B$20*D538/1000),0)</f>
        <v>1126</v>
      </c>
      <c r="L538" s="15" t="n">
        <f aca="false">ROUND(Annahmen!$K$37*(1+Annahmen!$B$20*D538/1000),0)</f>
        <v>1151</v>
      </c>
      <c r="M538" s="15" t="n">
        <f aca="false">ROUND(Annahmen!$K$38*(1+Annahmen!$B$20*D538/1000),0)</f>
        <v>1151</v>
      </c>
      <c r="N538" s="16" t="s">
        <v>102</v>
      </c>
    </row>
    <row r="539" customFormat="false" ht="15" hidden="false" customHeight="false" outlineLevel="0" collapsed="false">
      <c r="A539" s="13" t="s">
        <v>1159</v>
      </c>
      <c r="B539" s="14" t="s">
        <v>1160</v>
      </c>
      <c r="C539" s="15" t="n">
        <v>700</v>
      </c>
      <c r="D539" s="15" t="n">
        <v>371</v>
      </c>
      <c r="E539" s="13" t="s">
        <v>82</v>
      </c>
      <c r="F539" s="15" t="str">
        <f aca="false">IF(C539&gt;=J539,"ja","nein")</f>
        <v>nein</v>
      </c>
      <c r="G539" s="15" t="str">
        <f aca="false">IF(C539&gt;=K539,"ja","nein")</f>
        <v>nein</v>
      </c>
      <c r="H539" s="15" t="str">
        <f aca="false">IF(C539&gt;=L539,"ja","nein")</f>
        <v>nein</v>
      </c>
      <c r="I539" s="15" t="str">
        <f aca="false">IF(C539&gt;=M539,"ja","nein")</f>
        <v>nein</v>
      </c>
      <c r="J539" s="15" t="n">
        <f aca="false">ROUND(Annahmen!$K$35*(1+Annahmen!$B$20*D539/1000),0)</f>
        <v>868</v>
      </c>
      <c r="K539" s="15" t="n">
        <f aca="false">ROUND(Annahmen!$K$36*(1+Annahmen!$B$20*D539/1000),0)</f>
        <v>1127</v>
      </c>
      <c r="L539" s="15" t="n">
        <f aca="false">ROUND(Annahmen!$K$37*(1+Annahmen!$B$20*D539/1000),0)</f>
        <v>1152</v>
      </c>
      <c r="M539" s="15" t="n">
        <f aca="false">ROUND(Annahmen!$K$38*(1+Annahmen!$B$20*D539/1000),0)</f>
        <v>1152</v>
      </c>
      <c r="N539" s="16" t="s">
        <v>102</v>
      </c>
    </row>
    <row r="540" customFormat="false" ht="15" hidden="false" customHeight="false" outlineLevel="0" collapsed="false">
      <c r="A540" s="13" t="s">
        <v>1161</v>
      </c>
      <c r="B540" s="14" t="s">
        <v>1162</v>
      </c>
      <c r="C540" s="15" t="n">
        <v>698</v>
      </c>
      <c r="D540" s="15" t="n">
        <v>387</v>
      </c>
      <c r="E540" s="13" t="s">
        <v>82</v>
      </c>
      <c r="F540" s="15" t="str">
        <f aca="false">IF(C540&gt;=J540,"ja","nein")</f>
        <v>nein</v>
      </c>
      <c r="G540" s="15" t="str">
        <f aca="false">IF(C540&gt;=K540,"ja","nein")</f>
        <v>nein</v>
      </c>
      <c r="H540" s="15" t="str">
        <f aca="false">IF(C540&gt;=L540,"ja","nein")</f>
        <v>nein</v>
      </c>
      <c r="I540" s="15" t="str">
        <f aca="false">IF(C540&gt;=M540,"ja","nein")</f>
        <v>nein</v>
      </c>
      <c r="J540" s="15" t="n">
        <f aca="false">ROUND(Annahmen!$K$35*(1+Annahmen!$B$20*D540/1000),0)</f>
        <v>869</v>
      </c>
      <c r="K540" s="15" t="n">
        <f aca="false">ROUND(Annahmen!$K$36*(1+Annahmen!$B$20*D540/1000),0)</f>
        <v>1129</v>
      </c>
      <c r="L540" s="15" t="n">
        <f aca="false">ROUND(Annahmen!$K$37*(1+Annahmen!$B$20*D540/1000),0)</f>
        <v>1154</v>
      </c>
      <c r="M540" s="15" t="n">
        <f aca="false">ROUND(Annahmen!$K$38*(1+Annahmen!$B$20*D540/1000),0)</f>
        <v>1154</v>
      </c>
      <c r="N540" s="16" t="s">
        <v>102</v>
      </c>
    </row>
    <row r="541" customFormat="false" ht="15" hidden="false" customHeight="false" outlineLevel="0" collapsed="false">
      <c r="A541" s="13" t="s">
        <v>1163</v>
      </c>
      <c r="B541" s="14" t="s">
        <v>1164</v>
      </c>
      <c r="C541" s="15" t="n">
        <v>675</v>
      </c>
      <c r="D541" s="15" t="n">
        <v>1207</v>
      </c>
      <c r="E541" s="13" t="s">
        <v>82</v>
      </c>
      <c r="F541" s="15" t="str">
        <f aca="false">IF(C541&gt;=J541,"ja","nein")</f>
        <v>nein</v>
      </c>
      <c r="G541" s="15" t="str">
        <f aca="false">IF(C541&gt;=K541,"ja","nein")</f>
        <v>nein</v>
      </c>
      <c r="H541" s="15" t="str">
        <f aca="false">IF(C541&gt;=L541,"ja","nein")</f>
        <v>nein</v>
      </c>
      <c r="I541" s="15" t="str">
        <f aca="false">IF(C541&gt;=M541,"ja","nein")</f>
        <v>nein</v>
      </c>
      <c r="J541" s="15" t="n">
        <f aca="false">ROUND(Annahmen!$K$35*(1+Annahmen!$B$20*D541/1000),0)</f>
        <v>931</v>
      </c>
      <c r="K541" s="15" t="n">
        <f aca="false">ROUND(Annahmen!$K$36*(1+Annahmen!$B$20*D541/1000),0)</f>
        <v>1210</v>
      </c>
      <c r="L541" s="15" t="n">
        <f aca="false">ROUND(Annahmen!$K$37*(1+Annahmen!$B$20*D541/1000),0)</f>
        <v>1236</v>
      </c>
      <c r="M541" s="15" t="n">
        <f aca="false">ROUND(Annahmen!$K$38*(1+Annahmen!$B$20*D541/1000),0)</f>
        <v>1236</v>
      </c>
      <c r="N541" s="16" t="s">
        <v>102</v>
      </c>
    </row>
    <row r="542" customFormat="false" ht="15" hidden="false" customHeight="false" outlineLevel="0" collapsed="false">
      <c r="A542" s="13" t="s">
        <v>1165</v>
      </c>
      <c r="B542" s="14" t="s">
        <v>1166</v>
      </c>
      <c r="C542" s="15" t="n">
        <v>671</v>
      </c>
      <c r="D542" s="15" t="n">
        <v>1624</v>
      </c>
      <c r="E542" s="13" t="s">
        <v>82</v>
      </c>
      <c r="F542" s="15" t="str">
        <f aca="false">IF(C542&gt;=J542,"ja","nein")</f>
        <v>nein</v>
      </c>
      <c r="G542" s="15" t="str">
        <f aca="false">IF(C542&gt;=K542,"ja","nein")</f>
        <v>nein</v>
      </c>
      <c r="H542" s="15" t="str">
        <f aca="false">IF(C542&gt;=L542,"ja","nein")</f>
        <v>nein</v>
      </c>
      <c r="I542" s="15" t="str">
        <f aca="false">IF(C542&gt;=M542,"ja","nein")</f>
        <v>nein</v>
      </c>
      <c r="J542" s="15" t="n">
        <f aca="false">ROUND(Annahmen!$K$35*(1+Annahmen!$B$20*D542/1000),0)</f>
        <v>963</v>
      </c>
      <c r="K542" s="15" t="n">
        <f aca="false">ROUND(Annahmen!$K$36*(1+Annahmen!$B$20*D542/1000),0)</f>
        <v>1250</v>
      </c>
      <c r="L542" s="15" t="n">
        <f aca="false">ROUND(Annahmen!$K$37*(1+Annahmen!$B$20*D542/1000),0)</f>
        <v>1278</v>
      </c>
      <c r="M542" s="15" t="n">
        <f aca="false">ROUND(Annahmen!$K$38*(1+Annahmen!$B$20*D542/1000),0)</f>
        <v>1278</v>
      </c>
      <c r="N542" s="16" t="s">
        <v>102</v>
      </c>
    </row>
    <row r="543" customFormat="false" ht="15" hidden="false" customHeight="false" outlineLevel="0" collapsed="false">
      <c r="A543" s="13" t="s">
        <v>1167</v>
      </c>
      <c r="B543" s="14" t="s">
        <v>1168</v>
      </c>
      <c r="C543" s="15" t="n">
        <v>660</v>
      </c>
      <c r="D543" s="15" t="n">
        <v>171</v>
      </c>
      <c r="E543" s="13" t="s">
        <v>82</v>
      </c>
      <c r="F543" s="15" t="str">
        <f aca="false">IF(C543&gt;=J543,"ja","nein")</f>
        <v>nein</v>
      </c>
      <c r="G543" s="15" t="str">
        <f aca="false">IF(C543&gt;=K543,"ja","nein")</f>
        <v>nein</v>
      </c>
      <c r="H543" s="15" t="str">
        <f aca="false">IF(C543&gt;=L543,"ja","nein")</f>
        <v>nein</v>
      </c>
      <c r="I543" s="15" t="str">
        <f aca="false">IF(C543&gt;=M543,"ja","nein")</f>
        <v>nein</v>
      </c>
      <c r="J543" s="15" t="n">
        <f aca="false">ROUND(Annahmen!$K$35*(1+Annahmen!$B$20*D543/1000),0)</f>
        <v>853</v>
      </c>
      <c r="K543" s="15" t="n">
        <f aca="false">ROUND(Annahmen!$K$36*(1+Annahmen!$B$20*D543/1000),0)</f>
        <v>1108</v>
      </c>
      <c r="L543" s="15" t="n">
        <f aca="false">ROUND(Annahmen!$K$37*(1+Annahmen!$B$20*D543/1000),0)</f>
        <v>1132</v>
      </c>
      <c r="M543" s="15" t="n">
        <f aca="false">ROUND(Annahmen!$K$38*(1+Annahmen!$B$20*D543/1000),0)</f>
        <v>1132</v>
      </c>
      <c r="N543" s="16" t="s">
        <v>102</v>
      </c>
    </row>
    <row r="544" customFormat="false" ht="15" hidden="false" customHeight="false" outlineLevel="0" collapsed="false">
      <c r="A544" s="13" t="s">
        <v>1169</v>
      </c>
      <c r="B544" s="14" t="s">
        <v>1170</v>
      </c>
      <c r="C544" s="15" t="n">
        <v>630</v>
      </c>
      <c r="D544" s="15" t="n">
        <v>663</v>
      </c>
      <c r="E544" s="13" t="s">
        <v>82</v>
      </c>
      <c r="F544" s="15" t="str">
        <f aca="false">IF(C544&gt;=J544,"ja","nein")</f>
        <v>nein</v>
      </c>
      <c r="G544" s="15" t="str">
        <f aca="false">IF(C544&gt;=K544,"ja","nein")</f>
        <v>nein</v>
      </c>
      <c r="H544" s="15" t="str">
        <f aca="false">IF(C544&gt;=L544,"ja","nein")</f>
        <v>nein</v>
      </c>
      <c r="I544" s="15" t="str">
        <f aca="false">IF(C544&gt;=M544,"ja","nein")</f>
        <v>nein</v>
      </c>
      <c r="J544" s="15" t="n">
        <f aca="false">ROUND(Annahmen!$K$35*(1+Annahmen!$B$20*D544/1000),0)</f>
        <v>890</v>
      </c>
      <c r="K544" s="15" t="n">
        <f aca="false">ROUND(Annahmen!$K$36*(1+Annahmen!$B$20*D544/1000),0)</f>
        <v>1156</v>
      </c>
      <c r="L544" s="15" t="n">
        <f aca="false">ROUND(Annahmen!$K$37*(1+Annahmen!$B$20*D544/1000),0)</f>
        <v>1182</v>
      </c>
      <c r="M544" s="15" t="n">
        <f aca="false">ROUND(Annahmen!$K$38*(1+Annahmen!$B$20*D544/1000),0)</f>
        <v>1182</v>
      </c>
      <c r="N544" s="16" t="s">
        <v>102</v>
      </c>
    </row>
    <row r="545" customFormat="false" ht="15" hidden="false" customHeight="false" outlineLevel="0" collapsed="false">
      <c r="A545" s="13" t="s">
        <v>1171</v>
      </c>
      <c r="B545" s="14" t="s">
        <v>1172</v>
      </c>
      <c r="C545" s="15" t="n">
        <v>603</v>
      </c>
      <c r="D545" s="15" t="n">
        <v>443</v>
      </c>
      <c r="E545" s="13" t="s">
        <v>82</v>
      </c>
      <c r="F545" s="15" t="str">
        <f aca="false">IF(C545&gt;=J545,"ja","nein")</f>
        <v>nein</v>
      </c>
      <c r="G545" s="15" t="str">
        <f aca="false">IF(C545&gt;=K545,"ja","nein")</f>
        <v>nein</v>
      </c>
      <c r="H545" s="15" t="str">
        <f aca="false">IF(C545&gt;=L545,"ja","nein")</f>
        <v>nein</v>
      </c>
      <c r="I545" s="15" t="str">
        <f aca="false">IF(C545&gt;=M545,"ja","nein")</f>
        <v>nein</v>
      </c>
      <c r="J545" s="15" t="n">
        <f aca="false">ROUND(Annahmen!$K$35*(1+Annahmen!$B$20*D545/1000),0)</f>
        <v>873</v>
      </c>
      <c r="K545" s="15" t="n">
        <f aca="false">ROUND(Annahmen!$K$36*(1+Annahmen!$B$20*D545/1000),0)</f>
        <v>1134</v>
      </c>
      <c r="L545" s="15" t="n">
        <f aca="false">ROUND(Annahmen!$K$37*(1+Annahmen!$B$20*D545/1000),0)</f>
        <v>1159</v>
      </c>
      <c r="M545" s="15" t="n">
        <f aca="false">ROUND(Annahmen!$K$38*(1+Annahmen!$B$20*D545/1000),0)</f>
        <v>1159</v>
      </c>
      <c r="N545" s="16" t="s">
        <v>102</v>
      </c>
    </row>
    <row r="546" customFormat="false" ht="15" hidden="false" customHeight="false" outlineLevel="0" collapsed="false">
      <c r="A546" s="13" t="s">
        <v>1173</v>
      </c>
      <c r="B546" s="14" t="s">
        <v>1174</v>
      </c>
      <c r="C546" s="15" t="n">
        <v>600</v>
      </c>
      <c r="D546" s="15" t="n">
        <v>499</v>
      </c>
      <c r="E546" s="13" t="s">
        <v>82</v>
      </c>
      <c r="F546" s="15" t="str">
        <f aca="false">IF(C546&gt;=J546,"ja","nein")</f>
        <v>nein</v>
      </c>
      <c r="G546" s="15" t="str">
        <f aca="false">IF(C546&gt;=K546,"ja","nein")</f>
        <v>nein</v>
      </c>
      <c r="H546" s="15" t="str">
        <f aca="false">IF(C546&gt;=L546,"ja","nein")</f>
        <v>nein</v>
      </c>
      <c r="I546" s="15" t="str">
        <f aca="false">IF(C546&gt;=M546,"ja","nein")</f>
        <v>nein</v>
      </c>
      <c r="J546" s="15" t="n">
        <f aca="false">ROUND(Annahmen!$K$35*(1+Annahmen!$B$20*D546/1000),0)</f>
        <v>878</v>
      </c>
      <c r="K546" s="15" t="n">
        <f aca="false">ROUND(Annahmen!$K$36*(1+Annahmen!$B$20*D546/1000),0)</f>
        <v>1140</v>
      </c>
      <c r="L546" s="15" t="n">
        <f aca="false">ROUND(Annahmen!$K$37*(1+Annahmen!$B$20*D546/1000),0)</f>
        <v>1165</v>
      </c>
      <c r="M546" s="15" t="n">
        <f aca="false">ROUND(Annahmen!$K$38*(1+Annahmen!$B$20*D546/1000),0)</f>
        <v>1165</v>
      </c>
      <c r="N546" s="16" t="s">
        <v>102</v>
      </c>
    </row>
    <row r="547" customFormat="false" ht="15" hidden="false" customHeight="false" outlineLevel="0" collapsed="false">
      <c r="A547" s="13" t="s">
        <v>1175</v>
      </c>
      <c r="B547" s="14" t="s">
        <v>1176</v>
      </c>
      <c r="C547" s="15" t="n">
        <v>597</v>
      </c>
      <c r="D547" s="15" t="n">
        <v>249</v>
      </c>
      <c r="E547" s="13" t="s">
        <v>82</v>
      </c>
      <c r="F547" s="15" t="str">
        <f aca="false">IF(C547&gt;=J547,"ja","nein")</f>
        <v>nein</v>
      </c>
      <c r="G547" s="15" t="str">
        <f aca="false">IF(C547&gt;=K547,"ja","nein")</f>
        <v>nein</v>
      </c>
      <c r="H547" s="15" t="str">
        <f aca="false">IF(C547&gt;=L547,"ja","nein")</f>
        <v>nein</v>
      </c>
      <c r="I547" s="15" t="str">
        <f aca="false">IF(C547&gt;=M547,"ja","nein")</f>
        <v>nein</v>
      </c>
      <c r="J547" s="15" t="n">
        <f aca="false">ROUND(Annahmen!$K$35*(1+Annahmen!$B$20*D547/1000),0)</f>
        <v>859</v>
      </c>
      <c r="K547" s="15" t="n">
        <f aca="false">ROUND(Annahmen!$K$36*(1+Annahmen!$B$20*D547/1000),0)</f>
        <v>1115</v>
      </c>
      <c r="L547" s="15" t="n">
        <f aca="false">ROUND(Annahmen!$K$37*(1+Annahmen!$B$20*D547/1000),0)</f>
        <v>1140</v>
      </c>
      <c r="M547" s="15" t="n">
        <f aca="false">ROUND(Annahmen!$K$38*(1+Annahmen!$B$20*D547/1000),0)</f>
        <v>1140</v>
      </c>
      <c r="N547" s="16" t="s">
        <v>102</v>
      </c>
    </row>
    <row r="548" customFormat="false" ht="15" hidden="false" customHeight="false" outlineLevel="0" collapsed="false">
      <c r="A548" s="13" t="s">
        <v>1177</v>
      </c>
      <c r="B548" s="14" t="s">
        <v>1178</v>
      </c>
      <c r="C548" s="15" t="n">
        <v>548</v>
      </c>
      <c r="D548" s="15" t="n">
        <v>4823</v>
      </c>
      <c r="E548" s="13" t="s">
        <v>82</v>
      </c>
      <c r="F548" s="15" t="str">
        <f aca="false">IF(C548&gt;=J548,"ja","nein")</f>
        <v>nein</v>
      </c>
      <c r="G548" s="15" t="str">
        <f aca="false">IF(C548&gt;=K548,"ja","nein")</f>
        <v>nein</v>
      </c>
      <c r="H548" s="15" t="str">
        <f aca="false">IF(C548&gt;=L548,"ja","nein")</f>
        <v>nein</v>
      </c>
      <c r="I548" s="15" t="str">
        <f aca="false">IF(C548&gt;=M548,"ja","nein")</f>
        <v>nein</v>
      </c>
      <c r="J548" s="15" t="n">
        <f aca="false">ROUND(Annahmen!$K$35*(1+Annahmen!$B$20*D548/1000),0)</f>
        <v>1205</v>
      </c>
      <c r="K548" s="15" t="n">
        <f aca="false">ROUND(Annahmen!$K$36*(1+Annahmen!$B$20*D548/1000),0)</f>
        <v>1565</v>
      </c>
      <c r="L548" s="15" t="n">
        <f aca="false">ROUND(Annahmen!$K$37*(1+Annahmen!$B$20*D548/1000),0)</f>
        <v>1599</v>
      </c>
      <c r="M548" s="15" t="n">
        <f aca="false">ROUND(Annahmen!$K$38*(1+Annahmen!$B$20*D548/1000),0)</f>
        <v>1599</v>
      </c>
      <c r="N548" s="16" t="s">
        <v>102</v>
      </c>
    </row>
    <row r="549" customFormat="false" ht="15" hidden="false" customHeight="false" outlineLevel="0" collapsed="false">
      <c r="A549" s="13" t="s">
        <v>1179</v>
      </c>
      <c r="B549" s="14" t="s">
        <v>1180</v>
      </c>
      <c r="C549" s="15" t="n">
        <v>537</v>
      </c>
      <c r="D549" s="15" t="n">
        <v>6583</v>
      </c>
      <c r="E549" s="13" t="s">
        <v>82</v>
      </c>
      <c r="F549" s="15" t="str">
        <f aca="false">IF(C549&gt;=J549,"ja","nein")</f>
        <v>nein</v>
      </c>
      <c r="G549" s="15" t="str">
        <f aca="false">IF(C549&gt;=K549,"ja","nein")</f>
        <v>nein</v>
      </c>
      <c r="H549" s="15" t="str">
        <f aca="false">IF(C549&gt;=L549,"ja","nein")</f>
        <v>nein</v>
      </c>
      <c r="I549" s="15" t="str">
        <f aca="false">IF(C549&gt;=M549,"ja","nein")</f>
        <v>nein</v>
      </c>
      <c r="J549" s="15" t="n">
        <f aca="false">ROUND(Annahmen!$K$35*(1+Annahmen!$B$20*D549/1000),0)</f>
        <v>1338</v>
      </c>
      <c r="K549" s="15" t="n">
        <f aca="false">ROUND(Annahmen!$K$36*(1+Annahmen!$B$20*D549/1000),0)</f>
        <v>1737</v>
      </c>
      <c r="L549" s="15" t="n">
        <f aca="false">ROUND(Annahmen!$K$37*(1+Annahmen!$B$20*D549/1000),0)</f>
        <v>1776</v>
      </c>
      <c r="M549" s="15" t="n">
        <f aca="false">ROUND(Annahmen!$K$38*(1+Annahmen!$B$20*D549/1000),0)</f>
        <v>1776</v>
      </c>
      <c r="N549" s="16" t="s">
        <v>102</v>
      </c>
    </row>
    <row r="550" customFormat="false" ht="15" hidden="false" customHeight="false" outlineLevel="0" collapsed="false">
      <c r="A550" s="11" t="s">
        <v>1181</v>
      </c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</row>
    <row r="551" customFormat="false" ht="15" hidden="false" customHeight="false" outlineLevel="0" collapsed="false">
      <c r="A551" s="13" t="s">
        <v>1182</v>
      </c>
      <c r="B551" s="14" t="s">
        <v>1183</v>
      </c>
      <c r="C551" s="15" t="n">
        <v>1800</v>
      </c>
      <c r="D551" s="15" t="n">
        <v>280</v>
      </c>
      <c r="E551" s="13" t="s">
        <v>82</v>
      </c>
      <c r="F551" s="15" t="str">
        <f aca="false">IF(C551&gt;=J551,"ja","nein")</f>
        <v>ja</v>
      </c>
      <c r="G551" s="15" t="str">
        <f aca="false">IF(C551&gt;=K551,"ja","nein")</f>
        <v>ja</v>
      </c>
      <c r="H551" s="15" t="str">
        <f aca="false">IF(C551&gt;=L551,"ja","nein")</f>
        <v>ja</v>
      </c>
      <c r="I551" s="15" t="str">
        <f aca="false">IF(C551&gt;=M551,"ja","nein")</f>
        <v>ja</v>
      </c>
      <c r="J551" s="15" t="n">
        <f aca="false">ROUND(Annahmen!$K$35*(1+Annahmen!$B$20*D551/1000),0)</f>
        <v>861</v>
      </c>
      <c r="K551" s="15" t="n">
        <f aca="false">ROUND(Annahmen!$K$36*(1+Annahmen!$B$20*D551/1000),0)</f>
        <v>1118</v>
      </c>
      <c r="L551" s="15" t="n">
        <f aca="false">ROUND(Annahmen!$K$37*(1+Annahmen!$B$20*D551/1000),0)</f>
        <v>1143</v>
      </c>
      <c r="M551" s="15" t="n">
        <f aca="false">ROUND(Annahmen!$K$38*(1+Annahmen!$B$20*D551/1000),0)</f>
        <v>1143</v>
      </c>
      <c r="N551" s="16" t="s">
        <v>83</v>
      </c>
    </row>
    <row r="552" customFormat="false" ht="15" hidden="false" customHeight="false" outlineLevel="0" collapsed="false">
      <c r="A552" s="11" t="s">
        <v>1184</v>
      </c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</row>
    <row r="553" customFormat="false" ht="15" hidden="false" customHeight="false" outlineLevel="0" collapsed="false">
      <c r="A553" s="13" t="s">
        <v>1185</v>
      </c>
      <c r="B553" s="14" t="s">
        <v>1186</v>
      </c>
      <c r="C553" s="15" t="n">
        <v>3661</v>
      </c>
      <c r="D553" s="15" t="n">
        <v>53</v>
      </c>
      <c r="E553" s="13" t="s">
        <v>82</v>
      </c>
      <c r="F553" s="15" t="str">
        <f aca="false">IF(C553&gt;=J553,"ja","nein")</f>
        <v>ja</v>
      </c>
      <c r="G553" s="15" t="str">
        <f aca="false">IF(C553&gt;=K553,"ja","nein")</f>
        <v>ja</v>
      </c>
      <c r="H553" s="15" t="str">
        <f aca="false">IF(C553&gt;=L553,"ja","nein")</f>
        <v>ja</v>
      </c>
      <c r="I553" s="15" t="str">
        <f aca="false">IF(C553&gt;=M553,"ja","nein")</f>
        <v>ja</v>
      </c>
      <c r="J553" s="15" t="n">
        <f aca="false">ROUND(Annahmen!$K$35*(1+Annahmen!$B$20*D553/1000),0)</f>
        <v>844</v>
      </c>
      <c r="K553" s="15" t="n">
        <f aca="false">ROUND(Annahmen!$K$36*(1+Annahmen!$B$20*D553/1000),0)</f>
        <v>1096</v>
      </c>
      <c r="L553" s="15" t="n">
        <f aca="false">ROUND(Annahmen!$K$37*(1+Annahmen!$B$20*D553/1000),0)</f>
        <v>1120</v>
      </c>
      <c r="M553" s="15" t="n">
        <f aca="false">ROUND(Annahmen!$K$38*(1+Annahmen!$B$20*D553/1000),0)</f>
        <v>1120</v>
      </c>
      <c r="N553" s="16" t="s">
        <v>86</v>
      </c>
    </row>
    <row r="554" customFormat="false" ht="15" hidden="false" customHeight="false" outlineLevel="0" collapsed="false">
      <c r="A554" s="13" t="s">
        <v>1187</v>
      </c>
      <c r="B554" s="14" t="s">
        <v>1188</v>
      </c>
      <c r="C554" s="15" t="n">
        <v>3000</v>
      </c>
      <c r="D554" s="15" t="n">
        <v>1624</v>
      </c>
      <c r="E554" s="13" t="s">
        <v>82</v>
      </c>
      <c r="F554" s="15" t="str">
        <f aca="false">IF(C554&gt;=J554,"ja","nein")</f>
        <v>ja</v>
      </c>
      <c r="G554" s="15" t="str">
        <f aca="false">IF(C554&gt;=K554,"ja","nein")</f>
        <v>ja</v>
      </c>
      <c r="H554" s="15" t="str">
        <f aca="false">IF(C554&gt;=L554,"ja","nein")</f>
        <v>ja</v>
      </c>
      <c r="I554" s="15" t="str">
        <f aca="false">IF(C554&gt;=M554,"ja","nein")</f>
        <v>ja</v>
      </c>
      <c r="J554" s="15" t="n">
        <f aca="false">ROUND(Annahmen!$K$35*(1+Annahmen!$B$20*D554/1000),0)</f>
        <v>963</v>
      </c>
      <c r="K554" s="15" t="n">
        <f aca="false">ROUND(Annahmen!$K$36*(1+Annahmen!$B$20*D554/1000),0)</f>
        <v>1250</v>
      </c>
      <c r="L554" s="15" t="n">
        <f aca="false">ROUND(Annahmen!$K$37*(1+Annahmen!$B$20*D554/1000),0)</f>
        <v>1278</v>
      </c>
      <c r="M554" s="15" t="n">
        <f aca="false">ROUND(Annahmen!$K$38*(1+Annahmen!$B$20*D554/1000),0)</f>
        <v>1278</v>
      </c>
      <c r="N554" s="16" t="s">
        <v>83</v>
      </c>
    </row>
    <row r="555" customFormat="false" ht="15" hidden="false" customHeight="false" outlineLevel="0" collapsed="false">
      <c r="A555" s="13" t="s">
        <v>1189</v>
      </c>
      <c r="B555" s="14" t="s">
        <v>1190</v>
      </c>
      <c r="C555" s="15" t="n">
        <v>2500</v>
      </c>
      <c r="D555" s="15" t="n">
        <v>223</v>
      </c>
      <c r="E555" s="13" t="s">
        <v>82</v>
      </c>
      <c r="F555" s="15" t="str">
        <f aca="false">IF(C555&gt;=J555,"ja","nein")</f>
        <v>ja</v>
      </c>
      <c r="G555" s="15" t="str">
        <f aca="false">IF(C555&gt;=K555,"ja","nein")</f>
        <v>ja</v>
      </c>
      <c r="H555" s="15" t="str">
        <f aca="false">IF(C555&gt;=L555,"ja","nein")</f>
        <v>ja</v>
      </c>
      <c r="I555" s="15" t="str">
        <f aca="false">IF(C555&gt;=M555,"ja","nein")</f>
        <v>ja</v>
      </c>
      <c r="J555" s="15" t="n">
        <f aca="false">ROUND(Annahmen!$K$35*(1+Annahmen!$B$20*D555/1000),0)</f>
        <v>857</v>
      </c>
      <c r="K555" s="15" t="n">
        <f aca="false">ROUND(Annahmen!$K$36*(1+Annahmen!$B$20*D555/1000),0)</f>
        <v>1113</v>
      </c>
      <c r="L555" s="15" t="n">
        <f aca="false">ROUND(Annahmen!$K$37*(1+Annahmen!$B$20*D555/1000),0)</f>
        <v>1137</v>
      </c>
      <c r="M555" s="15" t="n">
        <f aca="false">ROUND(Annahmen!$K$38*(1+Annahmen!$B$20*D555/1000),0)</f>
        <v>1137</v>
      </c>
      <c r="N555" s="16" t="s">
        <v>83</v>
      </c>
    </row>
    <row r="556" customFormat="false" ht="15" hidden="false" customHeight="false" outlineLevel="0" collapsed="false">
      <c r="A556" s="13" t="s">
        <v>1191</v>
      </c>
      <c r="B556" s="14" t="s">
        <v>1192</v>
      </c>
      <c r="C556" s="15" t="n">
        <v>2500</v>
      </c>
      <c r="D556" s="15" t="n">
        <v>105</v>
      </c>
      <c r="E556" s="13" t="s">
        <v>82</v>
      </c>
      <c r="F556" s="15" t="str">
        <f aca="false">IF(C556&gt;=J556,"ja","nein")</f>
        <v>ja</v>
      </c>
      <c r="G556" s="15" t="str">
        <f aca="false">IF(C556&gt;=K556,"ja","nein")</f>
        <v>ja</v>
      </c>
      <c r="H556" s="15" t="str">
        <f aca="false">IF(C556&gt;=L556,"ja","nein")</f>
        <v>ja</v>
      </c>
      <c r="I556" s="15" t="str">
        <f aca="false">IF(C556&gt;=M556,"ja","nein")</f>
        <v>ja</v>
      </c>
      <c r="J556" s="15" t="n">
        <f aca="false">ROUND(Annahmen!$K$35*(1+Annahmen!$B$20*D556/1000),0)</f>
        <v>848</v>
      </c>
      <c r="K556" s="15" t="n">
        <f aca="false">ROUND(Annahmen!$K$36*(1+Annahmen!$B$20*D556/1000),0)</f>
        <v>1101</v>
      </c>
      <c r="L556" s="15" t="n">
        <f aca="false">ROUND(Annahmen!$K$37*(1+Annahmen!$B$20*D556/1000),0)</f>
        <v>1126</v>
      </c>
      <c r="M556" s="15" t="n">
        <f aca="false">ROUND(Annahmen!$K$38*(1+Annahmen!$B$20*D556/1000),0)</f>
        <v>1126</v>
      </c>
      <c r="N556" s="16" t="s">
        <v>83</v>
      </c>
    </row>
    <row r="557" customFormat="false" ht="15" hidden="false" customHeight="false" outlineLevel="0" collapsed="false">
      <c r="A557" s="13" t="s">
        <v>1193</v>
      </c>
      <c r="B557" s="14" t="s">
        <v>1194</v>
      </c>
      <c r="C557" s="15" t="n">
        <v>1692</v>
      </c>
      <c r="D557" s="15" t="n">
        <v>1496</v>
      </c>
      <c r="E557" s="13" t="s">
        <v>82</v>
      </c>
      <c r="F557" s="15" t="str">
        <f aca="false">IF(C557&gt;=J557,"ja","nein")</f>
        <v>ja</v>
      </c>
      <c r="G557" s="15" t="str">
        <f aca="false">IF(C557&gt;=K557,"ja","nein")</f>
        <v>ja</v>
      </c>
      <c r="H557" s="15" t="str">
        <f aca="false">IF(C557&gt;=L557,"ja","nein")</f>
        <v>ja</v>
      </c>
      <c r="I557" s="15" t="str">
        <f aca="false">IF(C557&gt;=M557,"ja","nein")</f>
        <v>ja</v>
      </c>
      <c r="J557" s="15" t="n">
        <f aca="false">ROUND(Annahmen!$K$35*(1+Annahmen!$B$20*D557/1000),0)</f>
        <v>953</v>
      </c>
      <c r="K557" s="15" t="n">
        <f aca="false">ROUND(Annahmen!$K$36*(1+Annahmen!$B$20*D557/1000),0)</f>
        <v>1238</v>
      </c>
      <c r="L557" s="15" t="n">
        <f aca="false">ROUND(Annahmen!$K$37*(1+Annahmen!$B$20*D557/1000),0)</f>
        <v>1265</v>
      </c>
      <c r="M557" s="15" t="n">
        <f aca="false">ROUND(Annahmen!$K$38*(1+Annahmen!$B$20*D557/1000),0)</f>
        <v>1265</v>
      </c>
      <c r="N557" s="16" t="s">
        <v>102</v>
      </c>
    </row>
    <row r="558" customFormat="false" ht="15" hidden="false" customHeight="false" outlineLevel="0" collapsed="false">
      <c r="A558" s="13" t="s">
        <v>1195</v>
      </c>
      <c r="B558" s="14" t="s">
        <v>1196</v>
      </c>
      <c r="C558" s="15" t="n">
        <v>1100</v>
      </c>
      <c r="D558" s="15" t="n">
        <v>1784</v>
      </c>
      <c r="E558" s="13" t="s">
        <v>82</v>
      </c>
      <c r="F558" s="15" t="str">
        <f aca="false">IF(C558&gt;=J558,"ja","nein")</f>
        <v>ja</v>
      </c>
      <c r="G558" s="15" t="str">
        <f aca="false">IF(C558&gt;=K558,"ja","nein")</f>
        <v>nein</v>
      </c>
      <c r="H558" s="15" t="str">
        <f aca="false">IF(C558&gt;=L558,"ja","nein")</f>
        <v>nein</v>
      </c>
      <c r="I558" s="15" t="str">
        <f aca="false">IF(C558&gt;=M558,"ja","nein")</f>
        <v>nein</v>
      </c>
      <c r="J558" s="15" t="n">
        <f aca="false">ROUND(Annahmen!$K$35*(1+Annahmen!$B$20*D558/1000),0)</f>
        <v>975</v>
      </c>
      <c r="K558" s="15" t="n">
        <f aca="false">ROUND(Annahmen!$K$36*(1+Annahmen!$B$20*D558/1000),0)</f>
        <v>1266</v>
      </c>
      <c r="L558" s="15" t="n">
        <f aca="false">ROUND(Annahmen!$K$37*(1+Annahmen!$B$20*D558/1000),0)</f>
        <v>1294</v>
      </c>
      <c r="M558" s="15" t="n">
        <f aca="false">ROUND(Annahmen!$K$38*(1+Annahmen!$B$20*D558/1000),0)</f>
        <v>1294</v>
      </c>
      <c r="N558" s="16" t="s">
        <v>86</v>
      </c>
    </row>
    <row r="559" customFormat="false" ht="15" hidden="false" customHeight="false" outlineLevel="0" collapsed="false">
      <c r="A559" s="11" t="s">
        <v>1197</v>
      </c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</row>
    <row r="560" customFormat="false" ht="15" hidden="false" customHeight="false" outlineLevel="0" collapsed="false">
      <c r="A560" s="13" t="s">
        <v>1198</v>
      </c>
      <c r="B560" s="14" t="s">
        <v>1199</v>
      </c>
      <c r="C560" s="15" t="n">
        <v>1829</v>
      </c>
      <c r="D560" s="15" t="n">
        <v>12</v>
      </c>
      <c r="E560" s="13" t="s">
        <v>82</v>
      </c>
      <c r="F560" s="15" t="str">
        <f aca="false">IF(C560&gt;=J560,"ja","nein")</f>
        <v>ja</v>
      </c>
      <c r="G560" s="15" t="str">
        <f aca="false">IF(C560&gt;=K560,"ja","nein")</f>
        <v>ja</v>
      </c>
      <c r="H560" s="15" t="str">
        <f aca="false">IF(C560&gt;=L560,"ja","nein")</f>
        <v>ja</v>
      </c>
      <c r="I560" s="15" t="str">
        <f aca="false">IF(C560&gt;=M560,"ja","nein")</f>
        <v>ja</v>
      </c>
      <c r="J560" s="15" t="n">
        <f aca="false">ROUND(Annahmen!$K$35*(1+Annahmen!$B$20*D560/1000),0)</f>
        <v>841</v>
      </c>
      <c r="K560" s="15" t="n">
        <f aca="false">ROUND(Annahmen!$K$36*(1+Annahmen!$B$20*D560/1000),0)</f>
        <v>1092</v>
      </c>
      <c r="L560" s="15" t="n">
        <f aca="false">ROUND(Annahmen!$K$37*(1+Annahmen!$B$20*D560/1000),0)</f>
        <v>1116</v>
      </c>
      <c r="M560" s="15" t="n">
        <f aca="false">ROUND(Annahmen!$K$38*(1+Annahmen!$B$20*D560/1000),0)</f>
        <v>1116</v>
      </c>
      <c r="N560" s="16" t="s">
        <v>83</v>
      </c>
    </row>
    <row r="561" customFormat="false" ht="15" hidden="false" customHeight="false" outlineLevel="0" collapsed="false">
      <c r="A561" s="11" t="s">
        <v>1200</v>
      </c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</row>
    <row r="562" customFormat="false" ht="15" hidden="false" customHeight="false" outlineLevel="0" collapsed="false">
      <c r="A562" s="13" t="s">
        <v>1201</v>
      </c>
      <c r="B562" s="14" t="s">
        <v>1202</v>
      </c>
      <c r="C562" s="15" t="n">
        <v>4000</v>
      </c>
      <c r="D562" s="15" t="n">
        <v>308</v>
      </c>
      <c r="E562" s="13" t="s">
        <v>82</v>
      </c>
      <c r="F562" s="15" t="str">
        <f aca="false">IF(C562&gt;=J562,"ja","nein")</f>
        <v>ja</v>
      </c>
      <c r="G562" s="15" t="str">
        <f aca="false">IF(C562&gt;=K562,"ja","nein")</f>
        <v>ja</v>
      </c>
      <c r="H562" s="15" t="str">
        <f aca="false">IF(C562&gt;=L562,"ja","nein")</f>
        <v>ja</v>
      </c>
      <c r="I562" s="15" t="str">
        <f aca="false">IF(C562&gt;=M562,"ja","nein")</f>
        <v>ja</v>
      </c>
      <c r="J562" s="15" t="n">
        <f aca="false">ROUND(Annahmen!$K$35*(1+Annahmen!$B$20*D562/1000),0)</f>
        <v>863</v>
      </c>
      <c r="K562" s="15" t="n">
        <f aca="false">ROUND(Annahmen!$K$36*(1+Annahmen!$B$20*D562/1000),0)</f>
        <v>1121</v>
      </c>
      <c r="L562" s="15" t="n">
        <f aca="false">ROUND(Annahmen!$K$37*(1+Annahmen!$B$20*D562/1000),0)</f>
        <v>1146</v>
      </c>
      <c r="M562" s="15" t="n">
        <f aca="false">ROUND(Annahmen!$K$38*(1+Annahmen!$B$20*D562/1000),0)</f>
        <v>1146</v>
      </c>
      <c r="N562" s="16" t="s">
        <v>83</v>
      </c>
    </row>
    <row r="563" customFormat="false" ht="15" hidden="false" customHeight="false" outlineLevel="0" collapsed="false">
      <c r="A563" s="13" t="s">
        <v>1203</v>
      </c>
      <c r="B563" s="14" t="s">
        <v>1204</v>
      </c>
      <c r="C563" s="15" t="n">
        <v>3440</v>
      </c>
      <c r="D563" s="15" t="n">
        <v>22</v>
      </c>
      <c r="E563" s="13" t="s">
        <v>82</v>
      </c>
      <c r="F563" s="15" t="str">
        <f aca="false">IF(C563&gt;=J563,"ja","nein")</f>
        <v>ja</v>
      </c>
      <c r="G563" s="15" t="str">
        <f aca="false">IF(C563&gt;=K563,"ja","nein")</f>
        <v>ja</v>
      </c>
      <c r="H563" s="15" t="str">
        <f aca="false">IF(C563&gt;=L563,"ja","nein")</f>
        <v>ja</v>
      </c>
      <c r="I563" s="15" t="str">
        <f aca="false">IF(C563&gt;=M563,"ja","nein")</f>
        <v>ja</v>
      </c>
      <c r="J563" s="15" t="n">
        <f aca="false">ROUND(Annahmen!$K$35*(1+Annahmen!$B$20*D563/1000),0)</f>
        <v>842</v>
      </c>
      <c r="K563" s="15" t="n">
        <f aca="false">ROUND(Annahmen!$K$36*(1+Annahmen!$B$20*D563/1000),0)</f>
        <v>1093</v>
      </c>
      <c r="L563" s="15" t="n">
        <f aca="false">ROUND(Annahmen!$K$37*(1+Annahmen!$B$20*D563/1000),0)</f>
        <v>1117</v>
      </c>
      <c r="M563" s="15" t="n">
        <f aca="false">ROUND(Annahmen!$K$38*(1+Annahmen!$B$20*D563/1000),0)</f>
        <v>1117</v>
      </c>
      <c r="N563" s="16" t="s">
        <v>83</v>
      </c>
    </row>
    <row r="564" customFormat="false" ht="15" hidden="false" customHeight="false" outlineLevel="0" collapsed="false">
      <c r="A564" s="13" t="s">
        <v>1205</v>
      </c>
      <c r="B564" s="14" t="s">
        <v>1206</v>
      </c>
      <c r="C564" s="15" t="n">
        <v>3352</v>
      </c>
      <c r="D564" s="15" t="n">
        <v>46</v>
      </c>
      <c r="E564" s="13" t="s">
        <v>82</v>
      </c>
      <c r="F564" s="15" t="str">
        <f aca="false">IF(C564&gt;=J564,"ja","nein")</f>
        <v>ja</v>
      </c>
      <c r="G564" s="15" t="str">
        <f aca="false">IF(C564&gt;=K564,"ja","nein")</f>
        <v>ja</v>
      </c>
      <c r="H564" s="15" t="str">
        <f aca="false">IF(C564&gt;=L564,"ja","nein")</f>
        <v>ja</v>
      </c>
      <c r="I564" s="15" t="str">
        <f aca="false">IF(C564&gt;=M564,"ja","nein")</f>
        <v>ja</v>
      </c>
      <c r="J564" s="15" t="n">
        <f aca="false">ROUND(Annahmen!$K$35*(1+Annahmen!$B$20*D564/1000),0)</f>
        <v>843</v>
      </c>
      <c r="K564" s="15" t="n">
        <f aca="false">ROUND(Annahmen!$K$36*(1+Annahmen!$B$20*D564/1000),0)</f>
        <v>1096</v>
      </c>
      <c r="L564" s="15" t="n">
        <f aca="false">ROUND(Annahmen!$K$37*(1+Annahmen!$B$20*D564/1000),0)</f>
        <v>1120</v>
      </c>
      <c r="M564" s="15" t="n">
        <f aca="false">ROUND(Annahmen!$K$38*(1+Annahmen!$B$20*D564/1000),0)</f>
        <v>1120</v>
      </c>
      <c r="N564" s="16" t="s">
        <v>86</v>
      </c>
    </row>
    <row r="565" customFormat="false" ht="15" hidden="false" customHeight="false" outlineLevel="0" collapsed="false">
      <c r="A565" s="13" t="s">
        <v>1207</v>
      </c>
      <c r="B565" s="14" t="s">
        <v>1208</v>
      </c>
      <c r="C565" s="15" t="n">
        <v>3347</v>
      </c>
      <c r="D565" s="15" t="n">
        <v>490</v>
      </c>
      <c r="E565" s="13" t="s">
        <v>82</v>
      </c>
      <c r="F565" s="15" t="str">
        <f aca="false">IF(C565&gt;=J565,"ja","nein")</f>
        <v>ja</v>
      </c>
      <c r="G565" s="15" t="str">
        <f aca="false">IF(C565&gt;=K565,"ja","nein")</f>
        <v>ja</v>
      </c>
      <c r="H565" s="15" t="str">
        <f aca="false">IF(C565&gt;=L565,"ja","nein")</f>
        <v>ja</v>
      </c>
      <c r="I565" s="15" t="str">
        <f aca="false">IF(C565&gt;=M565,"ja","nein")</f>
        <v>ja</v>
      </c>
      <c r="J565" s="15" t="n">
        <f aca="false">ROUND(Annahmen!$K$35*(1+Annahmen!$B$20*D565/1000),0)</f>
        <v>877</v>
      </c>
      <c r="K565" s="15" t="n">
        <f aca="false">ROUND(Annahmen!$K$36*(1+Annahmen!$B$20*D565/1000),0)</f>
        <v>1139</v>
      </c>
      <c r="L565" s="15" t="n">
        <f aca="false">ROUND(Annahmen!$K$37*(1+Annahmen!$B$20*D565/1000),0)</f>
        <v>1164</v>
      </c>
      <c r="M565" s="15" t="n">
        <f aca="false">ROUND(Annahmen!$K$38*(1+Annahmen!$B$20*D565/1000),0)</f>
        <v>1164</v>
      </c>
      <c r="N565" s="16" t="s">
        <v>83</v>
      </c>
    </row>
    <row r="566" customFormat="false" ht="15" hidden="false" customHeight="false" outlineLevel="0" collapsed="false">
      <c r="A566" s="13" t="s">
        <v>1209</v>
      </c>
      <c r="B566" s="14" t="s">
        <v>1210</v>
      </c>
      <c r="C566" s="15" t="n">
        <v>3306</v>
      </c>
      <c r="D566" s="15" t="n">
        <v>17</v>
      </c>
      <c r="E566" s="13" t="s">
        <v>82</v>
      </c>
      <c r="F566" s="15" t="str">
        <f aca="false">IF(C566&gt;=J566,"ja","nein")</f>
        <v>ja</v>
      </c>
      <c r="G566" s="15" t="str">
        <f aca="false">IF(C566&gt;=K566,"ja","nein")</f>
        <v>ja</v>
      </c>
      <c r="H566" s="15" t="str">
        <f aca="false">IF(C566&gt;=L566,"ja","nein")</f>
        <v>ja</v>
      </c>
      <c r="I566" s="15" t="str">
        <f aca="false">IF(C566&gt;=M566,"ja","nein")</f>
        <v>ja</v>
      </c>
      <c r="J566" s="15" t="n">
        <f aca="false">ROUND(Annahmen!$K$35*(1+Annahmen!$B$20*D566/1000),0)</f>
        <v>841</v>
      </c>
      <c r="K566" s="15" t="n">
        <f aca="false">ROUND(Annahmen!$K$36*(1+Annahmen!$B$20*D566/1000),0)</f>
        <v>1093</v>
      </c>
      <c r="L566" s="15" t="n">
        <f aca="false">ROUND(Annahmen!$K$37*(1+Annahmen!$B$20*D566/1000),0)</f>
        <v>1117</v>
      </c>
      <c r="M566" s="15" t="n">
        <f aca="false">ROUND(Annahmen!$K$38*(1+Annahmen!$B$20*D566/1000),0)</f>
        <v>1117</v>
      </c>
      <c r="N566" s="16" t="s">
        <v>83</v>
      </c>
    </row>
    <row r="567" customFormat="false" ht="15" hidden="false" customHeight="false" outlineLevel="0" collapsed="false">
      <c r="A567" s="13" t="s">
        <v>1211</v>
      </c>
      <c r="B567" s="14" t="s">
        <v>1212</v>
      </c>
      <c r="C567" s="15" t="n">
        <v>3016</v>
      </c>
      <c r="D567" s="15" t="n">
        <v>14</v>
      </c>
      <c r="E567" s="13" t="s">
        <v>82</v>
      </c>
      <c r="F567" s="15" t="str">
        <f aca="false">IF(C567&gt;=J567,"ja","nein")</f>
        <v>ja</v>
      </c>
      <c r="G567" s="15" t="str">
        <f aca="false">IF(C567&gt;=K567,"ja","nein")</f>
        <v>ja</v>
      </c>
      <c r="H567" s="15" t="str">
        <f aca="false">IF(C567&gt;=L567,"ja","nein")</f>
        <v>ja</v>
      </c>
      <c r="I567" s="15" t="str">
        <f aca="false">IF(C567&gt;=M567,"ja","nein")</f>
        <v>ja</v>
      </c>
      <c r="J567" s="15" t="n">
        <f aca="false">ROUND(Annahmen!$K$35*(1+Annahmen!$B$20*D567/1000),0)</f>
        <v>841</v>
      </c>
      <c r="K567" s="15" t="n">
        <f aca="false">ROUND(Annahmen!$K$36*(1+Annahmen!$B$20*D567/1000),0)</f>
        <v>1092</v>
      </c>
      <c r="L567" s="15" t="n">
        <f aca="false">ROUND(Annahmen!$K$37*(1+Annahmen!$B$20*D567/1000),0)</f>
        <v>1116</v>
      </c>
      <c r="M567" s="15" t="n">
        <f aca="false">ROUND(Annahmen!$K$38*(1+Annahmen!$B$20*D567/1000),0)</f>
        <v>1116</v>
      </c>
      <c r="N567" s="16" t="s">
        <v>102</v>
      </c>
    </row>
    <row r="568" customFormat="false" ht="15" hidden="false" customHeight="false" outlineLevel="0" collapsed="false">
      <c r="A568" s="13" t="s">
        <v>1213</v>
      </c>
      <c r="B568" s="14" t="s">
        <v>1214</v>
      </c>
      <c r="C568" s="15" t="n">
        <v>3002</v>
      </c>
      <c r="D568" s="15" t="n">
        <v>44</v>
      </c>
      <c r="E568" s="13" t="s">
        <v>82</v>
      </c>
      <c r="F568" s="15" t="str">
        <f aca="false">IF(C568&gt;=J568,"ja","nein")</f>
        <v>ja</v>
      </c>
      <c r="G568" s="15" t="str">
        <f aca="false">IF(C568&gt;=K568,"ja","nein")</f>
        <v>ja</v>
      </c>
      <c r="H568" s="15" t="str">
        <f aca="false">IF(C568&gt;=L568,"ja","nein")</f>
        <v>ja</v>
      </c>
      <c r="I568" s="15" t="str">
        <f aca="false">IF(C568&gt;=M568,"ja","nein")</f>
        <v>ja</v>
      </c>
      <c r="J568" s="15" t="n">
        <f aca="false">ROUND(Annahmen!$K$35*(1+Annahmen!$B$20*D568/1000),0)</f>
        <v>843</v>
      </c>
      <c r="K568" s="15" t="n">
        <f aca="false">ROUND(Annahmen!$K$36*(1+Annahmen!$B$20*D568/1000),0)</f>
        <v>1095</v>
      </c>
      <c r="L568" s="15" t="n">
        <f aca="false">ROUND(Annahmen!$K$37*(1+Annahmen!$B$20*D568/1000),0)</f>
        <v>1119</v>
      </c>
      <c r="M568" s="15" t="n">
        <f aca="false">ROUND(Annahmen!$K$38*(1+Annahmen!$B$20*D568/1000),0)</f>
        <v>1119</v>
      </c>
      <c r="N568" s="16" t="s">
        <v>102</v>
      </c>
    </row>
    <row r="569" customFormat="false" ht="15" hidden="false" customHeight="false" outlineLevel="0" collapsed="false">
      <c r="A569" s="13" t="s">
        <v>1215</v>
      </c>
      <c r="B569" s="14" t="s">
        <v>1216</v>
      </c>
      <c r="C569" s="15" t="n">
        <v>3000</v>
      </c>
      <c r="D569" s="15" t="n">
        <v>26</v>
      </c>
      <c r="E569" s="13" t="s">
        <v>82</v>
      </c>
      <c r="F569" s="15" t="str">
        <f aca="false">IF(C569&gt;=J569,"ja","nein")</f>
        <v>ja</v>
      </c>
      <c r="G569" s="15" t="str">
        <f aca="false">IF(C569&gt;=K569,"ja","nein")</f>
        <v>ja</v>
      </c>
      <c r="H569" s="15" t="str">
        <f aca="false">IF(C569&gt;=L569,"ja","nein")</f>
        <v>ja</v>
      </c>
      <c r="I569" s="15" t="str">
        <f aca="false">IF(C569&gt;=M569,"ja","nein")</f>
        <v>ja</v>
      </c>
      <c r="J569" s="15" t="n">
        <f aca="false">ROUND(Annahmen!$K$35*(1+Annahmen!$B$20*D569/1000),0)</f>
        <v>842</v>
      </c>
      <c r="K569" s="15" t="n">
        <f aca="false">ROUND(Annahmen!$K$36*(1+Annahmen!$B$20*D569/1000),0)</f>
        <v>1094</v>
      </c>
      <c r="L569" s="15" t="n">
        <f aca="false">ROUND(Annahmen!$K$37*(1+Annahmen!$B$20*D569/1000),0)</f>
        <v>1118</v>
      </c>
      <c r="M569" s="15" t="n">
        <f aca="false">ROUND(Annahmen!$K$38*(1+Annahmen!$B$20*D569/1000),0)</f>
        <v>1118</v>
      </c>
      <c r="N569" s="16" t="s">
        <v>86</v>
      </c>
    </row>
    <row r="570" customFormat="false" ht="15" hidden="false" customHeight="false" outlineLevel="0" collapsed="false">
      <c r="A570" s="13" t="s">
        <v>1217</v>
      </c>
      <c r="B570" s="14" t="s">
        <v>1218</v>
      </c>
      <c r="C570" s="15" t="n">
        <v>3000</v>
      </c>
      <c r="D570" s="15" t="n">
        <v>18</v>
      </c>
      <c r="E570" s="13" t="s">
        <v>82</v>
      </c>
      <c r="F570" s="15" t="str">
        <f aca="false">IF(C570&gt;=J570,"ja","nein")</f>
        <v>ja</v>
      </c>
      <c r="G570" s="15" t="str">
        <f aca="false">IF(C570&gt;=K570,"ja","nein")</f>
        <v>ja</v>
      </c>
      <c r="H570" s="15" t="str">
        <f aca="false">IF(C570&gt;=L570,"ja","nein")</f>
        <v>ja</v>
      </c>
      <c r="I570" s="15" t="str">
        <f aca="false">IF(C570&gt;=M570,"ja","nein")</f>
        <v>ja</v>
      </c>
      <c r="J570" s="15" t="n">
        <f aca="false">ROUND(Annahmen!$K$35*(1+Annahmen!$B$20*D570/1000),0)</f>
        <v>841</v>
      </c>
      <c r="K570" s="15" t="n">
        <f aca="false">ROUND(Annahmen!$K$36*(1+Annahmen!$B$20*D570/1000),0)</f>
        <v>1093</v>
      </c>
      <c r="L570" s="15" t="n">
        <f aca="false">ROUND(Annahmen!$K$37*(1+Annahmen!$B$20*D570/1000),0)</f>
        <v>1117</v>
      </c>
      <c r="M570" s="15" t="n">
        <f aca="false">ROUND(Annahmen!$K$38*(1+Annahmen!$B$20*D570/1000),0)</f>
        <v>1117</v>
      </c>
      <c r="N570" s="16" t="s">
        <v>83</v>
      </c>
    </row>
    <row r="571" customFormat="false" ht="15" hidden="false" customHeight="false" outlineLevel="0" collapsed="false">
      <c r="A571" s="13" t="s">
        <v>1219</v>
      </c>
      <c r="B571" s="14" t="s">
        <v>1220</v>
      </c>
      <c r="C571" s="15" t="n">
        <v>2871</v>
      </c>
      <c r="D571" s="15" t="n">
        <v>11</v>
      </c>
      <c r="E571" s="13" t="s">
        <v>82</v>
      </c>
      <c r="F571" s="15" t="str">
        <f aca="false">IF(C571&gt;=J571,"ja","nein")</f>
        <v>ja</v>
      </c>
      <c r="G571" s="15" t="str">
        <f aca="false">IF(C571&gt;=K571,"ja","nein")</f>
        <v>ja</v>
      </c>
      <c r="H571" s="15" t="str">
        <f aca="false">IF(C571&gt;=L571,"ja","nein")</f>
        <v>ja</v>
      </c>
      <c r="I571" s="15" t="str">
        <f aca="false">IF(C571&gt;=M571,"ja","nein")</f>
        <v>ja</v>
      </c>
      <c r="J571" s="15" t="n">
        <f aca="false">ROUND(Annahmen!$K$35*(1+Annahmen!$B$20*D571/1000),0)</f>
        <v>841</v>
      </c>
      <c r="K571" s="15" t="n">
        <f aca="false">ROUND(Annahmen!$K$36*(1+Annahmen!$B$20*D571/1000),0)</f>
        <v>1092</v>
      </c>
      <c r="L571" s="15" t="n">
        <f aca="false">ROUND(Annahmen!$K$37*(1+Annahmen!$B$20*D571/1000),0)</f>
        <v>1116</v>
      </c>
      <c r="M571" s="15" t="n">
        <f aca="false">ROUND(Annahmen!$K$38*(1+Annahmen!$B$20*D571/1000),0)</f>
        <v>1116</v>
      </c>
      <c r="N571" s="16" t="s">
        <v>86</v>
      </c>
    </row>
    <row r="572" customFormat="false" ht="15" hidden="false" customHeight="false" outlineLevel="0" collapsed="false">
      <c r="A572" s="13" t="s">
        <v>1221</v>
      </c>
      <c r="B572" s="14" t="s">
        <v>1222</v>
      </c>
      <c r="C572" s="15" t="n">
        <v>2759</v>
      </c>
      <c r="D572" s="15" t="n">
        <v>83</v>
      </c>
      <c r="E572" s="13" t="s">
        <v>82</v>
      </c>
      <c r="F572" s="15" t="str">
        <f aca="false">IF(C572&gt;=J572,"ja","nein")</f>
        <v>ja</v>
      </c>
      <c r="G572" s="15" t="str">
        <f aca="false">IF(C572&gt;=K572,"ja","nein")</f>
        <v>ja</v>
      </c>
      <c r="H572" s="15" t="str">
        <f aca="false">IF(C572&gt;=L572,"ja","nein")</f>
        <v>ja</v>
      </c>
      <c r="I572" s="15" t="str">
        <f aca="false">IF(C572&gt;=M572,"ja","nein")</f>
        <v>ja</v>
      </c>
      <c r="J572" s="15" t="n">
        <f aca="false">ROUND(Annahmen!$K$35*(1+Annahmen!$B$20*D572/1000),0)</f>
        <v>846</v>
      </c>
      <c r="K572" s="15" t="n">
        <f aca="false">ROUND(Annahmen!$K$36*(1+Annahmen!$B$20*D572/1000),0)</f>
        <v>1099</v>
      </c>
      <c r="L572" s="15" t="n">
        <f aca="false">ROUND(Annahmen!$K$37*(1+Annahmen!$B$20*D572/1000),0)</f>
        <v>1123</v>
      </c>
      <c r="M572" s="15" t="n">
        <f aca="false">ROUND(Annahmen!$K$38*(1+Annahmen!$B$20*D572/1000),0)</f>
        <v>1123</v>
      </c>
      <c r="N572" s="16" t="s">
        <v>86</v>
      </c>
    </row>
    <row r="573" customFormat="false" ht="15" hidden="false" customHeight="false" outlineLevel="0" collapsed="false">
      <c r="A573" s="13" t="s">
        <v>1223</v>
      </c>
      <c r="B573" s="14" t="s">
        <v>1224</v>
      </c>
      <c r="C573" s="15" t="n">
        <v>2714</v>
      </c>
      <c r="D573" s="15" t="n">
        <v>115</v>
      </c>
      <c r="E573" s="13" t="s">
        <v>82</v>
      </c>
      <c r="F573" s="15" t="str">
        <f aca="false">IF(C573&gt;=J573,"ja","nein")</f>
        <v>ja</v>
      </c>
      <c r="G573" s="15" t="str">
        <f aca="false">IF(C573&gt;=K573,"ja","nein")</f>
        <v>ja</v>
      </c>
      <c r="H573" s="15" t="str">
        <f aca="false">IF(C573&gt;=L573,"ja","nein")</f>
        <v>ja</v>
      </c>
      <c r="I573" s="15" t="str">
        <f aca="false">IF(C573&gt;=M573,"ja","nein")</f>
        <v>ja</v>
      </c>
      <c r="J573" s="15" t="n">
        <f aca="false">ROUND(Annahmen!$K$35*(1+Annahmen!$B$20*D573/1000),0)</f>
        <v>849</v>
      </c>
      <c r="K573" s="15" t="n">
        <f aca="false">ROUND(Annahmen!$K$36*(1+Annahmen!$B$20*D573/1000),0)</f>
        <v>1102</v>
      </c>
      <c r="L573" s="15" t="n">
        <f aca="false">ROUND(Annahmen!$K$37*(1+Annahmen!$B$20*D573/1000),0)</f>
        <v>1127</v>
      </c>
      <c r="M573" s="15" t="n">
        <f aca="false">ROUND(Annahmen!$K$38*(1+Annahmen!$B$20*D573/1000),0)</f>
        <v>1127</v>
      </c>
      <c r="N573" s="16" t="s">
        <v>83</v>
      </c>
    </row>
    <row r="574" customFormat="false" ht="15" hidden="false" customHeight="false" outlineLevel="0" collapsed="false">
      <c r="A574" s="13" t="s">
        <v>1225</v>
      </c>
      <c r="B574" s="14" t="s">
        <v>1226</v>
      </c>
      <c r="C574" s="15" t="n">
        <v>2698</v>
      </c>
      <c r="D574" s="15" t="n">
        <v>2167</v>
      </c>
      <c r="E574" s="13" t="s">
        <v>82</v>
      </c>
      <c r="F574" s="15" t="str">
        <f aca="false">IF(C574&gt;=J574,"ja","nein")</f>
        <v>ja</v>
      </c>
      <c r="G574" s="15" t="str">
        <f aca="false">IF(C574&gt;=K574,"ja","nein")</f>
        <v>ja</v>
      </c>
      <c r="H574" s="15" t="str">
        <f aca="false">IF(C574&gt;=L574,"ja","nein")</f>
        <v>ja</v>
      </c>
      <c r="I574" s="15" t="str">
        <f aca="false">IF(C574&gt;=M574,"ja","nein")</f>
        <v>ja</v>
      </c>
      <c r="J574" s="15" t="n">
        <f aca="false">ROUND(Annahmen!$K$35*(1+Annahmen!$B$20*D574/1000),0)</f>
        <v>1004</v>
      </c>
      <c r="K574" s="15" t="n">
        <f aca="false">ROUND(Annahmen!$K$36*(1+Annahmen!$B$20*D574/1000),0)</f>
        <v>1304</v>
      </c>
      <c r="L574" s="15" t="n">
        <f aca="false">ROUND(Annahmen!$K$37*(1+Annahmen!$B$20*D574/1000),0)</f>
        <v>1332</v>
      </c>
      <c r="M574" s="15" t="n">
        <f aca="false">ROUND(Annahmen!$K$38*(1+Annahmen!$B$20*D574/1000),0)</f>
        <v>1332</v>
      </c>
      <c r="N574" s="16" t="s">
        <v>102</v>
      </c>
    </row>
    <row r="575" customFormat="false" ht="15" hidden="false" customHeight="false" outlineLevel="0" collapsed="false">
      <c r="A575" s="13" t="s">
        <v>1227</v>
      </c>
      <c r="B575" s="14" t="s">
        <v>1228</v>
      </c>
      <c r="C575" s="15" t="n">
        <v>2582</v>
      </c>
      <c r="D575" s="15" t="n">
        <v>24</v>
      </c>
      <c r="E575" s="13" t="s">
        <v>82</v>
      </c>
      <c r="F575" s="15" t="str">
        <f aca="false">IF(C575&gt;=J575,"ja","nein")</f>
        <v>ja</v>
      </c>
      <c r="G575" s="15" t="str">
        <f aca="false">IF(C575&gt;=K575,"ja","nein")</f>
        <v>ja</v>
      </c>
      <c r="H575" s="15" t="str">
        <f aca="false">IF(C575&gt;=L575,"ja","nein")</f>
        <v>ja</v>
      </c>
      <c r="I575" s="15" t="str">
        <f aca="false">IF(C575&gt;=M575,"ja","nein")</f>
        <v>ja</v>
      </c>
      <c r="J575" s="15" t="n">
        <f aca="false">ROUND(Annahmen!$K$35*(1+Annahmen!$B$20*D575/1000),0)</f>
        <v>842</v>
      </c>
      <c r="K575" s="15" t="n">
        <f aca="false">ROUND(Annahmen!$K$36*(1+Annahmen!$B$20*D575/1000),0)</f>
        <v>1093</v>
      </c>
      <c r="L575" s="15" t="n">
        <f aca="false">ROUND(Annahmen!$K$37*(1+Annahmen!$B$20*D575/1000),0)</f>
        <v>1117</v>
      </c>
      <c r="M575" s="15" t="n">
        <f aca="false">ROUND(Annahmen!$K$38*(1+Annahmen!$B$20*D575/1000),0)</f>
        <v>1117</v>
      </c>
      <c r="N575" s="16" t="s">
        <v>86</v>
      </c>
    </row>
    <row r="576" customFormat="false" ht="15" hidden="false" customHeight="false" outlineLevel="0" collapsed="false">
      <c r="A576" s="13" t="s">
        <v>1229</v>
      </c>
      <c r="B576" s="14" t="s">
        <v>1230</v>
      </c>
      <c r="C576" s="15" t="n">
        <v>2436</v>
      </c>
      <c r="D576" s="15" t="n">
        <v>59</v>
      </c>
      <c r="E576" s="13" t="s">
        <v>82</v>
      </c>
      <c r="F576" s="15" t="str">
        <f aca="false">IF(C576&gt;=J576,"ja","nein")</f>
        <v>ja</v>
      </c>
      <c r="G576" s="15" t="str">
        <f aca="false">IF(C576&gt;=K576,"ja","nein")</f>
        <v>ja</v>
      </c>
      <c r="H576" s="15" t="str">
        <f aca="false">IF(C576&gt;=L576,"ja","nein")</f>
        <v>ja</v>
      </c>
      <c r="I576" s="15" t="str">
        <f aca="false">IF(C576&gt;=M576,"ja","nein")</f>
        <v>ja</v>
      </c>
      <c r="J576" s="15" t="n">
        <f aca="false">ROUND(Annahmen!$K$35*(1+Annahmen!$B$20*D576/1000),0)</f>
        <v>844</v>
      </c>
      <c r="K576" s="15" t="n">
        <f aca="false">ROUND(Annahmen!$K$36*(1+Annahmen!$B$20*D576/1000),0)</f>
        <v>1097</v>
      </c>
      <c r="L576" s="15" t="n">
        <f aca="false">ROUND(Annahmen!$K$37*(1+Annahmen!$B$20*D576/1000),0)</f>
        <v>1121</v>
      </c>
      <c r="M576" s="15" t="n">
        <f aca="false">ROUND(Annahmen!$K$38*(1+Annahmen!$B$20*D576/1000),0)</f>
        <v>1121</v>
      </c>
      <c r="N576" s="16" t="s">
        <v>86</v>
      </c>
    </row>
    <row r="577" customFormat="false" ht="15" hidden="false" customHeight="false" outlineLevel="0" collapsed="false">
      <c r="A577" s="13" t="s">
        <v>1231</v>
      </c>
      <c r="B577" s="14" t="s">
        <v>1232</v>
      </c>
      <c r="C577" s="15" t="n">
        <v>2406</v>
      </c>
      <c r="D577" s="15" t="n">
        <v>60</v>
      </c>
      <c r="E577" s="13" t="s">
        <v>82</v>
      </c>
      <c r="F577" s="15" t="str">
        <f aca="false">IF(C577&gt;=J577,"ja","nein")</f>
        <v>ja</v>
      </c>
      <c r="G577" s="15" t="str">
        <f aca="false">IF(C577&gt;=K577,"ja","nein")</f>
        <v>ja</v>
      </c>
      <c r="H577" s="15" t="str">
        <f aca="false">IF(C577&gt;=L577,"ja","nein")</f>
        <v>ja</v>
      </c>
      <c r="I577" s="15" t="str">
        <f aca="false">IF(C577&gt;=M577,"ja","nein")</f>
        <v>ja</v>
      </c>
      <c r="J577" s="15" t="n">
        <f aca="false">ROUND(Annahmen!$K$35*(1+Annahmen!$B$20*D577/1000),0)</f>
        <v>845</v>
      </c>
      <c r="K577" s="15" t="n">
        <f aca="false">ROUND(Annahmen!$K$36*(1+Annahmen!$B$20*D577/1000),0)</f>
        <v>1097</v>
      </c>
      <c r="L577" s="15" t="n">
        <f aca="false">ROUND(Annahmen!$K$37*(1+Annahmen!$B$20*D577/1000),0)</f>
        <v>1121</v>
      </c>
      <c r="M577" s="15" t="n">
        <f aca="false">ROUND(Annahmen!$K$38*(1+Annahmen!$B$20*D577/1000),0)</f>
        <v>1121</v>
      </c>
      <c r="N577" s="16" t="s">
        <v>86</v>
      </c>
    </row>
    <row r="578" customFormat="false" ht="15" hidden="false" customHeight="false" outlineLevel="0" collapsed="false">
      <c r="A578" s="13" t="s">
        <v>1233</v>
      </c>
      <c r="B578" s="14" t="s">
        <v>1234</v>
      </c>
      <c r="C578" s="15" t="n">
        <v>2400</v>
      </c>
      <c r="D578" s="15" t="n">
        <v>1558</v>
      </c>
      <c r="E578" s="13" t="s">
        <v>82</v>
      </c>
      <c r="F578" s="15" t="str">
        <f aca="false">IF(C578&gt;=J578,"ja","nein")</f>
        <v>ja</v>
      </c>
      <c r="G578" s="15" t="str">
        <f aca="false">IF(C578&gt;=K578,"ja","nein")</f>
        <v>ja</v>
      </c>
      <c r="H578" s="15" t="str">
        <f aca="false">IF(C578&gt;=L578,"ja","nein")</f>
        <v>ja</v>
      </c>
      <c r="I578" s="15" t="str">
        <f aca="false">IF(C578&gt;=M578,"ja","nein")</f>
        <v>ja</v>
      </c>
      <c r="J578" s="15" t="n">
        <f aca="false">ROUND(Annahmen!$K$35*(1+Annahmen!$B$20*D578/1000),0)</f>
        <v>958</v>
      </c>
      <c r="K578" s="15" t="n">
        <f aca="false">ROUND(Annahmen!$K$36*(1+Annahmen!$B$20*D578/1000),0)</f>
        <v>1244</v>
      </c>
      <c r="L578" s="15" t="n">
        <f aca="false">ROUND(Annahmen!$K$37*(1+Annahmen!$B$20*D578/1000),0)</f>
        <v>1271</v>
      </c>
      <c r="M578" s="15" t="n">
        <f aca="false">ROUND(Annahmen!$K$38*(1+Annahmen!$B$20*D578/1000),0)</f>
        <v>1271</v>
      </c>
      <c r="N578" s="16" t="s">
        <v>86</v>
      </c>
    </row>
    <row r="579" customFormat="false" ht="15" hidden="false" customHeight="false" outlineLevel="0" collapsed="false">
      <c r="A579" s="13" t="s">
        <v>1235</v>
      </c>
      <c r="B579" s="14" t="s">
        <v>1236</v>
      </c>
      <c r="C579" s="15" t="n">
        <v>2399</v>
      </c>
      <c r="D579" s="15" t="n">
        <v>66</v>
      </c>
      <c r="E579" s="13" t="s">
        <v>82</v>
      </c>
      <c r="F579" s="15" t="str">
        <f aca="false">IF(C579&gt;=J579,"ja","nein")</f>
        <v>ja</v>
      </c>
      <c r="G579" s="15" t="str">
        <f aca="false">IF(C579&gt;=K579,"ja","nein")</f>
        <v>ja</v>
      </c>
      <c r="H579" s="15" t="str">
        <f aca="false">IF(C579&gt;=L579,"ja","nein")</f>
        <v>ja</v>
      </c>
      <c r="I579" s="15" t="str">
        <f aca="false">IF(C579&gt;=M579,"ja","nein")</f>
        <v>ja</v>
      </c>
      <c r="J579" s="15" t="n">
        <f aca="false">ROUND(Annahmen!$K$35*(1+Annahmen!$B$20*D579/1000),0)</f>
        <v>845</v>
      </c>
      <c r="K579" s="15" t="n">
        <f aca="false">ROUND(Annahmen!$K$36*(1+Annahmen!$B$20*D579/1000),0)</f>
        <v>1097</v>
      </c>
      <c r="L579" s="15" t="n">
        <f aca="false">ROUND(Annahmen!$K$37*(1+Annahmen!$B$20*D579/1000),0)</f>
        <v>1122</v>
      </c>
      <c r="M579" s="15" t="n">
        <f aca="false">ROUND(Annahmen!$K$38*(1+Annahmen!$B$20*D579/1000),0)</f>
        <v>1122</v>
      </c>
      <c r="N579" s="16" t="s">
        <v>86</v>
      </c>
    </row>
    <row r="580" customFormat="false" ht="15" hidden="false" customHeight="false" outlineLevel="0" collapsed="false">
      <c r="A580" s="13" t="s">
        <v>1237</v>
      </c>
      <c r="B580" s="14" t="s">
        <v>1238</v>
      </c>
      <c r="C580" s="15" t="n">
        <v>2390</v>
      </c>
      <c r="D580" s="15" t="n">
        <v>412</v>
      </c>
      <c r="E580" s="13" t="s">
        <v>82</v>
      </c>
      <c r="F580" s="15" t="str">
        <f aca="false">IF(C580&gt;=J580,"ja","nein")</f>
        <v>ja</v>
      </c>
      <c r="G580" s="15" t="str">
        <f aca="false">IF(C580&gt;=K580,"ja","nein")</f>
        <v>ja</v>
      </c>
      <c r="H580" s="15" t="str">
        <f aca="false">IF(C580&gt;=L580,"ja","nein")</f>
        <v>ja</v>
      </c>
      <c r="I580" s="15" t="str">
        <f aca="false">IF(C580&gt;=M580,"ja","nein")</f>
        <v>ja</v>
      </c>
      <c r="J580" s="15" t="n">
        <f aca="false">ROUND(Annahmen!$K$35*(1+Annahmen!$B$20*D580/1000),0)</f>
        <v>871</v>
      </c>
      <c r="K580" s="15" t="n">
        <f aca="false">ROUND(Annahmen!$K$36*(1+Annahmen!$B$20*D580/1000),0)</f>
        <v>1131</v>
      </c>
      <c r="L580" s="15" t="n">
        <f aca="false">ROUND(Annahmen!$K$37*(1+Annahmen!$B$20*D580/1000),0)</f>
        <v>1156</v>
      </c>
      <c r="M580" s="15" t="n">
        <f aca="false">ROUND(Annahmen!$K$38*(1+Annahmen!$B$20*D580/1000),0)</f>
        <v>1156</v>
      </c>
      <c r="N580" s="16" t="s">
        <v>83</v>
      </c>
    </row>
    <row r="581" customFormat="false" ht="15" hidden="false" customHeight="false" outlineLevel="0" collapsed="false">
      <c r="A581" s="13" t="s">
        <v>1239</v>
      </c>
      <c r="B581" s="14" t="s">
        <v>1240</v>
      </c>
      <c r="C581" s="15" t="n">
        <v>2375</v>
      </c>
      <c r="D581" s="15" t="n">
        <v>6</v>
      </c>
      <c r="E581" s="13" t="s">
        <v>82</v>
      </c>
      <c r="F581" s="15" t="str">
        <f aca="false">IF(C581&gt;=J581,"ja","nein")</f>
        <v>ja</v>
      </c>
      <c r="G581" s="15" t="str">
        <f aca="false">IF(C581&gt;=K581,"ja","nein")</f>
        <v>ja</v>
      </c>
      <c r="H581" s="15" t="str">
        <f aca="false">IF(C581&gt;=L581,"ja","nein")</f>
        <v>ja</v>
      </c>
      <c r="I581" s="15" t="str">
        <f aca="false">IF(C581&gt;=M581,"ja","nein")</f>
        <v>ja</v>
      </c>
      <c r="J581" s="15" t="n">
        <f aca="false">ROUND(Annahmen!$K$35*(1+Annahmen!$B$20*D581/1000),0)</f>
        <v>840</v>
      </c>
      <c r="K581" s="15" t="n">
        <f aca="false">ROUND(Annahmen!$K$36*(1+Annahmen!$B$20*D581/1000),0)</f>
        <v>1092</v>
      </c>
      <c r="L581" s="15" t="n">
        <f aca="false">ROUND(Annahmen!$K$37*(1+Annahmen!$B$20*D581/1000),0)</f>
        <v>1116</v>
      </c>
      <c r="M581" s="15" t="n">
        <f aca="false">ROUND(Annahmen!$K$38*(1+Annahmen!$B$20*D581/1000),0)</f>
        <v>1116</v>
      </c>
      <c r="N581" s="16" t="s">
        <v>83</v>
      </c>
    </row>
    <row r="582" customFormat="false" ht="15" hidden="false" customHeight="false" outlineLevel="0" collapsed="false">
      <c r="A582" s="13" t="s">
        <v>1241</v>
      </c>
      <c r="B582" s="14" t="s">
        <v>1242</v>
      </c>
      <c r="C582" s="15" t="n">
        <v>2228</v>
      </c>
      <c r="D582" s="15" t="n">
        <v>12</v>
      </c>
      <c r="E582" s="13" t="s">
        <v>82</v>
      </c>
      <c r="F582" s="15" t="str">
        <f aca="false">IF(C582&gt;=J582,"ja","nein")</f>
        <v>ja</v>
      </c>
      <c r="G582" s="15" t="str">
        <f aca="false">IF(C582&gt;=K582,"ja","nein")</f>
        <v>ja</v>
      </c>
      <c r="H582" s="15" t="str">
        <f aca="false">IF(C582&gt;=L582,"ja","nein")</f>
        <v>ja</v>
      </c>
      <c r="I582" s="15" t="str">
        <f aca="false">IF(C582&gt;=M582,"ja","nein")</f>
        <v>ja</v>
      </c>
      <c r="J582" s="15" t="n">
        <f aca="false">ROUND(Annahmen!$K$35*(1+Annahmen!$B$20*D582/1000),0)</f>
        <v>841</v>
      </c>
      <c r="K582" s="15" t="n">
        <f aca="false">ROUND(Annahmen!$K$36*(1+Annahmen!$B$20*D582/1000),0)</f>
        <v>1092</v>
      </c>
      <c r="L582" s="15" t="n">
        <f aca="false">ROUND(Annahmen!$K$37*(1+Annahmen!$B$20*D582/1000),0)</f>
        <v>1116</v>
      </c>
      <c r="M582" s="15" t="n">
        <f aca="false">ROUND(Annahmen!$K$38*(1+Annahmen!$B$20*D582/1000),0)</f>
        <v>1116</v>
      </c>
      <c r="N582" s="16" t="s">
        <v>86</v>
      </c>
    </row>
    <row r="583" customFormat="false" ht="15" hidden="false" customHeight="false" outlineLevel="0" collapsed="false">
      <c r="A583" s="13" t="s">
        <v>1243</v>
      </c>
      <c r="B583" s="14" t="s">
        <v>1244</v>
      </c>
      <c r="C583" s="15" t="n">
        <v>2197</v>
      </c>
      <c r="D583" s="15" t="n">
        <v>127</v>
      </c>
      <c r="E583" s="13" t="s">
        <v>82</v>
      </c>
      <c r="F583" s="15" t="str">
        <f aca="false">IF(C583&gt;=J583,"ja","nein")</f>
        <v>ja</v>
      </c>
      <c r="G583" s="15" t="str">
        <f aca="false">IF(C583&gt;=K583,"ja","nein")</f>
        <v>ja</v>
      </c>
      <c r="H583" s="15" t="str">
        <f aca="false">IF(C583&gt;=L583,"ja","nein")</f>
        <v>ja</v>
      </c>
      <c r="I583" s="15" t="str">
        <f aca="false">IF(C583&gt;=M583,"ja","nein")</f>
        <v>ja</v>
      </c>
      <c r="J583" s="15" t="n">
        <f aca="false">ROUND(Annahmen!$K$35*(1+Annahmen!$B$20*D583/1000),0)</f>
        <v>850</v>
      </c>
      <c r="K583" s="15" t="n">
        <f aca="false">ROUND(Annahmen!$K$36*(1+Annahmen!$B$20*D583/1000),0)</f>
        <v>1103</v>
      </c>
      <c r="L583" s="15" t="n">
        <f aca="false">ROUND(Annahmen!$K$37*(1+Annahmen!$B$20*D583/1000),0)</f>
        <v>1128</v>
      </c>
      <c r="M583" s="15" t="n">
        <f aca="false">ROUND(Annahmen!$K$38*(1+Annahmen!$B$20*D583/1000),0)</f>
        <v>1128</v>
      </c>
      <c r="N583" s="16" t="s">
        <v>83</v>
      </c>
    </row>
    <row r="584" customFormat="false" ht="15" hidden="false" customHeight="false" outlineLevel="0" collapsed="false">
      <c r="A584" s="13" t="s">
        <v>1245</v>
      </c>
      <c r="B584" s="14" t="s">
        <v>1246</v>
      </c>
      <c r="C584" s="15" t="n">
        <v>2074</v>
      </c>
      <c r="D584" s="15" t="n">
        <v>376</v>
      </c>
      <c r="E584" s="13" t="s">
        <v>82</v>
      </c>
      <c r="F584" s="15" t="str">
        <f aca="false">IF(C584&gt;=J584,"ja","nein")</f>
        <v>ja</v>
      </c>
      <c r="G584" s="15" t="str">
        <f aca="false">IF(C584&gt;=K584,"ja","nein")</f>
        <v>ja</v>
      </c>
      <c r="H584" s="15" t="str">
        <f aca="false">IF(C584&gt;=L584,"ja","nein")</f>
        <v>ja</v>
      </c>
      <c r="I584" s="15" t="str">
        <f aca="false">IF(C584&gt;=M584,"ja","nein")</f>
        <v>ja</v>
      </c>
      <c r="J584" s="15" t="n">
        <f aca="false">ROUND(Annahmen!$K$35*(1+Annahmen!$B$20*D584/1000),0)</f>
        <v>868</v>
      </c>
      <c r="K584" s="15" t="n">
        <f aca="false">ROUND(Annahmen!$K$36*(1+Annahmen!$B$20*D584/1000),0)</f>
        <v>1128</v>
      </c>
      <c r="L584" s="15" t="n">
        <f aca="false">ROUND(Annahmen!$K$37*(1+Annahmen!$B$20*D584/1000),0)</f>
        <v>1153</v>
      </c>
      <c r="M584" s="15" t="n">
        <f aca="false">ROUND(Annahmen!$K$38*(1+Annahmen!$B$20*D584/1000),0)</f>
        <v>1153</v>
      </c>
      <c r="N584" s="16" t="s">
        <v>86</v>
      </c>
    </row>
    <row r="585" customFormat="false" ht="15" hidden="false" customHeight="false" outlineLevel="0" collapsed="false">
      <c r="A585" s="13" t="s">
        <v>1247</v>
      </c>
      <c r="B585" s="14" t="s">
        <v>1248</v>
      </c>
      <c r="C585" s="15" t="n">
        <v>2044</v>
      </c>
      <c r="D585" s="15" t="n">
        <v>19</v>
      </c>
      <c r="E585" s="13" t="s">
        <v>82</v>
      </c>
      <c r="F585" s="15" t="str">
        <f aca="false">IF(C585&gt;=J585,"ja","nein")</f>
        <v>ja</v>
      </c>
      <c r="G585" s="15" t="str">
        <f aca="false">IF(C585&gt;=K585,"ja","nein")</f>
        <v>ja</v>
      </c>
      <c r="H585" s="15" t="str">
        <f aca="false">IF(C585&gt;=L585,"ja","nein")</f>
        <v>ja</v>
      </c>
      <c r="I585" s="15" t="str">
        <f aca="false">IF(C585&gt;=M585,"ja","nein")</f>
        <v>ja</v>
      </c>
      <c r="J585" s="15" t="n">
        <f aca="false">ROUND(Annahmen!$K$35*(1+Annahmen!$B$20*D585/1000),0)</f>
        <v>841</v>
      </c>
      <c r="K585" s="15" t="n">
        <f aca="false">ROUND(Annahmen!$K$36*(1+Annahmen!$B$20*D585/1000),0)</f>
        <v>1093</v>
      </c>
      <c r="L585" s="15" t="n">
        <f aca="false">ROUND(Annahmen!$K$37*(1+Annahmen!$B$20*D585/1000),0)</f>
        <v>1117</v>
      </c>
      <c r="M585" s="15" t="n">
        <f aca="false">ROUND(Annahmen!$K$38*(1+Annahmen!$B$20*D585/1000),0)</f>
        <v>1117</v>
      </c>
      <c r="N585" s="16" t="s">
        <v>86</v>
      </c>
    </row>
    <row r="586" customFormat="false" ht="15" hidden="false" customHeight="false" outlineLevel="0" collapsed="false">
      <c r="A586" s="13" t="s">
        <v>1249</v>
      </c>
      <c r="B586" s="14" t="s">
        <v>1250</v>
      </c>
      <c r="C586" s="15" t="n">
        <v>1902</v>
      </c>
      <c r="D586" s="15" t="n">
        <v>405</v>
      </c>
      <c r="E586" s="13" t="s">
        <v>82</v>
      </c>
      <c r="F586" s="15" t="str">
        <f aca="false">IF(C586&gt;=J586,"ja","nein")</f>
        <v>ja</v>
      </c>
      <c r="G586" s="15" t="str">
        <f aca="false">IF(C586&gt;=K586,"ja","nein")</f>
        <v>ja</v>
      </c>
      <c r="H586" s="15" t="str">
        <f aca="false">IF(C586&gt;=L586,"ja","nein")</f>
        <v>ja</v>
      </c>
      <c r="I586" s="15" t="str">
        <f aca="false">IF(C586&gt;=M586,"ja","nein")</f>
        <v>ja</v>
      </c>
      <c r="J586" s="15" t="n">
        <f aca="false">ROUND(Annahmen!$K$35*(1+Annahmen!$B$20*D586/1000),0)</f>
        <v>871</v>
      </c>
      <c r="K586" s="15" t="n">
        <f aca="false">ROUND(Annahmen!$K$36*(1+Annahmen!$B$20*D586/1000),0)</f>
        <v>1131</v>
      </c>
      <c r="L586" s="15" t="n">
        <f aca="false">ROUND(Annahmen!$K$37*(1+Annahmen!$B$20*D586/1000),0)</f>
        <v>1156</v>
      </c>
      <c r="M586" s="15" t="n">
        <f aca="false">ROUND(Annahmen!$K$38*(1+Annahmen!$B$20*D586/1000),0)</f>
        <v>1156</v>
      </c>
      <c r="N586" s="16" t="s">
        <v>86</v>
      </c>
    </row>
    <row r="587" customFormat="false" ht="15" hidden="false" customHeight="false" outlineLevel="0" collapsed="false">
      <c r="A587" s="13" t="s">
        <v>1251</v>
      </c>
      <c r="B587" s="14" t="s">
        <v>1252</v>
      </c>
      <c r="C587" s="15" t="n">
        <v>1822</v>
      </c>
      <c r="D587" s="15" t="n">
        <v>2059</v>
      </c>
      <c r="E587" s="13" t="s">
        <v>82</v>
      </c>
      <c r="F587" s="15" t="str">
        <f aca="false">IF(C587&gt;=J587,"ja","nein")</f>
        <v>ja</v>
      </c>
      <c r="G587" s="15" t="str">
        <f aca="false">IF(C587&gt;=K587,"ja","nein")</f>
        <v>ja</v>
      </c>
      <c r="H587" s="15" t="str">
        <f aca="false">IF(C587&gt;=L587,"ja","nein")</f>
        <v>ja</v>
      </c>
      <c r="I587" s="15" t="str">
        <f aca="false">IF(C587&gt;=M587,"ja","nein")</f>
        <v>ja</v>
      </c>
      <c r="J587" s="15" t="n">
        <f aca="false">ROUND(Annahmen!$K$35*(1+Annahmen!$B$20*D587/1000),0)</f>
        <v>996</v>
      </c>
      <c r="K587" s="15" t="n">
        <f aca="false">ROUND(Annahmen!$K$36*(1+Annahmen!$B$20*D587/1000),0)</f>
        <v>1293</v>
      </c>
      <c r="L587" s="15" t="n">
        <f aca="false">ROUND(Annahmen!$K$37*(1+Annahmen!$B$20*D587/1000),0)</f>
        <v>1322</v>
      </c>
      <c r="M587" s="15" t="n">
        <f aca="false">ROUND(Annahmen!$K$38*(1+Annahmen!$B$20*D587/1000),0)</f>
        <v>1322</v>
      </c>
      <c r="N587" s="16" t="s">
        <v>86</v>
      </c>
    </row>
    <row r="588" customFormat="false" ht="15" hidden="false" customHeight="false" outlineLevel="0" collapsed="false">
      <c r="A588" s="13" t="s">
        <v>1253</v>
      </c>
      <c r="B588" s="14" t="s">
        <v>1254</v>
      </c>
      <c r="C588" s="15" t="n">
        <v>1815</v>
      </c>
      <c r="D588" s="15" t="n">
        <v>27</v>
      </c>
      <c r="E588" s="13" t="s">
        <v>82</v>
      </c>
      <c r="F588" s="15" t="str">
        <f aca="false">IF(C588&gt;=J588,"ja","nein")</f>
        <v>ja</v>
      </c>
      <c r="G588" s="15" t="str">
        <f aca="false">IF(C588&gt;=K588,"ja","nein")</f>
        <v>ja</v>
      </c>
      <c r="H588" s="15" t="str">
        <f aca="false">IF(C588&gt;=L588,"ja","nein")</f>
        <v>ja</v>
      </c>
      <c r="I588" s="15" t="str">
        <f aca="false">IF(C588&gt;=M588,"ja","nein")</f>
        <v>ja</v>
      </c>
      <c r="J588" s="15" t="n">
        <f aca="false">ROUND(Annahmen!$K$35*(1+Annahmen!$B$20*D588/1000),0)</f>
        <v>842</v>
      </c>
      <c r="K588" s="15" t="n">
        <f aca="false">ROUND(Annahmen!$K$36*(1+Annahmen!$B$20*D588/1000),0)</f>
        <v>1094</v>
      </c>
      <c r="L588" s="15" t="n">
        <f aca="false">ROUND(Annahmen!$K$37*(1+Annahmen!$B$20*D588/1000),0)</f>
        <v>1118</v>
      </c>
      <c r="M588" s="15" t="n">
        <f aca="false">ROUND(Annahmen!$K$38*(1+Annahmen!$B$20*D588/1000),0)</f>
        <v>1118</v>
      </c>
      <c r="N588" s="16" t="s">
        <v>102</v>
      </c>
    </row>
    <row r="589" customFormat="false" ht="15" hidden="false" customHeight="false" outlineLevel="0" collapsed="false">
      <c r="A589" s="13" t="s">
        <v>1255</v>
      </c>
      <c r="B589" s="14" t="s">
        <v>1256</v>
      </c>
      <c r="C589" s="15" t="n">
        <v>1628</v>
      </c>
      <c r="D589" s="15" t="n">
        <v>54</v>
      </c>
      <c r="E589" s="13" t="s">
        <v>82</v>
      </c>
      <c r="F589" s="15" t="str">
        <f aca="false">IF(C589&gt;=J589,"ja","nein")</f>
        <v>ja</v>
      </c>
      <c r="G589" s="15" t="str">
        <f aca="false">IF(C589&gt;=K589,"ja","nein")</f>
        <v>ja</v>
      </c>
      <c r="H589" s="15" t="str">
        <f aca="false">IF(C589&gt;=L589,"ja","nein")</f>
        <v>ja</v>
      </c>
      <c r="I589" s="15" t="str">
        <f aca="false">IF(C589&gt;=M589,"ja","nein")</f>
        <v>ja</v>
      </c>
      <c r="J589" s="15" t="n">
        <f aca="false">ROUND(Annahmen!$K$35*(1+Annahmen!$B$20*D589/1000),0)</f>
        <v>844</v>
      </c>
      <c r="K589" s="15" t="n">
        <f aca="false">ROUND(Annahmen!$K$36*(1+Annahmen!$B$20*D589/1000),0)</f>
        <v>1096</v>
      </c>
      <c r="L589" s="15" t="n">
        <f aca="false">ROUND(Annahmen!$K$37*(1+Annahmen!$B$20*D589/1000),0)</f>
        <v>1120</v>
      </c>
      <c r="M589" s="15" t="n">
        <f aca="false">ROUND(Annahmen!$K$38*(1+Annahmen!$B$20*D589/1000),0)</f>
        <v>1120</v>
      </c>
      <c r="N589" s="16" t="s">
        <v>86</v>
      </c>
    </row>
    <row r="590" customFormat="false" ht="15" hidden="false" customHeight="false" outlineLevel="0" collapsed="false">
      <c r="A590" s="13" t="s">
        <v>1257</v>
      </c>
      <c r="B590" s="14" t="s">
        <v>1258</v>
      </c>
      <c r="C590" s="15" t="n">
        <v>1619</v>
      </c>
      <c r="D590" s="15" t="n">
        <v>785</v>
      </c>
      <c r="E590" s="13" t="s">
        <v>82</v>
      </c>
      <c r="F590" s="15" t="str">
        <f aca="false">IF(C590&gt;=J590,"ja","nein")</f>
        <v>ja</v>
      </c>
      <c r="G590" s="15" t="str">
        <f aca="false">IF(C590&gt;=K590,"ja","nein")</f>
        <v>ja</v>
      </c>
      <c r="H590" s="15" t="str">
        <f aca="false">IF(C590&gt;=L590,"ja","nein")</f>
        <v>ja</v>
      </c>
      <c r="I590" s="15" t="str">
        <f aca="false">IF(C590&gt;=M590,"ja","nein")</f>
        <v>ja</v>
      </c>
      <c r="J590" s="15" t="n">
        <f aca="false">ROUND(Annahmen!$K$35*(1+Annahmen!$B$20*D590/1000),0)</f>
        <v>899</v>
      </c>
      <c r="K590" s="15" t="n">
        <f aca="false">ROUND(Annahmen!$K$36*(1+Annahmen!$B$20*D590/1000),0)</f>
        <v>1168</v>
      </c>
      <c r="L590" s="15" t="n">
        <f aca="false">ROUND(Annahmen!$K$37*(1+Annahmen!$B$20*D590/1000),0)</f>
        <v>1194</v>
      </c>
      <c r="M590" s="15" t="n">
        <f aca="false">ROUND(Annahmen!$K$38*(1+Annahmen!$B$20*D590/1000),0)</f>
        <v>1194</v>
      </c>
      <c r="N590" s="16" t="s">
        <v>102</v>
      </c>
    </row>
    <row r="591" customFormat="false" ht="15" hidden="false" customHeight="false" outlineLevel="0" collapsed="false">
      <c r="A591" s="13" t="s">
        <v>1259</v>
      </c>
      <c r="B591" s="14" t="s">
        <v>1260</v>
      </c>
      <c r="C591" s="15" t="n">
        <v>1511</v>
      </c>
      <c r="D591" s="15" t="n">
        <v>15</v>
      </c>
      <c r="E591" s="13" t="s">
        <v>82</v>
      </c>
      <c r="F591" s="15" t="str">
        <f aca="false">IF(C591&gt;=J591,"ja","nein")</f>
        <v>ja</v>
      </c>
      <c r="G591" s="15" t="str">
        <f aca="false">IF(C591&gt;=K591,"ja","nein")</f>
        <v>ja</v>
      </c>
      <c r="H591" s="15" t="str">
        <f aca="false">IF(C591&gt;=L591,"ja","nein")</f>
        <v>ja</v>
      </c>
      <c r="I591" s="15" t="str">
        <f aca="false">IF(C591&gt;=M591,"ja","nein")</f>
        <v>ja</v>
      </c>
      <c r="J591" s="15" t="n">
        <f aca="false">ROUND(Annahmen!$K$35*(1+Annahmen!$B$20*D591/1000),0)</f>
        <v>841</v>
      </c>
      <c r="K591" s="15" t="n">
        <f aca="false">ROUND(Annahmen!$K$36*(1+Annahmen!$B$20*D591/1000),0)</f>
        <v>1092</v>
      </c>
      <c r="L591" s="15" t="n">
        <f aca="false">ROUND(Annahmen!$K$37*(1+Annahmen!$B$20*D591/1000),0)</f>
        <v>1117</v>
      </c>
      <c r="M591" s="15" t="n">
        <f aca="false">ROUND(Annahmen!$K$38*(1+Annahmen!$B$20*D591/1000),0)</f>
        <v>1117</v>
      </c>
      <c r="N591" s="16" t="s">
        <v>86</v>
      </c>
    </row>
    <row r="592" customFormat="false" ht="15" hidden="false" customHeight="false" outlineLevel="0" collapsed="false">
      <c r="A592" s="13" t="s">
        <v>1261</v>
      </c>
      <c r="B592" s="14" t="s">
        <v>1262</v>
      </c>
      <c r="C592" s="15" t="n">
        <v>1461</v>
      </c>
      <c r="D592" s="15" t="n">
        <v>1045</v>
      </c>
      <c r="E592" s="13" t="s">
        <v>82</v>
      </c>
      <c r="F592" s="15" t="str">
        <f aca="false">IF(C592&gt;=J592,"ja","nein")</f>
        <v>ja</v>
      </c>
      <c r="G592" s="15" t="str">
        <f aca="false">IF(C592&gt;=K592,"ja","nein")</f>
        <v>ja</v>
      </c>
      <c r="H592" s="15" t="str">
        <f aca="false">IF(C592&gt;=L592,"ja","nein")</f>
        <v>ja</v>
      </c>
      <c r="I592" s="15" t="str">
        <f aca="false">IF(C592&gt;=M592,"ja","nein")</f>
        <v>ja</v>
      </c>
      <c r="J592" s="15" t="n">
        <f aca="false">ROUND(Annahmen!$K$35*(1+Annahmen!$B$20*D592/1000),0)</f>
        <v>919</v>
      </c>
      <c r="K592" s="15" t="n">
        <f aca="false">ROUND(Annahmen!$K$36*(1+Annahmen!$B$20*D592/1000),0)</f>
        <v>1194</v>
      </c>
      <c r="L592" s="15" t="n">
        <f aca="false">ROUND(Annahmen!$K$37*(1+Annahmen!$B$20*D592/1000),0)</f>
        <v>1220</v>
      </c>
      <c r="M592" s="15" t="n">
        <f aca="false">ROUND(Annahmen!$K$38*(1+Annahmen!$B$20*D592/1000),0)</f>
        <v>1220</v>
      </c>
      <c r="N592" s="16" t="s">
        <v>102</v>
      </c>
    </row>
    <row r="593" customFormat="false" ht="15" hidden="false" customHeight="false" outlineLevel="0" collapsed="false">
      <c r="A593" s="13" t="s">
        <v>1263</v>
      </c>
      <c r="B593" s="14" t="s">
        <v>1264</v>
      </c>
      <c r="C593" s="15" t="n">
        <v>1400</v>
      </c>
      <c r="D593" s="15" t="n">
        <v>131</v>
      </c>
      <c r="E593" s="13" t="s">
        <v>82</v>
      </c>
      <c r="F593" s="15" t="str">
        <f aca="false">IF(C593&gt;=J593,"ja","nein")</f>
        <v>ja</v>
      </c>
      <c r="G593" s="15" t="str">
        <f aca="false">IF(C593&gt;=K593,"ja","nein")</f>
        <v>ja</v>
      </c>
      <c r="H593" s="15" t="str">
        <f aca="false">IF(C593&gt;=L593,"ja","nein")</f>
        <v>ja</v>
      </c>
      <c r="I593" s="15" t="str">
        <f aca="false">IF(C593&gt;=M593,"ja","nein")</f>
        <v>ja</v>
      </c>
      <c r="J593" s="15" t="n">
        <f aca="false">ROUND(Annahmen!$K$35*(1+Annahmen!$B$20*D593/1000),0)</f>
        <v>850</v>
      </c>
      <c r="K593" s="15" t="n">
        <f aca="false">ROUND(Annahmen!$K$36*(1+Annahmen!$B$20*D593/1000),0)</f>
        <v>1104</v>
      </c>
      <c r="L593" s="15" t="n">
        <f aca="false">ROUND(Annahmen!$K$37*(1+Annahmen!$B$20*D593/1000),0)</f>
        <v>1128</v>
      </c>
      <c r="M593" s="15" t="n">
        <f aca="false">ROUND(Annahmen!$K$38*(1+Annahmen!$B$20*D593/1000),0)</f>
        <v>1128</v>
      </c>
      <c r="N593" s="16" t="s">
        <v>102</v>
      </c>
    </row>
    <row r="594" customFormat="false" ht="15" hidden="false" customHeight="false" outlineLevel="0" collapsed="false">
      <c r="A594" s="13" t="s">
        <v>1265</v>
      </c>
      <c r="B594" s="14" t="s">
        <v>1266</v>
      </c>
      <c r="C594" s="15" t="n">
        <v>1387</v>
      </c>
      <c r="D594" s="15" t="n">
        <v>79</v>
      </c>
      <c r="E594" s="13" t="s">
        <v>82</v>
      </c>
      <c r="F594" s="15" t="str">
        <f aca="false">IF(C594&gt;=J594,"ja","nein")</f>
        <v>ja</v>
      </c>
      <c r="G594" s="15" t="str">
        <f aca="false">IF(C594&gt;=K594,"ja","nein")</f>
        <v>ja</v>
      </c>
      <c r="H594" s="15" t="str">
        <f aca="false">IF(C594&gt;=L594,"ja","nein")</f>
        <v>ja</v>
      </c>
      <c r="I594" s="15" t="str">
        <f aca="false">IF(C594&gt;=M594,"ja","nein")</f>
        <v>ja</v>
      </c>
      <c r="J594" s="15" t="n">
        <f aca="false">ROUND(Annahmen!$K$35*(1+Annahmen!$B$20*D594/1000),0)</f>
        <v>846</v>
      </c>
      <c r="K594" s="15" t="n">
        <f aca="false">ROUND(Annahmen!$K$36*(1+Annahmen!$B$20*D594/1000),0)</f>
        <v>1099</v>
      </c>
      <c r="L594" s="15" t="n">
        <f aca="false">ROUND(Annahmen!$K$37*(1+Annahmen!$B$20*D594/1000),0)</f>
        <v>1123</v>
      </c>
      <c r="M594" s="15" t="n">
        <f aca="false">ROUND(Annahmen!$K$38*(1+Annahmen!$B$20*D594/1000),0)</f>
        <v>1123</v>
      </c>
      <c r="N594" s="16" t="s">
        <v>102</v>
      </c>
    </row>
    <row r="595" customFormat="false" ht="15" hidden="false" customHeight="false" outlineLevel="0" collapsed="false">
      <c r="A595" s="13" t="s">
        <v>1267</v>
      </c>
      <c r="B595" s="14" t="s">
        <v>1268</v>
      </c>
      <c r="C595" s="15" t="n">
        <v>1330</v>
      </c>
      <c r="D595" s="15" t="n">
        <v>199</v>
      </c>
      <c r="E595" s="13" t="s">
        <v>82</v>
      </c>
      <c r="F595" s="15" t="str">
        <f aca="false">IF(C595&gt;=J595,"ja","nein")</f>
        <v>ja</v>
      </c>
      <c r="G595" s="15" t="str">
        <f aca="false">IF(C595&gt;=K595,"ja","nein")</f>
        <v>ja</v>
      </c>
      <c r="H595" s="15" t="str">
        <f aca="false">IF(C595&gt;=L595,"ja","nein")</f>
        <v>ja</v>
      </c>
      <c r="I595" s="15" t="str">
        <f aca="false">IF(C595&gt;=M595,"ja","nein")</f>
        <v>ja</v>
      </c>
      <c r="J595" s="15" t="n">
        <f aca="false">ROUND(Annahmen!$K$35*(1+Annahmen!$B$20*D595/1000),0)</f>
        <v>855</v>
      </c>
      <c r="K595" s="15" t="n">
        <f aca="false">ROUND(Annahmen!$K$36*(1+Annahmen!$B$20*D595/1000),0)</f>
        <v>1111</v>
      </c>
      <c r="L595" s="15" t="n">
        <f aca="false">ROUND(Annahmen!$K$37*(1+Annahmen!$B$20*D595/1000),0)</f>
        <v>1135</v>
      </c>
      <c r="M595" s="15" t="n">
        <f aca="false">ROUND(Annahmen!$K$38*(1+Annahmen!$B$20*D595/1000),0)</f>
        <v>1135</v>
      </c>
      <c r="N595" s="16" t="s">
        <v>102</v>
      </c>
    </row>
    <row r="596" customFormat="false" ht="15" hidden="false" customHeight="false" outlineLevel="0" collapsed="false">
      <c r="A596" s="13" t="s">
        <v>1269</v>
      </c>
      <c r="B596" s="14" t="s">
        <v>1270</v>
      </c>
      <c r="C596" s="15" t="n">
        <v>1080</v>
      </c>
      <c r="D596" s="15" t="n">
        <v>236</v>
      </c>
      <c r="E596" s="13" t="s">
        <v>82</v>
      </c>
      <c r="F596" s="15" t="str">
        <f aca="false">IF(C596&gt;=J596,"ja","nein")</f>
        <v>ja</v>
      </c>
      <c r="G596" s="15" t="str">
        <f aca="false">IF(C596&gt;=K596,"ja","nein")</f>
        <v>nein</v>
      </c>
      <c r="H596" s="15" t="str">
        <f aca="false">IF(C596&gt;=L596,"ja","nein")</f>
        <v>nein</v>
      </c>
      <c r="I596" s="15" t="str">
        <f aca="false">IF(C596&gt;=M596,"ja","nein")</f>
        <v>nein</v>
      </c>
      <c r="J596" s="15" t="n">
        <f aca="false">ROUND(Annahmen!$K$35*(1+Annahmen!$B$20*D596/1000),0)</f>
        <v>858</v>
      </c>
      <c r="K596" s="15" t="n">
        <f aca="false">ROUND(Annahmen!$K$36*(1+Annahmen!$B$20*D596/1000),0)</f>
        <v>1114</v>
      </c>
      <c r="L596" s="15" t="n">
        <f aca="false">ROUND(Annahmen!$K$37*(1+Annahmen!$B$20*D596/1000),0)</f>
        <v>1139</v>
      </c>
      <c r="M596" s="15" t="n">
        <f aca="false">ROUND(Annahmen!$K$38*(1+Annahmen!$B$20*D596/1000),0)</f>
        <v>1139</v>
      </c>
      <c r="N596" s="16" t="s">
        <v>102</v>
      </c>
    </row>
    <row r="597" customFormat="false" ht="15" hidden="false" customHeight="false" outlineLevel="0" collapsed="false">
      <c r="A597" s="13" t="s">
        <v>1271</v>
      </c>
      <c r="B597" s="14" t="s">
        <v>1272</v>
      </c>
      <c r="C597" s="15" t="n">
        <v>1075</v>
      </c>
      <c r="D597" s="15" t="n">
        <v>10</v>
      </c>
      <c r="E597" s="13" t="s">
        <v>82</v>
      </c>
      <c r="F597" s="15" t="str">
        <f aca="false">IF(C597&gt;=J597,"ja","nein")</f>
        <v>ja</v>
      </c>
      <c r="G597" s="15" t="str">
        <f aca="false">IF(C597&gt;=K597,"ja","nein")</f>
        <v>nein</v>
      </c>
      <c r="H597" s="15" t="str">
        <f aca="false">IF(C597&gt;=L597,"ja","nein")</f>
        <v>nein</v>
      </c>
      <c r="I597" s="15" t="str">
        <f aca="false">IF(C597&gt;=M597,"ja","nein")</f>
        <v>nein</v>
      </c>
      <c r="J597" s="15" t="n">
        <f aca="false">ROUND(Annahmen!$K$35*(1+Annahmen!$B$20*D597/1000),0)</f>
        <v>841</v>
      </c>
      <c r="K597" s="15" t="n">
        <f aca="false">ROUND(Annahmen!$K$36*(1+Annahmen!$B$20*D597/1000),0)</f>
        <v>1092</v>
      </c>
      <c r="L597" s="15" t="n">
        <f aca="false">ROUND(Annahmen!$K$37*(1+Annahmen!$B$20*D597/1000),0)</f>
        <v>1116</v>
      </c>
      <c r="M597" s="15" t="n">
        <f aca="false">ROUND(Annahmen!$K$38*(1+Annahmen!$B$20*D597/1000),0)</f>
        <v>1116</v>
      </c>
      <c r="N597" s="16" t="s">
        <v>102</v>
      </c>
    </row>
    <row r="598" customFormat="false" ht="15" hidden="false" customHeight="false" outlineLevel="0" collapsed="false">
      <c r="A598" s="13" t="s">
        <v>1273</v>
      </c>
      <c r="B598" s="14" t="s">
        <v>1274</v>
      </c>
      <c r="C598" s="15" t="n">
        <v>1038</v>
      </c>
      <c r="D598" s="15" t="n">
        <v>36</v>
      </c>
      <c r="E598" s="13" t="s">
        <v>82</v>
      </c>
      <c r="F598" s="15" t="str">
        <f aca="false">IF(C598&gt;=J598,"ja","nein")</f>
        <v>ja</v>
      </c>
      <c r="G598" s="15" t="str">
        <f aca="false">IF(C598&gt;=K598,"ja","nein")</f>
        <v>nein</v>
      </c>
      <c r="H598" s="15" t="str">
        <f aca="false">IF(C598&gt;=L598,"ja","nein")</f>
        <v>nein</v>
      </c>
      <c r="I598" s="15" t="str">
        <f aca="false">IF(C598&gt;=M598,"ja","nein")</f>
        <v>nein</v>
      </c>
      <c r="J598" s="15" t="n">
        <f aca="false">ROUND(Annahmen!$K$35*(1+Annahmen!$B$20*D598/1000),0)</f>
        <v>843</v>
      </c>
      <c r="K598" s="15" t="n">
        <f aca="false">ROUND(Annahmen!$K$36*(1+Annahmen!$B$20*D598/1000),0)</f>
        <v>1095</v>
      </c>
      <c r="L598" s="15" t="n">
        <f aca="false">ROUND(Annahmen!$K$37*(1+Annahmen!$B$20*D598/1000),0)</f>
        <v>1119</v>
      </c>
      <c r="M598" s="15" t="n">
        <f aca="false">ROUND(Annahmen!$K$38*(1+Annahmen!$B$20*D598/1000),0)</f>
        <v>1119</v>
      </c>
      <c r="N598" s="16" t="s">
        <v>102</v>
      </c>
    </row>
    <row r="599" customFormat="false" ht="15" hidden="false" customHeight="false" outlineLevel="0" collapsed="false">
      <c r="A599" s="13" t="s">
        <v>1275</v>
      </c>
      <c r="B599" s="14" t="s">
        <v>1276</v>
      </c>
      <c r="C599" s="15" t="n">
        <v>1015</v>
      </c>
      <c r="D599" s="15" t="n">
        <v>656</v>
      </c>
      <c r="E599" s="13" t="s">
        <v>82</v>
      </c>
      <c r="F599" s="15" t="str">
        <f aca="false">IF(C599&gt;=J599,"ja","nein")</f>
        <v>ja</v>
      </c>
      <c r="G599" s="15" t="str">
        <f aca="false">IF(C599&gt;=K599,"ja","nein")</f>
        <v>nein</v>
      </c>
      <c r="H599" s="15" t="str">
        <f aca="false">IF(C599&gt;=L599,"ja","nein")</f>
        <v>nein</v>
      </c>
      <c r="I599" s="15" t="str">
        <f aca="false">IF(C599&gt;=M599,"ja","nein")</f>
        <v>nein</v>
      </c>
      <c r="J599" s="15" t="n">
        <f aca="false">ROUND(Annahmen!$K$35*(1+Annahmen!$B$20*D599/1000),0)</f>
        <v>890</v>
      </c>
      <c r="K599" s="15" t="n">
        <f aca="false">ROUND(Annahmen!$K$36*(1+Annahmen!$B$20*D599/1000),0)</f>
        <v>1155</v>
      </c>
      <c r="L599" s="15" t="n">
        <f aca="false">ROUND(Annahmen!$K$37*(1+Annahmen!$B$20*D599/1000),0)</f>
        <v>1181</v>
      </c>
      <c r="M599" s="15" t="n">
        <f aca="false">ROUND(Annahmen!$K$38*(1+Annahmen!$B$20*D599/1000),0)</f>
        <v>1181</v>
      </c>
      <c r="N599" s="16" t="s">
        <v>102</v>
      </c>
    </row>
    <row r="600" customFormat="false" ht="15" hidden="false" customHeight="false" outlineLevel="0" collapsed="false">
      <c r="A600" s="13" t="s">
        <v>1277</v>
      </c>
      <c r="B600" s="14" t="s">
        <v>1278</v>
      </c>
      <c r="C600" s="15" t="n">
        <v>1015</v>
      </c>
      <c r="D600" s="15" t="n">
        <v>771</v>
      </c>
      <c r="E600" s="13" t="s">
        <v>82</v>
      </c>
      <c r="F600" s="15" t="str">
        <f aca="false">IF(C600&gt;=J600,"ja","nein")</f>
        <v>ja</v>
      </c>
      <c r="G600" s="15" t="str">
        <f aca="false">IF(C600&gt;=K600,"ja","nein")</f>
        <v>nein</v>
      </c>
      <c r="H600" s="15" t="str">
        <f aca="false">IF(C600&gt;=L600,"ja","nein")</f>
        <v>nein</v>
      </c>
      <c r="I600" s="15" t="str">
        <f aca="false">IF(C600&gt;=M600,"ja","nein")</f>
        <v>nein</v>
      </c>
      <c r="J600" s="15" t="n">
        <f aca="false">ROUND(Annahmen!$K$35*(1+Annahmen!$B$20*D600/1000),0)</f>
        <v>898</v>
      </c>
      <c r="K600" s="15" t="n">
        <f aca="false">ROUND(Annahmen!$K$36*(1+Annahmen!$B$20*D600/1000),0)</f>
        <v>1167</v>
      </c>
      <c r="L600" s="15" t="n">
        <f aca="false">ROUND(Annahmen!$K$37*(1+Annahmen!$B$20*D600/1000),0)</f>
        <v>1192</v>
      </c>
      <c r="M600" s="15" t="n">
        <f aca="false">ROUND(Annahmen!$K$38*(1+Annahmen!$B$20*D600/1000),0)</f>
        <v>1192</v>
      </c>
      <c r="N600" s="16" t="s">
        <v>102</v>
      </c>
    </row>
    <row r="601" customFormat="false" ht="15" hidden="false" customHeight="false" outlineLevel="0" collapsed="false">
      <c r="A601" s="13" t="s">
        <v>1279</v>
      </c>
      <c r="B601" s="14" t="s">
        <v>1280</v>
      </c>
      <c r="C601" s="15" t="n">
        <v>1012</v>
      </c>
      <c r="D601" s="15" t="n">
        <v>39</v>
      </c>
      <c r="E601" s="13" t="s">
        <v>82</v>
      </c>
      <c r="F601" s="15" t="str">
        <f aca="false">IF(C601&gt;=J601,"ja","nein")</f>
        <v>ja</v>
      </c>
      <c r="G601" s="15" t="str">
        <f aca="false">IF(C601&gt;=K601,"ja","nein")</f>
        <v>nein</v>
      </c>
      <c r="H601" s="15" t="str">
        <f aca="false">IF(C601&gt;=L601,"ja","nein")</f>
        <v>nein</v>
      </c>
      <c r="I601" s="15" t="str">
        <f aca="false">IF(C601&gt;=M601,"ja","nein")</f>
        <v>nein</v>
      </c>
      <c r="J601" s="15" t="n">
        <f aca="false">ROUND(Annahmen!$K$35*(1+Annahmen!$B$20*D601/1000),0)</f>
        <v>843</v>
      </c>
      <c r="K601" s="15" t="n">
        <f aca="false">ROUND(Annahmen!$K$36*(1+Annahmen!$B$20*D601/1000),0)</f>
        <v>1095</v>
      </c>
      <c r="L601" s="15" t="n">
        <f aca="false">ROUND(Annahmen!$K$37*(1+Annahmen!$B$20*D601/1000),0)</f>
        <v>1119</v>
      </c>
      <c r="M601" s="15" t="n">
        <f aca="false">ROUND(Annahmen!$K$38*(1+Annahmen!$B$20*D601/1000),0)</f>
        <v>1119</v>
      </c>
      <c r="N601" s="16" t="s">
        <v>102</v>
      </c>
    </row>
    <row r="602" customFormat="false" ht="15" hidden="false" customHeight="false" outlineLevel="0" collapsed="false">
      <c r="A602" s="13" t="s">
        <v>1281</v>
      </c>
      <c r="B602" s="14" t="s">
        <v>1282</v>
      </c>
      <c r="C602" s="15" t="n">
        <v>1000</v>
      </c>
      <c r="D602" s="15" t="n">
        <v>500</v>
      </c>
      <c r="E602" s="13" t="s">
        <v>82</v>
      </c>
      <c r="F602" s="15" t="str">
        <f aca="false">IF(C602&gt;=J602,"ja","nein")</f>
        <v>ja</v>
      </c>
      <c r="G602" s="15" t="str">
        <f aca="false">IF(C602&gt;=K602,"ja","nein")</f>
        <v>nein</v>
      </c>
      <c r="H602" s="15" t="str">
        <f aca="false">IF(C602&gt;=L602,"ja","nein")</f>
        <v>nein</v>
      </c>
      <c r="I602" s="15" t="str">
        <f aca="false">IF(C602&gt;=M602,"ja","nein")</f>
        <v>nein</v>
      </c>
      <c r="J602" s="15" t="n">
        <f aca="false">ROUND(Annahmen!$K$35*(1+Annahmen!$B$20*D602/1000),0)</f>
        <v>878</v>
      </c>
      <c r="K602" s="15" t="n">
        <f aca="false">ROUND(Annahmen!$K$36*(1+Annahmen!$B$20*D602/1000),0)</f>
        <v>1140</v>
      </c>
      <c r="L602" s="15" t="n">
        <f aca="false">ROUND(Annahmen!$K$37*(1+Annahmen!$B$20*D602/1000),0)</f>
        <v>1165</v>
      </c>
      <c r="M602" s="15" t="n">
        <f aca="false">ROUND(Annahmen!$K$38*(1+Annahmen!$B$20*D602/1000),0)</f>
        <v>1165</v>
      </c>
      <c r="N602" s="16" t="s">
        <v>102</v>
      </c>
    </row>
    <row r="603" customFormat="false" ht="15" hidden="false" customHeight="false" outlineLevel="0" collapsed="false">
      <c r="A603" s="13" t="s">
        <v>1283</v>
      </c>
      <c r="B603" s="14" t="s">
        <v>1284</v>
      </c>
      <c r="C603" s="15" t="n">
        <v>989</v>
      </c>
      <c r="D603" s="15" t="n">
        <v>165</v>
      </c>
      <c r="E603" s="13" t="s">
        <v>82</v>
      </c>
      <c r="F603" s="15" t="str">
        <f aca="false">IF(C603&gt;=J603,"ja","nein")</f>
        <v>ja</v>
      </c>
      <c r="G603" s="15" t="str">
        <f aca="false">IF(C603&gt;=K603,"ja","nein")</f>
        <v>nein</v>
      </c>
      <c r="H603" s="15" t="str">
        <f aca="false">IF(C603&gt;=L603,"ja","nein")</f>
        <v>nein</v>
      </c>
      <c r="I603" s="15" t="str">
        <f aca="false">IF(C603&gt;=M603,"ja","nein")</f>
        <v>nein</v>
      </c>
      <c r="J603" s="15" t="n">
        <f aca="false">ROUND(Annahmen!$K$35*(1+Annahmen!$B$20*D603/1000),0)</f>
        <v>852</v>
      </c>
      <c r="K603" s="15" t="n">
        <f aca="false">ROUND(Annahmen!$K$36*(1+Annahmen!$B$20*D603/1000),0)</f>
        <v>1107</v>
      </c>
      <c r="L603" s="15" t="n">
        <f aca="false">ROUND(Annahmen!$K$37*(1+Annahmen!$B$20*D603/1000),0)</f>
        <v>1132</v>
      </c>
      <c r="M603" s="15" t="n">
        <f aca="false">ROUND(Annahmen!$K$38*(1+Annahmen!$B$20*D603/1000),0)</f>
        <v>1132</v>
      </c>
      <c r="N603" s="16" t="s">
        <v>102</v>
      </c>
    </row>
    <row r="604" customFormat="false" ht="15" hidden="false" customHeight="false" outlineLevel="0" collapsed="false">
      <c r="A604" s="13" t="s">
        <v>1285</v>
      </c>
      <c r="B604" s="14" t="s">
        <v>1286</v>
      </c>
      <c r="C604" s="15" t="n">
        <v>982</v>
      </c>
      <c r="D604" s="15" t="n">
        <v>35</v>
      </c>
      <c r="E604" s="13" t="s">
        <v>82</v>
      </c>
      <c r="F604" s="15" t="str">
        <f aca="false">IF(C604&gt;=J604,"ja","nein")</f>
        <v>ja</v>
      </c>
      <c r="G604" s="15" t="str">
        <f aca="false">IF(C604&gt;=K604,"ja","nein")</f>
        <v>nein</v>
      </c>
      <c r="H604" s="15" t="str">
        <f aca="false">IF(C604&gt;=L604,"ja","nein")</f>
        <v>nein</v>
      </c>
      <c r="I604" s="15" t="str">
        <f aca="false">IF(C604&gt;=M604,"ja","nein")</f>
        <v>nein</v>
      </c>
      <c r="J604" s="15" t="n">
        <f aca="false">ROUND(Annahmen!$K$35*(1+Annahmen!$B$20*D604/1000),0)</f>
        <v>843</v>
      </c>
      <c r="K604" s="15" t="n">
        <f aca="false">ROUND(Annahmen!$K$36*(1+Annahmen!$B$20*D604/1000),0)</f>
        <v>1094</v>
      </c>
      <c r="L604" s="15" t="n">
        <f aca="false">ROUND(Annahmen!$K$37*(1+Annahmen!$B$20*D604/1000),0)</f>
        <v>1119</v>
      </c>
      <c r="M604" s="15" t="n">
        <f aca="false">ROUND(Annahmen!$K$38*(1+Annahmen!$B$20*D604/1000),0)</f>
        <v>1119</v>
      </c>
      <c r="N604" s="16" t="s">
        <v>102</v>
      </c>
    </row>
    <row r="605" customFormat="false" ht="15" hidden="false" customHeight="false" outlineLevel="0" collapsed="false">
      <c r="A605" s="13" t="s">
        <v>1287</v>
      </c>
      <c r="B605" s="14" t="s">
        <v>1288</v>
      </c>
      <c r="C605" s="15" t="n">
        <v>798</v>
      </c>
      <c r="D605" s="15" t="n">
        <v>489</v>
      </c>
      <c r="E605" s="13" t="s">
        <v>82</v>
      </c>
      <c r="F605" s="15" t="str">
        <f aca="false">IF(C605&gt;=J605,"ja","nein")</f>
        <v>nein</v>
      </c>
      <c r="G605" s="15" t="str">
        <f aca="false">IF(C605&gt;=K605,"ja","nein")</f>
        <v>nein</v>
      </c>
      <c r="H605" s="15" t="str">
        <f aca="false">IF(C605&gt;=L605,"ja","nein")</f>
        <v>nein</v>
      </c>
      <c r="I605" s="15" t="str">
        <f aca="false">IF(C605&gt;=M605,"ja","nein")</f>
        <v>nein</v>
      </c>
      <c r="J605" s="15" t="n">
        <f aca="false">ROUND(Annahmen!$K$35*(1+Annahmen!$B$20*D605/1000),0)</f>
        <v>877</v>
      </c>
      <c r="K605" s="15" t="n">
        <f aca="false">ROUND(Annahmen!$K$36*(1+Annahmen!$B$20*D605/1000),0)</f>
        <v>1139</v>
      </c>
      <c r="L605" s="15" t="n">
        <f aca="false">ROUND(Annahmen!$K$37*(1+Annahmen!$B$20*D605/1000),0)</f>
        <v>1164</v>
      </c>
      <c r="M605" s="15" t="n">
        <f aca="false">ROUND(Annahmen!$K$38*(1+Annahmen!$B$20*D605/1000),0)</f>
        <v>1164</v>
      </c>
      <c r="N605" s="16" t="s">
        <v>102</v>
      </c>
    </row>
    <row r="606" customFormat="false" ht="15" hidden="false" customHeight="false" outlineLevel="0" collapsed="false">
      <c r="A606" s="13" t="s">
        <v>1289</v>
      </c>
      <c r="B606" s="14" t="s">
        <v>1290</v>
      </c>
      <c r="C606" s="15" t="n">
        <v>680</v>
      </c>
      <c r="D606" s="15" t="n">
        <v>315</v>
      </c>
      <c r="E606" s="13" t="s">
        <v>82</v>
      </c>
      <c r="F606" s="15" t="str">
        <f aca="false">IF(C606&gt;=J606,"ja","nein")</f>
        <v>nein</v>
      </c>
      <c r="G606" s="15" t="str">
        <f aca="false">IF(C606&gt;=K606,"ja","nein")</f>
        <v>nein</v>
      </c>
      <c r="H606" s="15" t="str">
        <f aca="false">IF(C606&gt;=L606,"ja","nein")</f>
        <v>nein</v>
      </c>
      <c r="I606" s="15" t="str">
        <f aca="false">IF(C606&gt;=M606,"ja","nein")</f>
        <v>nein</v>
      </c>
      <c r="J606" s="15" t="n">
        <f aca="false">ROUND(Annahmen!$K$35*(1+Annahmen!$B$20*D606/1000),0)</f>
        <v>864</v>
      </c>
      <c r="K606" s="15" t="n">
        <f aca="false">ROUND(Annahmen!$K$36*(1+Annahmen!$B$20*D606/1000),0)</f>
        <v>1122</v>
      </c>
      <c r="L606" s="15" t="n">
        <f aca="false">ROUND(Annahmen!$K$37*(1+Annahmen!$B$20*D606/1000),0)</f>
        <v>1147</v>
      </c>
      <c r="M606" s="15" t="n">
        <f aca="false">ROUND(Annahmen!$K$38*(1+Annahmen!$B$20*D606/1000),0)</f>
        <v>1147</v>
      </c>
      <c r="N606" s="16" t="s">
        <v>102</v>
      </c>
    </row>
    <row r="607" customFormat="false" ht="15" hidden="false" customHeight="false" outlineLevel="0" collapsed="false">
      <c r="A607" s="11" t="s">
        <v>1291</v>
      </c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</row>
    <row r="608" customFormat="false" ht="15" hidden="false" customHeight="false" outlineLevel="0" collapsed="false">
      <c r="A608" s="13" t="s">
        <v>1292</v>
      </c>
      <c r="B608" s="14" t="s">
        <v>1293</v>
      </c>
      <c r="C608" s="15" t="n">
        <v>1583</v>
      </c>
      <c r="D608" s="15" t="n">
        <v>336</v>
      </c>
      <c r="E608" s="13" t="s">
        <v>82</v>
      </c>
      <c r="F608" s="15" t="str">
        <f aca="false">IF(C608&gt;=J608,"ja","nein")</f>
        <v>ja</v>
      </c>
      <c r="G608" s="15" t="str">
        <f aca="false">IF(C608&gt;=K608,"ja","nein")</f>
        <v>ja</v>
      </c>
      <c r="H608" s="15" t="str">
        <f aca="false">IF(C608&gt;=L608,"ja","nein")</f>
        <v>ja</v>
      </c>
      <c r="I608" s="15" t="str">
        <f aca="false">IF(C608&gt;=M608,"ja","nein")</f>
        <v>ja</v>
      </c>
      <c r="J608" s="15" t="n">
        <f aca="false">ROUND(Annahmen!$K$35*(1+Annahmen!$B$20*D608/1000),0)</f>
        <v>865</v>
      </c>
      <c r="K608" s="15" t="n">
        <f aca="false">ROUND(Annahmen!$K$36*(1+Annahmen!$B$20*D608/1000),0)</f>
        <v>1124</v>
      </c>
      <c r="L608" s="15" t="n">
        <f aca="false">ROUND(Annahmen!$K$37*(1+Annahmen!$B$20*D608/1000),0)</f>
        <v>1149</v>
      </c>
      <c r="M608" s="15" t="n">
        <f aca="false">ROUND(Annahmen!$K$38*(1+Annahmen!$B$20*D608/1000),0)</f>
        <v>1149</v>
      </c>
      <c r="N608" s="16" t="s">
        <v>86</v>
      </c>
    </row>
    <row r="609" customFormat="false" ht="15" hidden="false" customHeight="false" outlineLevel="0" collapsed="false">
      <c r="A609" s="13" t="s">
        <v>1294</v>
      </c>
      <c r="B609" s="14" t="s">
        <v>1295</v>
      </c>
      <c r="C609" s="15" t="n">
        <v>877</v>
      </c>
      <c r="D609" s="15" t="n">
        <v>290</v>
      </c>
      <c r="E609" s="13" t="s">
        <v>82</v>
      </c>
      <c r="F609" s="15" t="str">
        <f aca="false">IF(C609&gt;=J609,"ja","nein")</f>
        <v>ja</v>
      </c>
      <c r="G609" s="15" t="str">
        <f aca="false">IF(C609&gt;=K609,"ja","nein")</f>
        <v>nein</v>
      </c>
      <c r="H609" s="15" t="str">
        <f aca="false">IF(C609&gt;=L609,"ja","nein")</f>
        <v>nein</v>
      </c>
      <c r="I609" s="15" t="str">
        <f aca="false">IF(C609&gt;=M609,"ja","nein")</f>
        <v>nein</v>
      </c>
      <c r="J609" s="15" t="n">
        <f aca="false">ROUND(Annahmen!$K$35*(1+Annahmen!$B$20*D609/1000),0)</f>
        <v>862</v>
      </c>
      <c r="K609" s="15" t="n">
        <f aca="false">ROUND(Annahmen!$K$36*(1+Annahmen!$B$20*D609/1000),0)</f>
        <v>1119</v>
      </c>
      <c r="L609" s="15" t="n">
        <f aca="false">ROUND(Annahmen!$K$37*(1+Annahmen!$B$20*D609/1000),0)</f>
        <v>1144</v>
      </c>
      <c r="M609" s="15" t="n">
        <f aca="false">ROUND(Annahmen!$K$38*(1+Annahmen!$B$20*D609/1000),0)</f>
        <v>1144</v>
      </c>
      <c r="N609" s="16" t="s">
        <v>86</v>
      </c>
    </row>
    <row r="610" customFormat="false" ht="15" hidden="false" customHeight="false" outlineLevel="0" collapsed="false">
      <c r="A610" s="11" t="s">
        <v>1296</v>
      </c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</row>
    <row r="611" customFormat="false" ht="15" hidden="false" customHeight="false" outlineLevel="0" collapsed="false">
      <c r="A611" s="13" t="s">
        <v>1297</v>
      </c>
      <c r="B611" s="14" t="s">
        <v>1298</v>
      </c>
      <c r="C611" s="15" t="n">
        <v>3199</v>
      </c>
      <c r="D611" s="15" t="n">
        <v>46</v>
      </c>
      <c r="E611" s="13" t="s">
        <v>82</v>
      </c>
      <c r="F611" s="15" t="str">
        <f aca="false">IF(C611&gt;=J611,"ja","nein")</f>
        <v>ja</v>
      </c>
      <c r="G611" s="15" t="str">
        <f aca="false">IF(C611&gt;=K611,"ja","nein")</f>
        <v>ja</v>
      </c>
      <c r="H611" s="15" t="str">
        <f aca="false">IF(C611&gt;=L611,"ja","nein")</f>
        <v>ja</v>
      </c>
      <c r="I611" s="15" t="str">
        <f aca="false">IF(C611&gt;=M611,"ja","nein")</f>
        <v>ja</v>
      </c>
      <c r="J611" s="15" t="n">
        <f aca="false">ROUND(Annahmen!$K$35*(1+Annahmen!$B$20*D611/1000),0)</f>
        <v>843</v>
      </c>
      <c r="K611" s="15" t="n">
        <f aca="false">ROUND(Annahmen!$K$36*(1+Annahmen!$B$20*D611/1000),0)</f>
        <v>1096</v>
      </c>
      <c r="L611" s="15" t="n">
        <f aca="false">ROUND(Annahmen!$K$37*(1+Annahmen!$B$20*D611/1000),0)</f>
        <v>1120</v>
      </c>
      <c r="M611" s="15" t="n">
        <f aca="false">ROUND(Annahmen!$K$38*(1+Annahmen!$B$20*D611/1000),0)</f>
        <v>1120</v>
      </c>
      <c r="N611" s="16" t="s">
        <v>83</v>
      </c>
    </row>
    <row r="612" customFormat="false" ht="15" hidden="false" customHeight="false" outlineLevel="0" collapsed="false">
      <c r="A612" s="13" t="s">
        <v>1299</v>
      </c>
      <c r="B612" s="14" t="s">
        <v>1300</v>
      </c>
      <c r="C612" s="15" t="n">
        <v>3110</v>
      </c>
      <c r="D612" s="15" t="n">
        <v>242</v>
      </c>
      <c r="E612" s="13" t="s">
        <v>82</v>
      </c>
      <c r="F612" s="15" t="str">
        <f aca="false">IF(C612&gt;=J612,"ja","nein")</f>
        <v>ja</v>
      </c>
      <c r="G612" s="15" t="str">
        <f aca="false">IF(C612&gt;=K612,"ja","nein")</f>
        <v>ja</v>
      </c>
      <c r="H612" s="15" t="str">
        <f aca="false">IF(C612&gt;=L612,"ja","nein")</f>
        <v>ja</v>
      </c>
      <c r="I612" s="15" t="str">
        <f aca="false">IF(C612&gt;=M612,"ja","nein")</f>
        <v>ja</v>
      </c>
      <c r="J612" s="15" t="n">
        <f aca="false">ROUND(Annahmen!$K$35*(1+Annahmen!$B$20*D612/1000),0)</f>
        <v>858</v>
      </c>
      <c r="K612" s="15" t="n">
        <f aca="false">ROUND(Annahmen!$K$36*(1+Annahmen!$B$20*D612/1000),0)</f>
        <v>1115</v>
      </c>
      <c r="L612" s="15" t="n">
        <f aca="false">ROUND(Annahmen!$K$37*(1+Annahmen!$B$20*D612/1000),0)</f>
        <v>1139</v>
      </c>
      <c r="M612" s="15" t="n">
        <f aca="false">ROUND(Annahmen!$K$38*(1+Annahmen!$B$20*D612/1000),0)</f>
        <v>1139</v>
      </c>
      <c r="N612" s="16" t="s">
        <v>83</v>
      </c>
    </row>
    <row r="613" customFormat="false" ht="15" hidden="false" customHeight="false" outlineLevel="0" collapsed="false">
      <c r="A613" s="13" t="s">
        <v>1301</v>
      </c>
      <c r="B613" s="14" t="s">
        <v>1302</v>
      </c>
      <c r="C613" s="15" t="n">
        <v>2300</v>
      </c>
      <c r="D613" s="15" t="n">
        <v>665</v>
      </c>
      <c r="E613" s="13" t="s">
        <v>82</v>
      </c>
      <c r="F613" s="15" t="str">
        <f aca="false">IF(C613&gt;=J613,"ja","nein")</f>
        <v>ja</v>
      </c>
      <c r="G613" s="15" t="str">
        <f aca="false">IF(C613&gt;=K613,"ja","nein")</f>
        <v>ja</v>
      </c>
      <c r="H613" s="15" t="str">
        <f aca="false">IF(C613&gt;=L613,"ja","nein")</f>
        <v>ja</v>
      </c>
      <c r="I613" s="15" t="str">
        <f aca="false">IF(C613&gt;=M613,"ja","nein")</f>
        <v>ja</v>
      </c>
      <c r="J613" s="15" t="n">
        <f aca="false">ROUND(Annahmen!$K$35*(1+Annahmen!$B$20*D613/1000),0)</f>
        <v>890</v>
      </c>
      <c r="K613" s="15" t="n">
        <f aca="false">ROUND(Annahmen!$K$36*(1+Annahmen!$B$20*D613/1000),0)</f>
        <v>1156</v>
      </c>
      <c r="L613" s="15" t="n">
        <f aca="false">ROUND(Annahmen!$K$37*(1+Annahmen!$B$20*D613/1000),0)</f>
        <v>1182</v>
      </c>
      <c r="M613" s="15" t="n">
        <f aca="false">ROUND(Annahmen!$K$38*(1+Annahmen!$B$20*D613/1000),0)</f>
        <v>1182</v>
      </c>
      <c r="N613" s="16" t="s">
        <v>83</v>
      </c>
    </row>
    <row r="614" customFormat="false" ht="15" hidden="false" customHeight="false" outlineLevel="0" collapsed="false">
      <c r="A614" s="13" t="s">
        <v>1303</v>
      </c>
      <c r="B614" s="14" t="s">
        <v>1304</v>
      </c>
      <c r="C614" s="15" t="n">
        <v>2133</v>
      </c>
      <c r="D614" s="15" t="n">
        <v>502</v>
      </c>
      <c r="E614" s="13" t="s">
        <v>82</v>
      </c>
      <c r="F614" s="15" t="str">
        <f aca="false">IF(C614&gt;=J614,"ja","nein")</f>
        <v>ja</v>
      </c>
      <c r="G614" s="15" t="str">
        <f aca="false">IF(C614&gt;=K614,"ja","nein")</f>
        <v>ja</v>
      </c>
      <c r="H614" s="15" t="str">
        <f aca="false">IF(C614&gt;=L614,"ja","nein")</f>
        <v>ja</v>
      </c>
      <c r="I614" s="15" t="str">
        <f aca="false">IF(C614&gt;=M614,"ja","nein")</f>
        <v>ja</v>
      </c>
      <c r="J614" s="15" t="n">
        <f aca="false">ROUND(Annahmen!$K$35*(1+Annahmen!$B$20*D614/1000),0)</f>
        <v>878</v>
      </c>
      <c r="K614" s="15" t="n">
        <f aca="false">ROUND(Annahmen!$K$36*(1+Annahmen!$B$20*D614/1000),0)</f>
        <v>1140</v>
      </c>
      <c r="L614" s="15" t="n">
        <f aca="false">ROUND(Annahmen!$K$37*(1+Annahmen!$B$20*D614/1000),0)</f>
        <v>1165</v>
      </c>
      <c r="M614" s="15" t="n">
        <f aca="false">ROUND(Annahmen!$K$38*(1+Annahmen!$B$20*D614/1000),0)</f>
        <v>1165</v>
      </c>
      <c r="N614" s="16" t="s">
        <v>83</v>
      </c>
    </row>
    <row r="615" customFormat="false" ht="15" hidden="false" customHeight="false" outlineLevel="0" collapsed="false">
      <c r="A615" s="13" t="s">
        <v>1305</v>
      </c>
      <c r="B615" s="14" t="s">
        <v>1306</v>
      </c>
      <c r="C615" s="15" t="n">
        <v>2000</v>
      </c>
      <c r="D615" s="15" t="n">
        <v>112</v>
      </c>
      <c r="E615" s="13" t="s">
        <v>82</v>
      </c>
      <c r="F615" s="15" t="str">
        <f aca="false">IF(C615&gt;=J615,"ja","nein")</f>
        <v>ja</v>
      </c>
      <c r="G615" s="15" t="str">
        <f aca="false">IF(C615&gt;=K615,"ja","nein")</f>
        <v>ja</v>
      </c>
      <c r="H615" s="15" t="str">
        <f aca="false">IF(C615&gt;=L615,"ja","nein")</f>
        <v>ja</v>
      </c>
      <c r="I615" s="15" t="str">
        <f aca="false">IF(C615&gt;=M615,"ja","nein")</f>
        <v>ja</v>
      </c>
      <c r="J615" s="15" t="n">
        <f aca="false">ROUND(Annahmen!$K$35*(1+Annahmen!$B$20*D615/1000),0)</f>
        <v>848</v>
      </c>
      <c r="K615" s="15" t="n">
        <f aca="false">ROUND(Annahmen!$K$36*(1+Annahmen!$B$20*D615/1000),0)</f>
        <v>1102</v>
      </c>
      <c r="L615" s="15" t="n">
        <f aca="false">ROUND(Annahmen!$K$37*(1+Annahmen!$B$20*D615/1000),0)</f>
        <v>1126</v>
      </c>
      <c r="M615" s="15" t="n">
        <f aca="false">ROUND(Annahmen!$K$38*(1+Annahmen!$B$20*D615/1000),0)</f>
        <v>1126</v>
      </c>
      <c r="N615" s="16" t="s">
        <v>86</v>
      </c>
    </row>
    <row r="616" customFormat="false" ht="15" hidden="false" customHeight="false" outlineLevel="0" collapsed="false">
      <c r="A616" s="13" t="s">
        <v>1307</v>
      </c>
      <c r="B616" s="14" t="s">
        <v>1308</v>
      </c>
      <c r="C616" s="15" t="n">
        <v>1496</v>
      </c>
      <c r="D616" s="15" t="n">
        <v>30</v>
      </c>
      <c r="E616" s="13" t="s">
        <v>82</v>
      </c>
      <c r="F616" s="15" t="str">
        <f aca="false">IF(C616&gt;=J616,"ja","nein")</f>
        <v>ja</v>
      </c>
      <c r="G616" s="15" t="str">
        <f aca="false">IF(C616&gt;=K616,"ja","nein")</f>
        <v>ja</v>
      </c>
      <c r="H616" s="15" t="str">
        <f aca="false">IF(C616&gt;=L616,"ja","nein")</f>
        <v>ja</v>
      </c>
      <c r="I616" s="15" t="str">
        <f aca="false">IF(C616&gt;=M616,"ja","nein")</f>
        <v>ja</v>
      </c>
      <c r="J616" s="15" t="n">
        <f aca="false">ROUND(Annahmen!$K$35*(1+Annahmen!$B$20*D616/1000),0)</f>
        <v>842</v>
      </c>
      <c r="K616" s="15" t="n">
        <f aca="false">ROUND(Annahmen!$K$36*(1+Annahmen!$B$20*D616/1000),0)</f>
        <v>1094</v>
      </c>
      <c r="L616" s="15" t="n">
        <f aca="false">ROUND(Annahmen!$K$37*(1+Annahmen!$B$20*D616/1000),0)</f>
        <v>1118</v>
      </c>
      <c r="M616" s="15" t="n">
        <f aca="false">ROUND(Annahmen!$K$38*(1+Annahmen!$B$20*D616/1000),0)</f>
        <v>1118</v>
      </c>
      <c r="N616" s="16" t="s">
        <v>86</v>
      </c>
    </row>
    <row r="617" customFormat="false" ht="15" hidden="false" customHeight="false" outlineLevel="0" collapsed="false">
      <c r="A617" s="13" t="s">
        <v>1309</v>
      </c>
      <c r="B617" s="14" t="s">
        <v>1310</v>
      </c>
      <c r="C617" s="15" t="n">
        <v>1433</v>
      </c>
      <c r="D617" s="15" t="n">
        <v>119</v>
      </c>
      <c r="E617" s="13" t="s">
        <v>82</v>
      </c>
      <c r="F617" s="15" t="str">
        <f aca="false">IF(C617&gt;=J617,"ja","nein")</f>
        <v>ja</v>
      </c>
      <c r="G617" s="15" t="str">
        <f aca="false">IF(C617&gt;=K617,"ja","nein")</f>
        <v>ja</v>
      </c>
      <c r="H617" s="15" t="str">
        <f aca="false">IF(C617&gt;=L617,"ja","nein")</f>
        <v>ja</v>
      </c>
      <c r="I617" s="15" t="str">
        <f aca="false">IF(C617&gt;=M617,"ja","nein")</f>
        <v>ja</v>
      </c>
      <c r="J617" s="15" t="n">
        <f aca="false">ROUND(Annahmen!$K$35*(1+Annahmen!$B$20*D617/1000),0)</f>
        <v>849</v>
      </c>
      <c r="K617" s="15" t="n">
        <f aca="false">ROUND(Annahmen!$K$36*(1+Annahmen!$B$20*D617/1000),0)</f>
        <v>1103</v>
      </c>
      <c r="L617" s="15" t="n">
        <f aca="false">ROUND(Annahmen!$K$37*(1+Annahmen!$B$20*D617/1000),0)</f>
        <v>1127</v>
      </c>
      <c r="M617" s="15" t="n">
        <f aca="false">ROUND(Annahmen!$K$38*(1+Annahmen!$B$20*D617/1000),0)</f>
        <v>1127</v>
      </c>
      <c r="N617" s="16" t="s">
        <v>86</v>
      </c>
    </row>
    <row r="618" customFormat="false" ht="15" hidden="false" customHeight="false" outlineLevel="0" collapsed="false">
      <c r="A618" s="13" t="s">
        <v>1311</v>
      </c>
      <c r="B618" s="14" t="s">
        <v>1312</v>
      </c>
      <c r="C618" s="15" t="n">
        <v>1072</v>
      </c>
      <c r="D618" s="15" t="n">
        <v>11</v>
      </c>
      <c r="E618" s="13" t="s">
        <v>82</v>
      </c>
      <c r="F618" s="15" t="str">
        <f aca="false">IF(C618&gt;=J618,"ja","nein")</f>
        <v>ja</v>
      </c>
      <c r="G618" s="15" t="str">
        <f aca="false">IF(C618&gt;=K618,"ja","nein")</f>
        <v>nein</v>
      </c>
      <c r="H618" s="15" t="str">
        <f aca="false">IF(C618&gt;=L618,"ja","nein")</f>
        <v>nein</v>
      </c>
      <c r="I618" s="15" t="str">
        <f aca="false">IF(C618&gt;=M618,"ja","nein")</f>
        <v>nein</v>
      </c>
      <c r="J618" s="15" t="n">
        <f aca="false">ROUND(Annahmen!$K$35*(1+Annahmen!$B$20*D618/1000),0)</f>
        <v>841</v>
      </c>
      <c r="K618" s="15" t="n">
        <f aca="false">ROUND(Annahmen!$K$36*(1+Annahmen!$B$20*D618/1000),0)</f>
        <v>1092</v>
      </c>
      <c r="L618" s="15" t="n">
        <f aca="false">ROUND(Annahmen!$K$37*(1+Annahmen!$B$20*D618/1000),0)</f>
        <v>1116</v>
      </c>
      <c r="M618" s="15" t="n">
        <f aca="false">ROUND(Annahmen!$K$38*(1+Annahmen!$B$20*D618/1000),0)</f>
        <v>1116</v>
      </c>
      <c r="N618" s="16" t="s">
        <v>86</v>
      </c>
    </row>
    <row r="619" customFormat="false" ht="15" hidden="false" customHeight="false" outlineLevel="0" collapsed="false">
      <c r="A619" s="13" t="s">
        <v>1313</v>
      </c>
      <c r="B619" s="14" t="s">
        <v>1314</v>
      </c>
      <c r="C619" s="15" t="n">
        <v>926</v>
      </c>
      <c r="D619" s="15" t="n">
        <v>150</v>
      </c>
      <c r="E619" s="13" t="s">
        <v>82</v>
      </c>
      <c r="F619" s="15" t="str">
        <f aca="false">IF(C619&gt;=J619,"ja","nein")</f>
        <v>ja</v>
      </c>
      <c r="G619" s="15" t="str">
        <f aca="false">IF(C619&gt;=K619,"ja","nein")</f>
        <v>nein</v>
      </c>
      <c r="H619" s="15" t="str">
        <f aca="false">IF(C619&gt;=L619,"ja","nein")</f>
        <v>nein</v>
      </c>
      <c r="I619" s="15" t="str">
        <f aca="false">IF(C619&gt;=M619,"ja","nein")</f>
        <v>nein</v>
      </c>
      <c r="J619" s="15" t="n">
        <f aca="false">ROUND(Annahmen!$K$35*(1+Annahmen!$B$20*D619/1000),0)</f>
        <v>851</v>
      </c>
      <c r="K619" s="15" t="n">
        <f aca="false">ROUND(Annahmen!$K$36*(1+Annahmen!$B$20*D619/1000),0)</f>
        <v>1106</v>
      </c>
      <c r="L619" s="15" t="n">
        <f aca="false">ROUND(Annahmen!$K$37*(1+Annahmen!$B$20*D619/1000),0)</f>
        <v>1130</v>
      </c>
      <c r="M619" s="15" t="n">
        <f aca="false">ROUND(Annahmen!$K$38*(1+Annahmen!$B$20*D619/1000),0)</f>
        <v>1130</v>
      </c>
      <c r="N619" s="16" t="s">
        <v>86</v>
      </c>
    </row>
    <row r="620" customFormat="false" ht="15" hidden="false" customHeight="false" outlineLevel="0" collapsed="false">
      <c r="A620" s="13" t="s">
        <v>1315</v>
      </c>
      <c r="B620" s="14" t="s">
        <v>1316</v>
      </c>
      <c r="C620" s="15" t="n">
        <v>770</v>
      </c>
      <c r="D620" s="15" t="n">
        <v>240</v>
      </c>
      <c r="E620" s="13" t="s">
        <v>82</v>
      </c>
      <c r="F620" s="15" t="str">
        <f aca="false">IF(C620&gt;=J620,"ja","nein")</f>
        <v>nein</v>
      </c>
      <c r="G620" s="15" t="str">
        <f aca="false">IF(C620&gt;=K620,"ja","nein")</f>
        <v>nein</v>
      </c>
      <c r="H620" s="15" t="str">
        <f aca="false">IF(C620&gt;=L620,"ja","nein")</f>
        <v>nein</v>
      </c>
      <c r="I620" s="15" t="str">
        <f aca="false">IF(C620&gt;=M620,"ja","nein")</f>
        <v>nein</v>
      </c>
      <c r="J620" s="15" t="n">
        <f aca="false">ROUND(Annahmen!$K$35*(1+Annahmen!$B$20*D620/1000),0)</f>
        <v>858</v>
      </c>
      <c r="K620" s="15" t="n">
        <f aca="false">ROUND(Annahmen!$K$36*(1+Annahmen!$B$20*D620/1000),0)</f>
        <v>1115</v>
      </c>
      <c r="L620" s="15" t="n">
        <f aca="false">ROUND(Annahmen!$K$37*(1+Annahmen!$B$20*D620/1000),0)</f>
        <v>1139</v>
      </c>
      <c r="M620" s="15" t="n">
        <f aca="false">ROUND(Annahmen!$K$38*(1+Annahmen!$B$20*D620/1000),0)</f>
        <v>1139</v>
      </c>
      <c r="N620" s="16" t="s">
        <v>102</v>
      </c>
    </row>
    <row r="621" customFormat="false" ht="15" hidden="false" customHeight="false" outlineLevel="0" collapsed="false">
      <c r="A621" s="13" t="s">
        <v>1317</v>
      </c>
      <c r="B621" s="14" t="s">
        <v>1318</v>
      </c>
      <c r="C621" s="15" t="n">
        <v>620</v>
      </c>
      <c r="D621" s="15" t="n">
        <v>195</v>
      </c>
      <c r="E621" s="13" t="s">
        <v>82</v>
      </c>
      <c r="F621" s="15" t="str">
        <f aca="false">IF(C621&gt;=J621,"ja","nein")</f>
        <v>nein</v>
      </c>
      <c r="G621" s="15" t="str">
        <f aca="false">IF(C621&gt;=K621,"ja","nein")</f>
        <v>nein</v>
      </c>
      <c r="H621" s="15" t="str">
        <f aca="false">IF(C621&gt;=L621,"ja","nein")</f>
        <v>nein</v>
      </c>
      <c r="I621" s="15" t="str">
        <f aca="false">IF(C621&gt;=M621,"ja","nein")</f>
        <v>nein</v>
      </c>
      <c r="J621" s="15" t="n">
        <f aca="false">ROUND(Annahmen!$K$35*(1+Annahmen!$B$20*D621/1000),0)</f>
        <v>855</v>
      </c>
      <c r="K621" s="15" t="n">
        <f aca="false">ROUND(Annahmen!$K$36*(1+Annahmen!$B$20*D621/1000),0)</f>
        <v>1110</v>
      </c>
      <c r="L621" s="15" t="n">
        <f aca="false">ROUND(Annahmen!$K$37*(1+Annahmen!$B$20*D621/1000),0)</f>
        <v>1135</v>
      </c>
      <c r="M621" s="15" t="n">
        <f aca="false">ROUND(Annahmen!$K$38*(1+Annahmen!$B$20*D621/1000),0)</f>
        <v>1135</v>
      </c>
      <c r="N621" s="16" t="s">
        <v>102</v>
      </c>
    </row>
    <row r="622" customFormat="false" ht="15" hidden="false" customHeight="false" outlineLevel="0" collapsed="false">
      <c r="A622" s="13" t="s">
        <v>1319</v>
      </c>
      <c r="B622" s="14" t="s">
        <v>1320</v>
      </c>
      <c r="C622" s="15" t="n">
        <v>546</v>
      </c>
      <c r="D622" s="15" t="n">
        <v>15</v>
      </c>
      <c r="E622" s="13" t="s">
        <v>82</v>
      </c>
      <c r="F622" s="15" t="str">
        <f aca="false">IF(C622&gt;=J622,"ja","nein")</f>
        <v>nein</v>
      </c>
      <c r="G622" s="15" t="str">
        <f aca="false">IF(C622&gt;=K622,"ja","nein")</f>
        <v>nein</v>
      </c>
      <c r="H622" s="15" t="str">
        <f aca="false">IF(C622&gt;=L622,"ja","nein")</f>
        <v>nein</v>
      </c>
      <c r="I622" s="15" t="str">
        <f aca="false">IF(C622&gt;=M622,"ja","nein")</f>
        <v>nein</v>
      </c>
      <c r="J622" s="15" t="n">
        <f aca="false">ROUND(Annahmen!$K$35*(1+Annahmen!$B$20*D622/1000),0)</f>
        <v>841</v>
      </c>
      <c r="K622" s="15" t="n">
        <f aca="false">ROUND(Annahmen!$K$36*(1+Annahmen!$B$20*D622/1000),0)</f>
        <v>1092</v>
      </c>
      <c r="L622" s="15" t="n">
        <f aca="false">ROUND(Annahmen!$K$37*(1+Annahmen!$B$20*D622/1000),0)</f>
        <v>1117</v>
      </c>
      <c r="M622" s="15" t="n">
        <f aca="false">ROUND(Annahmen!$K$38*(1+Annahmen!$B$20*D622/1000),0)</f>
        <v>1117</v>
      </c>
      <c r="N622" s="16" t="s">
        <v>102</v>
      </c>
    </row>
    <row r="623" customFormat="false" ht="15" hidden="false" customHeight="false" outlineLevel="0" collapsed="false">
      <c r="A623" s="11" t="s">
        <v>1321</v>
      </c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</row>
    <row r="624" customFormat="false" ht="15" hidden="false" customHeight="false" outlineLevel="0" collapsed="false">
      <c r="A624" s="13" t="s">
        <v>1322</v>
      </c>
      <c r="B624" s="14" t="s">
        <v>1323</v>
      </c>
      <c r="C624" s="15" t="n">
        <v>3065</v>
      </c>
      <c r="D624" s="15" t="n">
        <v>171</v>
      </c>
      <c r="E624" s="13" t="s">
        <v>82</v>
      </c>
      <c r="F624" s="15" t="str">
        <f aca="false">IF(C624&gt;=J624,"ja","nein")</f>
        <v>ja</v>
      </c>
      <c r="G624" s="15" t="str">
        <f aca="false">IF(C624&gt;=K624,"ja","nein")</f>
        <v>ja</v>
      </c>
      <c r="H624" s="15" t="str">
        <f aca="false">IF(C624&gt;=L624,"ja","nein")</f>
        <v>ja</v>
      </c>
      <c r="I624" s="15" t="str">
        <f aca="false">IF(C624&gt;=M624,"ja","nein")</f>
        <v>ja</v>
      </c>
      <c r="J624" s="15" t="n">
        <f aca="false">ROUND(Annahmen!$K$35*(1+Annahmen!$B$20*D624/1000),0)</f>
        <v>853</v>
      </c>
      <c r="K624" s="15" t="n">
        <f aca="false">ROUND(Annahmen!$K$36*(1+Annahmen!$B$20*D624/1000),0)</f>
        <v>1108</v>
      </c>
      <c r="L624" s="15" t="n">
        <f aca="false">ROUND(Annahmen!$K$37*(1+Annahmen!$B$20*D624/1000),0)</f>
        <v>1132</v>
      </c>
      <c r="M624" s="15" t="n">
        <f aca="false">ROUND(Annahmen!$K$38*(1+Annahmen!$B$20*D624/1000),0)</f>
        <v>1132</v>
      </c>
      <c r="N624" s="16" t="s">
        <v>83</v>
      </c>
    </row>
    <row r="625" customFormat="false" ht="15" hidden="false" customHeight="false" outlineLevel="0" collapsed="false">
      <c r="A625" s="13" t="s">
        <v>1324</v>
      </c>
      <c r="B625" s="14" t="s">
        <v>1325</v>
      </c>
      <c r="C625" s="15" t="n">
        <v>2700</v>
      </c>
      <c r="D625" s="15" t="n">
        <v>6</v>
      </c>
      <c r="E625" s="13" t="s">
        <v>82</v>
      </c>
      <c r="F625" s="15" t="str">
        <f aca="false">IF(C625&gt;=J625,"ja","nein")</f>
        <v>ja</v>
      </c>
      <c r="G625" s="15" t="str">
        <f aca="false">IF(C625&gt;=K625,"ja","nein")</f>
        <v>ja</v>
      </c>
      <c r="H625" s="15" t="str">
        <f aca="false">IF(C625&gt;=L625,"ja","nein")</f>
        <v>ja</v>
      </c>
      <c r="I625" s="15" t="str">
        <f aca="false">IF(C625&gt;=M625,"ja","nein")</f>
        <v>ja</v>
      </c>
      <c r="J625" s="15" t="n">
        <f aca="false">ROUND(Annahmen!$K$35*(1+Annahmen!$B$20*D625/1000),0)</f>
        <v>840</v>
      </c>
      <c r="K625" s="15" t="n">
        <f aca="false">ROUND(Annahmen!$K$36*(1+Annahmen!$B$20*D625/1000),0)</f>
        <v>1092</v>
      </c>
      <c r="L625" s="15" t="n">
        <f aca="false">ROUND(Annahmen!$K$37*(1+Annahmen!$B$20*D625/1000),0)</f>
        <v>1116</v>
      </c>
      <c r="M625" s="15" t="n">
        <f aca="false">ROUND(Annahmen!$K$38*(1+Annahmen!$B$20*D625/1000),0)</f>
        <v>1116</v>
      </c>
      <c r="N625" s="16" t="s">
        <v>83</v>
      </c>
    </row>
    <row r="626" customFormat="false" ht="15" hidden="false" customHeight="false" outlineLevel="0" collapsed="false">
      <c r="A626" s="13" t="s">
        <v>1326</v>
      </c>
      <c r="B626" s="14" t="s">
        <v>1327</v>
      </c>
      <c r="C626" s="15" t="n">
        <v>2150</v>
      </c>
      <c r="D626" s="15" t="n">
        <v>76</v>
      </c>
      <c r="E626" s="13" t="s">
        <v>82</v>
      </c>
      <c r="F626" s="15" t="str">
        <f aca="false">IF(C626&gt;=J626,"ja","nein")</f>
        <v>ja</v>
      </c>
      <c r="G626" s="15" t="str">
        <f aca="false">IF(C626&gt;=K626,"ja","nein")</f>
        <v>ja</v>
      </c>
      <c r="H626" s="15" t="str">
        <f aca="false">IF(C626&gt;=L626,"ja","nein")</f>
        <v>ja</v>
      </c>
      <c r="I626" s="15" t="str">
        <f aca="false">IF(C626&gt;=M626,"ja","nein")</f>
        <v>ja</v>
      </c>
      <c r="J626" s="15" t="n">
        <f aca="false">ROUND(Annahmen!$K$35*(1+Annahmen!$B$20*D626/1000),0)</f>
        <v>846</v>
      </c>
      <c r="K626" s="15" t="n">
        <f aca="false">ROUND(Annahmen!$K$36*(1+Annahmen!$B$20*D626/1000),0)</f>
        <v>1098</v>
      </c>
      <c r="L626" s="15" t="n">
        <f aca="false">ROUND(Annahmen!$K$37*(1+Annahmen!$B$20*D626/1000),0)</f>
        <v>1123</v>
      </c>
      <c r="M626" s="15" t="n">
        <f aca="false">ROUND(Annahmen!$K$38*(1+Annahmen!$B$20*D626/1000),0)</f>
        <v>1123</v>
      </c>
      <c r="N626" s="16" t="s">
        <v>86</v>
      </c>
    </row>
    <row r="627" customFormat="false" ht="15" hidden="false" customHeight="false" outlineLevel="0" collapsed="false">
      <c r="A627" s="13" t="s">
        <v>1328</v>
      </c>
      <c r="B627" s="14" t="s">
        <v>1329</v>
      </c>
      <c r="C627" s="15" t="n">
        <v>1887</v>
      </c>
      <c r="D627" s="15" t="n">
        <v>8</v>
      </c>
      <c r="E627" s="13" t="s">
        <v>82</v>
      </c>
      <c r="F627" s="15" t="str">
        <f aca="false">IF(C627&gt;=J627,"ja","nein")</f>
        <v>ja</v>
      </c>
      <c r="G627" s="15" t="str">
        <f aca="false">IF(C627&gt;=K627,"ja","nein")</f>
        <v>ja</v>
      </c>
      <c r="H627" s="15" t="str">
        <f aca="false">IF(C627&gt;=L627,"ja","nein")</f>
        <v>ja</v>
      </c>
      <c r="I627" s="15" t="str">
        <f aca="false">IF(C627&gt;=M627,"ja","nein")</f>
        <v>ja</v>
      </c>
      <c r="J627" s="15" t="n">
        <f aca="false">ROUND(Annahmen!$K$35*(1+Annahmen!$B$20*D627/1000),0)</f>
        <v>841</v>
      </c>
      <c r="K627" s="15" t="n">
        <f aca="false">ROUND(Annahmen!$K$36*(1+Annahmen!$B$20*D627/1000),0)</f>
        <v>1092</v>
      </c>
      <c r="L627" s="15" t="n">
        <f aca="false">ROUND(Annahmen!$K$37*(1+Annahmen!$B$20*D627/1000),0)</f>
        <v>1116</v>
      </c>
      <c r="M627" s="15" t="n">
        <f aca="false">ROUND(Annahmen!$K$38*(1+Annahmen!$B$20*D627/1000),0)</f>
        <v>1116</v>
      </c>
      <c r="N627" s="16" t="s">
        <v>102</v>
      </c>
    </row>
    <row r="628" customFormat="false" ht="15" hidden="false" customHeight="false" outlineLevel="0" collapsed="false">
      <c r="A628" s="13" t="s">
        <v>1330</v>
      </c>
      <c r="B628" s="14" t="s">
        <v>1331</v>
      </c>
      <c r="C628" s="15" t="n">
        <v>1605</v>
      </c>
      <c r="D628" s="15" t="n">
        <v>48</v>
      </c>
      <c r="E628" s="13" t="s">
        <v>82</v>
      </c>
      <c r="F628" s="15" t="str">
        <f aca="false">IF(C628&gt;=J628,"ja","nein")</f>
        <v>ja</v>
      </c>
      <c r="G628" s="15" t="str">
        <f aca="false">IF(C628&gt;=K628,"ja","nein")</f>
        <v>ja</v>
      </c>
      <c r="H628" s="15" t="str">
        <f aca="false">IF(C628&gt;=L628,"ja","nein")</f>
        <v>ja</v>
      </c>
      <c r="I628" s="15" t="str">
        <f aca="false">IF(C628&gt;=M628,"ja","nein")</f>
        <v>ja</v>
      </c>
      <c r="J628" s="15" t="n">
        <f aca="false">ROUND(Annahmen!$K$35*(1+Annahmen!$B$20*D628/1000),0)</f>
        <v>844</v>
      </c>
      <c r="K628" s="15" t="n">
        <f aca="false">ROUND(Annahmen!$K$36*(1+Annahmen!$B$20*D628/1000),0)</f>
        <v>1096</v>
      </c>
      <c r="L628" s="15" t="n">
        <f aca="false">ROUND(Annahmen!$K$37*(1+Annahmen!$B$20*D628/1000),0)</f>
        <v>1120</v>
      </c>
      <c r="M628" s="15" t="n">
        <f aca="false">ROUND(Annahmen!$K$38*(1+Annahmen!$B$20*D628/1000),0)</f>
        <v>1120</v>
      </c>
      <c r="N628" s="16" t="s">
        <v>86</v>
      </c>
    </row>
    <row r="629" customFormat="false" ht="15" hidden="false" customHeight="false" outlineLevel="0" collapsed="false">
      <c r="A629" s="13" t="s">
        <v>1332</v>
      </c>
      <c r="B629" s="14" t="s">
        <v>1333</v>
      </c>
      <c r="C629" s="15" t="n">
        <v>1566</v>
      </c>
      <c r="D629" s="15" t="n">
        <v>48</v>
      </c>
      <c r="E629" s="13" t="s">
        <v>82</v>
      </c>
      <c r="F629" s="15" t="str">
        <f aca="false">IF(C629&gt;=J629,"ja","nein")</f>
        <v>ja</v>
      </c>
      <c r="G629" s="15" t="str">
        <f aca="false">IF(C629&gt;=K629,"ja","nein")</f>
        <v>ja</v>
      </c>
      <c r="H629" s="15" t="str">
        <f aca="false">IF(C629&gt;=L629,"ja","nein")</f>
        <v>ja</v>
      </c>
      <c r="I629" s="15" t="str">
        <f aca="false">IF(C629&gt;=M629,"ja","nein")</f>
        <v>ja</v>
      </c>
      <c r="J629" s="15" t="n">
        <f aca="false">ROUND(Annahmen!$K$35*(1+Annahmen!$B$20*D629/1000),0)</f>
        <v>844</v>
      </c>
      <c r="K629" s="15" t="n">
        <f aca="false">ROUND(Annahmen!$K$36*(1+Annahmen!$B$20*D629/1000),0)</f>
        <v>1096</v>
      </c>
      <c r="L629" s="15" t="n">
        <f aca="false">ROUND(Annahmen!$K$37*(1+Annahmen!$B$20*D629/1000),0)</f>
        <v>1120</v>
      </c>
      <c r="M629" s="15" t="n">
        <f aca="false">ROUND(Annahmen!$K$38*(1+Annahmen!$B$20*D629/1000),0)</f>
        <v>1120</v>
      </c>
      <c r="N629" s="16" t="s">
        <v>86</v>
      </c>
    </row>
    <row r="630" customFormat="false" ht="15" hidden="false" customHeight="false" outlineLevel="0" collapsed="false">
      <c r="A630" s="13" t="s">
        <v>1334</v>
      </c>
      <c r="B630" s="14" t="s">
        <v>1335</v>
      </c>
      <c r="C630" s="15" t="n">
        <v>1500</v>
      </c>
      <c r="D630" s="15" t="n">
        <v>24</v>
      </c>
      <c r="E630" s="13" t="s">
        <v>82</v>
      </c>
      <c r="F630" s="15" t="str">
        <f aca="false">IF(C630&gt;=J630,"ja","nein")</f>
        <v>ja</v>
      </c>
      <c r="G630" s="15" t="str">
        <f aca="false">IF(C630&gt;=K630,"ja","nein")</f>
        <v>ja</v>
      </c>
      <c r="H630" s="15" t="str">
        <f aca="false">IF(C630&gt;=L630,"ja","nein")</f>
        <v>ja</v>
      </c>
      <c r="I630" s="15" t="str">
        <f aca="false">IF(C630&gt;=M630,"ja","nein")</f>
        <v>ja</v>
      </c>
      <c r="J630" s="15" t="n">
        <f aca="false">ROUND(Annahmen!$K$35*(1+Annahmen!$B$20*D630/1000),0)</f>
        <v>842</v>
      </c>
      <c r="K630" s="15" t="n">
        <f aca="false">ROUND(Annahmen!$K$36*(1+Annahmen!$B$20*D630/1000),0)</f>
        <v>1093</v>
      </c>
      <c r="L630" s="15" t="n">
        <f aca="false">ROUND(Annahmen!$K$37*(1+Annahmen!$B$20*D630/1000),0)</f>
        <v>1117</v>
      </c>
      <c r="M630" s="15" t="n">
        <f aca="false">ROUND(Annahmen!$K$38*(1+Annahmen!$B$20*D630/1000),0)</f>
        <v>1117</v>
      </c>
      <c r="N630" s="16" t="s">
        <v>86</v>
      </c>
    </row>
    <row r="631" customFormat="false" ht="15" hidden="false" customHeight="false" outlineLevel="0" collapsed="false">
      <c r="A631" s="13" t="s">
        <v>1336</v>
      </c>
      <c r="B631" s="14" t="s">
        <v>1337</v>
      </c>
      <c r="C631" s="15" t="n">
        <v>1400</v>
      </c>
      <c r="D631" s="15" t="n">
        <v>8</v>
      </c>
      <c r="E631" s="13" t="s">
        <v>82</v>
      </c>
      <c r="F631" s="15" t="str">
        <f aca="false">IF(C631&gt;=J631,"ja","nein")</f>
        <v>ja</v>
      </c>
      <c r="G631" s="15" t="str">
        <f aca="false">IF(C631&gt;=K631,"ja","nein")</f>
        <v>ja</v>
      </c>
      <c r="H631" s="15" t="str">
        <f aca="false">IF(C631&gt;=L631,"ja","nein")</f>
        <v>ja</v>
      </c>
      <c r="I631" s="15" t="str">
        <f aca="false">IF(C631&gt;=M631,"ja","nein")</f>
        <v>ja</v>
      </c>
      <c r="J631" s="15" t="n">
        <f aca="false">ROUND(Annahmen!$K$35*(1+Annahmen!$B$20*D631/1000),0)</f>
        <v>841</v>
      </c>
      <c r="K631" s="15" t="n">
        <f aca="false">ROUND(Annahmen!$K$36*(1+Annahmen!$B$20*D631/1000),0)</f>
        <v>1092</v>
      </c>
      <c r="L631" s="15" t="n">
        <f aca="false">ROUND(Annahmen!$K$37*(1+Annahmen!$B$20*D631/1000),0)</f>
        <v>1116</v>
      </c>
      <c r="M631" s="15" t="n">
        <f aca="false">ROUND(Annahmen!$K$38*(1+Annahmen!$B$20*D631/1000),0)</f>
        <v>1116</v>
      </c>
      <c r="N631" s="16" t="s">
        <v>86</v>
      </c>
    </row>
    <row r="632" customFormat="false" ht="15" hidden="false" customHeight="false" outlineLevel="0" collapsed="false">
      <c r="A632" s="13" t="s">
        <v>1338</v>
      </c>
      <c r="B632" s="14" t="s">
        <v>1339</v>
      </c>
      <c r="C632" s="15" t="n">
        <v>1200</v>
      </c>
      <c r="D632" s="15" t="n">
        <v>18</v>
      </c>
      <c r="E632" s="13" t="s">
        <v>82</v>
      </c>
      <c r="F632" s="15" t="str">
        <f aca="false">IF(C632&gt;=J632,"ja","nein")</f>
        <v>ja</v>
      </c>
      <c r="G632" s="15" t="str">
        <f aca="false">IF(C632&gt;=K632,"ja","nein")</f>
        <v>ja</v>
      </c>
      <c r="H632" s="15" t="str">
        <f aca="false">IF(C632&gt;=L632,"ja","nein")</f>
        <v>ja</v>
      </c>
      <c r="I632" s="15" t="str">
        <f aca="false">IF(C632&gt;=M632,"ja","nein")</f>
        <v>ja</v>
      </c>
      <c r="J632" s="15" t="n">
        <f aca="false">ROUND(Annahmen!$K$35*(1+Annahmen!$B$20*D632/1000),0)</f>
        <v>841</v>
      </c>
      <c r="K632" s="15" t="n">
        <f aca="false">ROUND(Annahmen!$K$36*(1+Annahmen!$B$20*D632/1000),0)</f>
        <v>1093</v>
      </c>
      <c r="L632" s="15" t="n">
        <f aca="false">ROUND(Annahmen!$K$37*(1+Annahmen!$B$20*D632/1000),0)</f>
        <v>1117</v>
      </c>
      <c r="M632" s="15" t="n">
        <f aca="false">ROUND(Annahmen!$K$38*(1+Annahmen!$B$20*D632/1000),0)</f>
        <v>1117</v>
      </c>
      <c r="N632" s="16" t="s">
        <v>102</v>
      </c>
    </row>
    <row r="633" customFormat="false" ht="15" hidden="false" customHeight="false" outlineLevel="0" collapsed="false">
      <c r="A633" s="13" t="s">
        <v>1340</v>
      </c>
      <c r="B633" s="14" t="s">
        <v>1341</v>
      </c>
      <c r="C633" s="15" t="n">
        <v>1200</v>
      </c>
      <c r="D633" s="15" t="n">
        <v>65</v>
      </c>
      <c r="E633" s="13" t="s">
        <v>82</v>
      </c>
      <c r="F633" s="15" t="str">
        <f aca="false">IF(C633&gt;=J633,"ja","nein")</f>
        <v>ja</v>
      </c>
      <c r="G633" s="15" t="str">
        <f aca="false">IF(C633&gt;=K633,"ja","nein")</f>
        <v>ja</v>
      </c>
      <c r="H633" s="15" t="str">
        <f aca="false">IF(C633&gt;=L633,"ja","nein")</f>
        <v>ja</v>
      </c>
      <c r="I633" s="15" t="str">
        <f aca="false">IF(C633&gt;=M633,"ja","nein")</f>
        <v>ja</v>
      </c>
      <c r="J633" s="15" t="n">
        <f aca="false">ROUND(Annahmen!$K$35*(1+Annahmen!$B$20*D633/1000),0)</f>
        <v>845</v>
      </c>
      <c r="K633" s="15" t="n">
        <f aca="false">ROUND(Annahmen!$K$36*(1+Annahmen!$B$20*D633/1000),0)</f>
        <v>1097</v>
      </c>
      <c r="L633" s="15" t="n">
        <f aca="false">ROUND(Annahmen!$K$37*(1+Annahmen!$B$20*D633/1000),0)</f>
        <v>1122</v>
      </c>
      <c r="M633" s="15" t="n">
        <f aca="false">ROUND(Annahmen!$K$38*(1+Annahmen!$B$20*D633/1000),0)</f>
        <v>1122</v>
      </c>
      <c r="N633" s="16" t="s">
        <v>102</v>
      </c>
    </row>
    <row r="634" customFormat="false" ht="15" hidden="false" customHeight="false" outlineLevel="0" collapsed="false">
      <c r="A634" s="13" t="s">
        <v>1342</v>
      </c>
      <c r="B634" s="14" t="s">
        <v>1343</v>
      </c>
      <c r="C634" s="15" t="n">
        <v>1200</v>
      </c>
      <c r="D634" s="15" t="n">
        <v>326</v>
      </c>
      <c r="E634" s="13" t="s">
        <v>82</v>
      </c>
      <c r="F634" s="15" t="str">
        <f aca="false">IF(C634&gt;=J634,"ja","nein")</f>
        <v>ja</v>
      </c>
      <c r="G634" s="15" t="str">
        <f aca="false">IF(C634&gt;=K634,"ja","nein")</f>
        <v>ja</v>
      </c>
      <c r="H634" s="15" t="str">
        <f aca="false">IF(C634&gt;=L634,"ja","nein")</f>
        <v>ja</v>
      </c>
      <c r="I634" s="15" t="str">
        <f aca="false">IF(C634&gt;=M634,"ja","nein")</f>
        <v>ja</v>
      </c>
      <c r="J634" s="15" t="n">
        <f aca="false">ROUND(Annahmen!$K$35*(1+Annahmen!$B$20*D634/1000),0)</f>
        <v>865</v>
      </c>
      <c r="K634" s="15" t="n">
        <f aca="false">ROUND(Annahmen!$K$36*(1+Annahmen!$B$20*D634/1000),0)</f>
        <v>1123</v>
      </c>
      <c r="L634" s="15" t="n">
        <f aca="false">ROUND(Annahmen!$K$37*(1+Annahmen!$B$20*D634/1000),0)</f>
        <v>1148</v>
      </c>
      <c r="M634" s="15" t="n">
        <f aca="false">ROUND(Annahmen!$K$38*(1+Annahmen!$B$20*D634/1000),0)</f>
        <v>1148</v>
      </c>
      <c r="N634" s="16" t="s">
        <v>86</v>
      </c>
    </row>
    <row r="635" customFormat="false" ht="15" hidden="false" customHeight="false" outlineLevel="0" collapsed="false">
      <c r="A635" s="13" t="s">
        <v>1344</v>
      </c>
      <c r="B635" s="14" t="s">
        <v>1345</v>
      </c>
      <c r="C635" s="15" t="n">
        <v>1084</v>
      </c>
      <c r="D635" s="15" t="n">
        <v>10</v>
      </c>
      <c r="E635" s="13" t="s">
        <v>82</v>
      </c>
      <c r="F635" s="15" t="str">
        <f aca="false">IF(C635&gt;=J635,"ja","nein")</f>
        <v>ja</v>
      </c>
      <c r="G635" s="15" t="str">
        <f aca="false">IF(C635&gt;=K635,"ja","nein")</f>
        <v>nein</v>
      </c>
      <c r="H635" s="15" t="str">
        <f aca="false">IF(C635&gt;=L635,"ja","nein")</f>
        <v>nein</v>
      </c>
      <c r="I635" s="15" t="str">
        <f aca="false">IF(C635&gt;=M635,"ja","nein")</f>
        <v>nein</v>
      </c>
      <c r="J635" s="15" t="n">
        <f aca="false">ROUND(Annahmen!$K$35*(1+Annahmen!$B$20*D635/1000),0)</f>
        <v>841</v>
      </c>
      <c r="K635" s="15" t="n">
        <f aca="false">ROUND(Annahmen!$K$36*(1+Annahmen!$B$20*D635/1000),0)</f>
        <v>1092</v>
      </c>
      <c r="L635" s="15" t="n">
        <f aca="false">ROUND(Annahmen!$K$37*(1+Annahmen!$B$20*D635/1000),0)</f>
        <v>1116</v>
      </c>
      <c r="M635" s="15" t="n">
        <f aca="false">ROUND(Annahmen!$K$38*(1+Annahmen!$B$20*D635/1000),0)</f>
        <v>1116</v>
      </c>
      <c r="N635" s="16" t="s">
        <v>86</v>
      </c>
    </row>
    <row r="636" customFormat="false" ht="15" hidden="false" customHeight="false" outlineLevel="0" collapsed="false">
      <c r="A636" s="13" t="s">
        <v>1346</v>
      </c>
      <c r="B636" s="14" t="s">
        <v>1347</v>
      </c>
      <c r="C636" s="15" t="n">
        <v>1055</v>
      </c>
      <c r="D636" s="15" t="n">
        <v>1030</v>
      </c>
      <c r="E636" s="13" t="s">
        <v>82</v>
      </c>
      <c r="F636" s="15" t="str">
        <f aca="false">IF(C636&gt;=J636,"ja","nein")</f>
        <v>ja</v>
      </c>
      <c r="G636" s="15" t="str">
        <f aca="false">IF(C636&gt;=K636,"ja","nein")</f>
        <v>nein</v>
      </c>
      <c r="H636" s="15" t="str">
        <f aca="false">IF(C636&gt;=L636,"ja","nein")</f>
        <v>nein</v>
      </c>
      <c r="I636" s="15" t="str">
        <f aca="false">IF(C636&gt;=M636,"ja","nein")</f>
        <v>nein</v>
      </c>
      <c r="J636" s="15" t="n">
        <f aca="false">ROUND(Annahmen!$K$35*(1+Annahmen!$B$20*D636/1000),0)</f>
        <v>918</v>
      </c>
      <c r="K636" s="15" t="n">
        <f aca="false">ROUND(Annahmen!$K$36*(1+Annahmen!$B$20*D636/1000),0)</f>
        <v>1192</v>
      </c>
      <c r="L636" s="15" t="n">
        <f aca="false">ROUND(Annahmen!$K$37*(1+Annahmen!$B$20*D636/1000),0)</f>
        <v>1218</v>
      </c>
      <c r="M636" s="15" t="n">
        <f aca="false">ROUND(Annahmen!$K$38*(1+Annahmen!$B$20*D636/1000),0)</f>
        <v>1218</v>
      </c>
      <c r="N636" s="16" t="s">
        <v>86</v>
      </c>
    </row>
    <row r="637" customFormat="false" ht="15" hidden="false" customHeight="false" outlineLevel="0" collapsed="false">
      <c r="A637" s="13" t="s">
        <v>1348</v>
      </c>
      <c r="B637" s="14" t="s">
        <v>1349</v>
      </c>
      <c r="C637" s="15" t="n">
        <v>1036</v>
      </c>
      <c r="D637" s="15" t="n">
        <v>66</v>
      </c>
      <c r="E637" s="13" t="s">
        <v>82</v>
      </c>
      <c r="F637" s="15" t="str">
        <f aca="false">IF(C637&gt;=J637,"ja","nein")</f>
        <v>ja</v>
      </c>
      <c r="G637" s="15" t="str">
        <f aca="false">IF(C637&gt;=K637,"ja","nein")</f>
        <v>nein</v>
      </c>
      <c r="H637" s="15" t="str">
        <f aca="false">IF(C637&gt;=L637,"ja","nein")</f>
        <v>nein</v>
      </c>
      <c r="I637" s="15" t="str">
        <f aca="false">IF(C637&gt;=M637,"ja","nein")</f>
        <v>nein</v>
      </c>
      <c r="J637" s="15" t="n">
        <f aca="false">ROUND(Annahmen!$K$35*(1+Annahmen!$B$20*D637/1000),0)</f>
        <v>845</v>
      </c>
      <c r="K637" s="15" t="n">
        <f aca="false">ROUND(Annahmen!$K$36*(1+Annahmen!$B$20*D637/1000),0)</f>
        <v>1097</v>
      </c>
      <c r="L637" s="15" t="n">
        <f aca="false">ROUND(Annahmen!$K$37*(1+Annahmen!$B$20*D637/1000),0)</f>
        <v>1122</v>
      </c>
      <c r="M637" s="15" t="n">
        <f aca="false">ROUND(Annahmen!$K$38*(1+Annahmen!$B$20*D637/1000),0)</f>
        <v>1122</v>
      </c>
      <c r="N637" s="16" t="s">
        <v>86</v>
      </c>
    </row>
    <row r="638" customFormat="false" ht="15" hidden="false" customHeight="false" outlineLevel="0" collapsed="false">
      <c r="A638" s="13" t="s">
        <v>1350</v>
      </c>
      <c r="B638" s="14" t="s">
        <v>1351</v>
      </c>
      <c r="C638" s="15" t="n">
        <v>960</v>
      </c>
      <c r="D638" s="15" t="n">
        <v>83</v>
      </c>
      <c r="E638" s="13" t="s">
        <v>82</v>
      </c>
      <c r="F638" s="15" t="str">
        <f aca="false">IF(C638&gt;=J638,"ja","nein")</f>
        <v>ja</v>
      </c>
      <c r="G638" s="15" t="str">
        <f aca="false">IF(C638&gt;=K638,"ja","nein")</f>
        <v>nein</v>
      </c>
      <c r="H638" s="15" t="str">
        <f aca="false">IF(C638&gt;=L638,"ja","nein")</f>
        <v>nein</v>
      </c>
      <c r="I638" s="15" t="str">
        <f aca="false">IF(C638&gt;=M638,"ja","nein")</f>
        <v>nein</v>
      </c>
      <c r="J638" s="15" t="n">
        <f aca="false">ROUND(Annahmen!$K$35*(1+Annahmen!$B$20*D638/1000),0)</f>
        <v>846</v>
      </c>
      <c r="K638" s="15" t="n">
        <f aca="false">ROUND(Annahmen!$K$36*(1+Annahmen!$B$20*D638/1000),0)</f>
        <v>1099</v>
      </c>
      <c r="L638" s="15" t="n">
        <f aca="false">ROUND(Annahmen!$K$37*(1+Annahmen!$B$20*D638/1000),0)</f>
        <v>1123</v>
      </c>
      <c r="M638" s="15" t="n">
        <f aca="false">ROUND(Annahmen!$K$38*(1+Annahmen!$B$20*D638/1000),0)</f>
        <v>1123</v>
      </c>
      <c r="N638" s="16" t="s">
        <v>102</v>
      </c>
    </row>
    <row r="639" customFormat="false" ht="15" hidden="false" customHeight="false" outlineLevel="0" collapsed="false">
      <c r="A639" s="13" t="s">
        <v>1352</v>
      </c>
      <c r="B639" s="14" t="s">
        <v>1353</v>
      </c>
      <c r="C639" s="15" t="n">
        <v>940</v>
      </c>
      <c r="D639" s="15" t="n">
        <v>18</v>
      </c>
      <c r="E639" s="13" t="s">
        <v>82</v>
      </c>
      <c r="F639" s="15" t="str">
        <f aca="false">IF(C639&gt;=J639,"ja","nein")</f>
        <v>ja</v>
      </c>
      <c r="G639" s="15" t="str">
        <f aca="false">IF(C639&gt;=K639,"ja","nein")</f>
        <v>nein</v>
      </c>
      <c r="H639" s="15" t="str">
        <f aca="false">IF(C639&gt;=L639,"ja","nein")</f>
        <v>nein</v>
      </c>
      <c r="I639" s="15" t="str">
        <f aca="false">IF(C639&gt;=M639,"ja","nein")</f>
        <v>nein</v>
      </c>
      <c r="J639" s="15" t="n">
        <f aca="false">ROUND(Annahmen!$K$35*(1+Annahmen!$B$20*D639/1000),0)</f>
        <v>841</v>
      </c>
      <c r="K639" s="15" t="n">
        <f aca="false">ROUND(Annahmen!$K$36*(1+Annahmen!$B$20*D639/1000),0)</f>
        <v>1093</v>
      </c>
      <c r="L639" s="15" t="n">
        <f aca="false">ROUND(Annahmen!$K$37*(1+Annahmen!$B$20*D639/1000),0)</f>
        <v>1117</v>
      </c>
      <c r="M639" s="15" t="n">
        <f aca="false">ROUND(Annahmen!$K$38*(1+Annahmen!$B$20*D639/1000),0)</f>
        <v>1117</v>
      </c>
      <c r="N639" s="16" t="s">
        <v>86</v>
      </c>
    </row>
    <row r="640" customFormat="false" ht="15" hidden="false" customHeight="false" outlineLevel="0" collapsed="false">
      <c r="A640" s="13" t="s">
        <v>1354</v>
      </c>
      <c r="B640" s="14" t="s">
        <v>1355</v>
      </c>
      <c r="C640" s="15" t="n">
        <v>885</v>
      </c>
      <c r="D640" s="15" t="n">
        <v>16</v>
      </c>
      <c r="E640" s="13" t="s">
        <v>82</v>
      </c>
      <c r="F640" s="15" t="str">
        <f aca="false">IF(C640&gt;=J640,"ja","nein")</f>
        <v>ja</v>
      </c>
      <c r="G640" s="15" t="str">
        <f aca="false">IF(C640&gt;=K640,"ja","nein")</f>
        <v>nein</v>
      </c>
      <c r="H640" s="15" t="str">
        <f aca="false">IF(C640&gt;=L640,"ja","nein")</f>
        <v>nein</v>
      </c>
      <c r="I640" s="15" t="str">
        <f aca="false">IF(C640&gt;=M640,"ja","nein")</f>
        <v>nein</v>
      </c>
      <c r="J640" s="15" t="n">
        <f aca="false">ROUND(Annahmen!$K$35*(1+Annahmen!$B$20*D640/1000),0)</f>
        <v>841</v>
      </c>
      <c r="K640" s="15" t="n">
        <f aca="false">ROUND(Annahmen!$K$36*(1+Annahmen!$B$20*D640/1000),0)</f>
        <v>1093</v>
      </c>
      <c r="L640" s="15" t="n">
        <f aca="false">ROUND(Annahmen!$K$37*(1+Annahmen!$B$20*D640/1000),0)</f>
        <v>1117</v>
      </c>
      <c r="M640" s="15" t="n">
        <f aca="false">ROUND(Annahmen!$K$38*(1+Annahmen!$B$20*D640/1000),0)</f>
        <v>1117</v>
      </c>
      <c r="N640" s="16" t="s">
        <v>86</v>
      </c>
    </row>
    <row r="641" customFormat="false" ht="15" hidden="false" customHeight="false" outlineLevel="0" collapsed="false">
      <c r="A641" s="13" t="s">
        <v>1356</v>
      </c>
      <c r="B641" s="14" t="s">
        <v>1357</v>
      </c>
      <c r="C641" s="15" t="n">
        <v>786</v>
      </c>
      <c r="D641" s="15" t="n">
        <v>600</v>
      </c>
      <c r="E641" s="13" t="s">
        <v>82</v>
      </c>
      <c r="F641" s="15" t="str">
        <f aca="false">IF(C641&gt;=J641,"ja","nein")</f>
        <v>nein</v>
      </c>
      <c r="G641" s="15" t="str">
        <f aca="false">IF(C641&gt;=K641,"ja","nein")</f>
        <v>nein</v>
      </c>
      <c r="H641" s="15" t="str">
        <f aca="false">IF(C641&gt;=L641,"ja","nein")</f>
        <v>nein</v>
      </c>
      <c r="I641" s="15" t="str">
        <f aca="false">IF(C641&gt;=M641,"ja","nein")</f>
        <v>nein</v>
      </c>
      <c r="J641" s="15" t="n">
        <f aca="false">ROUND(Annahmen!$K$35*(1+Annahmen!$B$20*D641/1000),0)</f>
        <v>885</v>
      </c>
      <c r="K641" s="15" t="n">
        <f aca="false">ROUND(Annahmen!$K$36*(1+Annahmen!$B$20*D641/1000),0)</f>
        <v>1150</v>
      </c>
      <c r="L641" s="15" t="n">
        <f aca="false">ROUND(Annahmen!$K$37*(1+Annahmen!$B$20*D641/1000),0)</f>
        <v>1175</v>
      </c>
      <c r="M641" s="15" t="n">
        <f aca="false">ROUND(Annahmen!$K$38*(1+Annahmen!$B$20*D641/1000),0)</f>
        <v>1175</v>
      </c>
      <c r="N641" s="16" t="s">
        <v>102</v>
      </c>
    </row>
    <row r="642" customFormat="false" ht="15" hidden="false" customHeight="false" outlineLevel="0" collapsed="false">
      <c r="A642" s="11" t="s">
        <v>1358</v>
      </c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</row>
    <row r="643" customFormat="false" ht="15" hidden="false" customHeight="false" outlineLevel="0" collapsed="false">
      <c r="A643" s="13" t="s">
        <v>1359</v>
      </c>
      <c r="B643" s="14" t="s">
        <v>1360</v>
      </c>
      <c r="C643" s="15" t="n">
        <v>2110</v>
      </c>
      <c r="D643" s="15" t="n">
        <v>52</v>
      </c>
      <c r="E643" s="13" t="s">
        <v>82</v>
      </c>
      <c r="F643" s="15" t="str">
        <f aca="false">IF(C643&gt;=J643,"ja","nein")</f>
        <v>ja</v>
      </c>
      <c r="G643" s="15" t="str">
        <f aca="false">IF(C643&gt;=K643,"ja","nein")</f>
        <v>ja</v>
      </c>
      <c r="H643" s="15" t="str">
        <f aca="false">IF(C643&gt;=L643,"ja","nein")</f>
        <v>ja</v>
      </c>
      <c r="I643" s="15" t="str">
        <f aca="false">IF(C643&gt;=M643,"ja","nein")</f>
        <v>ja</v>
      </c>
      <c r="J643" s="15" t="n">
        <f aca="false">ROUND(Annahmen!$K$35*(1+Annahmen!$B$20*D643/1000),0)</f>
        <v>844</v>
      </c>
      <c r="K643" s="15" t="n">
        <f aca="false">ROUND(Annahmen!$K$36*(1+Annahmen!$B$20*D643/1000),0)</f>
        <v>1096</v>
      </c>
      <c r="L643" s="15" t="n">
        <f aca="false">ROUND(Annahmen!$K$37*(1+Annahmen!$B$20*D643/1000),0)</f>
        <v>1120</v>
      </c>
      <c r="M643" s="15" t="n">
        <f aca="false">ROUND(Annahmen!$K$38*(1+Annahmen!$B$20*D643/1000),0)</f>
        <v>1120</v>
      </c>
      <c r="N643" s="16" t="s">
        <v>83</v>
      </c>
    </row>
    <row r="644" customFormat="false" ht="15" hidden="false" customHeight="false" outlineLevel="0" collapsed="false">
      <c r="A644" s="11" t="s">
        <v>1361</v>
      </c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</row>
    <row r="645" customFormat="false" ht="15" hidden="false" customHeight="false" outlineLevel="0" collapsed="false">
      <c r="A645" s="13" t="s">
        <v>1362</v>
      </c>
      <c r="B645" s="14" t="s">
        <v>1363</v>
      </c>
      <c r="C645" s="15" t="n">
        <v>3920</v>
      </c>
      <c r="D645" s="15" t="n">
        <v>768</v>
      </c>
      <c r="E645" s="13" t="s">
        <v>82</v>
      </c>
      <c r="F645" s="15" t="str">
        <f aca="false">IF(C645&gt;=J645,"ja","nein")</f>
        <v>ja</v>
      </c>
      <c r="G645" s="15" t="str">
        <f aca="false">IF(C645&gt;=K645,"ja","nein")</f>
        <v>ja</v>
      </c>
      <c r="H645" s="15" t="str">
        <f aca="false">IF(C645&gt;=L645,"ja","nein")</f>
        <v>ja</v>
      </c>
      <c r="I645" s="15" t="str">
        <f aca="false">IF(C645&gt;=M645,"ja","nein")</f>
        <v>ja</v>
      </c>
      <c r="J645" s="15" t="n">
        <f aca="false">ROUND(Annahmen!$K$35*(1+Annahmen!$B$20*D645/1000),0)</f>
        <v>898</v>
      </c>
      <c r="K645" s="15" t="n">
        <f aca="false">ROUND(Annahmen!$K$36*(1+Annahmen!$B$20*D645/1000),0)</f>
        <v>1166</v>
      </c>
      <c r="L645" s="15" t="n">
        <f aca="false">ROUND(Annahmen!$K$37*(1+Annahmen!$B$20*D645/1000),0)</f>
        <v>1192</v>
      </c>
      <c r="M645" s="15" t="n">
        <f aca="false">ROUND(Annahmen!$K$38*(1+Annahmen!$B$20*D645/1000),0)</f>
        <v>1192</v>
      </c>
      <c r="N645" s="16" t="s">
        <v>83</v>
      </c>
    </row>
    <row r="646" customFormat="false" ht="15" hidden="false" customHeight="false" outlineLevel="0" collapsed="false">
      <c r="A646" s="13" t="s">
        <v>1364</v>
      </c>
      <c r="B646" s="14" t="s">
        <v>1365</v>
      </c>
      <c r="C646" s="15" t="n">
        <v>3902</v>
      </c>
      <c r="D646" s="15" t="n">
        <v>13</v>
      </c>
      <c r="E646" s="13" t="s">
        <v>82</v>
      </c>
      <c r="F646" s="15" t="str">
        <f aca="false">IF(C646&gt;=J646,"ja","nein")</f>
        <v>ja</v>
      </c>
      <c r="G646" s="15" t="str">
        <f aca="false">IF(C646&gt;=K646,"ja","nein")</f>
        <v>ja</v>
      </c>
      <c r="H646" s="15" t="str">
        <f aca="false">IF(C646&gt;=L646,"ja","nein")</f>
        <v>ja</v>
      </c>
      <c r="I646" s="15" t="str">
        <f aca="false">IF(C646&gt;=M646,"ja","nein")</f>
        <v>ja</v>
      </c>
      <c r="J646" s="15" t="n">
        <f aca="false">ROUND(Annahmen!$K$35*(1+Annahmen!$B$20*D646/1000),0)</f>
        <v>841</v>
      </c>
      <c r="K646" s="15" t="n">
        <f aca="false">ROUND(Annahmen!$K$36*(1+Annahmen!$B$20*D646/1000),0)</f>
        <v>1092</v>
      </c>
      <c r="L646" s="15" t="n">
        <f aca="false">ROUND(Annahmen!$K$37*(1+Annahmen!$B$20*D646/1000),0)</f>
        <v>1116</v>
      </c>
      <c r="M646" s="15" t="n">
        <f aca="false">ROUND(Annahmen!$K$38*(1+Annahmen!$B$20*D646/1000),0)</f>
        <v>1116</v>
      </c>
      <c r="N646" s="16" t="s">
        <v>83</v>
      </c>
    </row>
    <row r="647" customFormat="false" ht="15" hidden="false" customHeight="false" outlineLevel="0" collapsed="false">
      <c r="A647" s="13" t="s">
        <v>1366</v>
      </c>
      <c r="B647" s="14" t="s">
        <v>1367</v>
      </c>
      <c r="C647" s="15" t="n">
        <v>3326</v>
      </c>
      <c r="D647" s="15" t="n">
        <v>65</v>
      </c>
      <c r="E647" s="13" t="s">
        <v>82</v>
      </c>
      <c r="F647" s="15" t="str">
        <f aca="false">IF(C647&gt;=J647,"ja","nein")</f>
        <v>ja</v>
      </c>
      <c r="G647" s="15" t="str">
        <f aca="false">IF(C647&gt;=K647,"ja","nein")</f>
        <v>ja</v>
      </c>
      <c r="H647" s="15" t="str">
        <f aca="false">IF(C647&gt;=L647,"ja","nein")</f>
        <v>ja</v>
      </c>
      <c r="I647" s="15" t="str">
        <f aca="false">IF(C647&gt;=M647,"ja","nein")</f>
        <v>ja</v>
      </c>
      <c r="J647" s="15" t="n">
        <f aca="false">ROUND(Annahmen!$K$35*(1+Annahmen!$B$20*D647/1000),0)</f>
        <v>845</v>
      </c>
      <c r="K647" s="15" t="n">
        <f aca="false">ROUND(Annahmen!$K$36*(1+Annahmen!$B$20*D647/1000),0)</f>
        <v>1097</v>
      </c>
      <c r="L647" s="15" t="n">
        <f aca="false">ROUND(Annahmen!$K$37*(1+Annahmen!$B$20*D647/1000),0)</f>
        <v>1122</v>
      </c>
      <c r="M647" s="15" t="n">
        <f aca="false">ROUND(Annahmen!$K$38*(1+Annahmen!$B$20*D647/1000),0)</f>
        <v>1122</v>
      </c>
      <c r="N647" s="16" t="s">
        <v>83</v>
      </c>
    </row>
    <row r="648" customFormat="false" ht="15" hidden="false" customHeight="false" outlineLevel="0" collapsed="false">
      <c r="A648" s="13" t="s">
        <v>1368</v>
      </c>
      <c r="B648" s="14" t="s">
        <v>1369</v>
      </c>
      <c r="C648" s="15" t="n">
        <v>3300</v>
      </c>
      <c r="D648" s="15" t="n">
        <v>989</v>
      </c>
      <c r="E648" s="13" t="s">
        <v>82</v>
      </c>
      <c r="F648" s="15" t="str">
        <f aca="false">IF(C648&gt;=J648,"ja","nein")</f>
        <v>ja</v>
      </c>
      <c r="G648" s="15" t="str">
        <f aca="false">IF(C648&gt;=K648,"ja","nein")</f>
        <v>ja</v>
      </c>
      <c r="H648" s="15" t="str">
        <f aca="false">IF(C648&gt;=L648,"ja","nein")</f>
        <v>ja</v>
      </c>
      <c r="I648" s="15" t="str">
        <f aca="false">IF(C648&gt;=M648,"ja","nein")</f>
        <v>ja</v>
      </c>
      <c r="J648" s="15" t="n">
        <f aca="false">ROUND(Annahmen!$K$35*(1+Annahmen!$B$20*D648/1000),0)</f>
        <v>915</v>
      </c>
      <c r="K648" s="15" t="n">
        <f aca="false">ROUND(Annahmen!$K$36*(1+Annahmen!$B$20*D648/1000),0)</f>
        <v>1188</v>
      </c>
      <c r="L648" s="15" t="n">
        <f aca="false">ROUND(Annahmen!$K$37*(1+Annahmen!$B$20*D648/1000),0)</f>
        <v>1214</v>
      </c>
      <c r="M648" s="15" t="n">
        <f aca="false">ROUND(Annahmen!$K$38*(1+Annahmen!$B$20*D648/1000),0)</f>
        <v>1214</v>
      </c>
      <c r="N648" s="16" t="s">
        <v>83</v>
      </c>
    </row>
    <row r="649" customFormat="false" ht="15" hidden="false" customHeight="false" outlineLevel="0" collapsed="false">
      <c r="A649" s="13" t="s">
        <v>1370</v>
      </c>
      <c r="B649" s="14" t="s">
        <v>1371</v>
      </c>
      <c r="C649" s="15" t="n">
        <v>3300</v>
      </c>
      <c r="D649" s="15" t="n">
        <v>7</v>
      </c>
      <c r="E649" s="13" t="s">
        <v>82</v>
      </c>
      <c r="F649" s="15" t="str">
        <f aca="false">IF(C649&gt;=J649,"ja","nein")</f>
        <v>ja</v>
      </c>
      <c r="G649" s="15" t="str">
        <f aca="false">IF(C649&gt;=K649,"ja","nein")</f>
        <v>ja</v>
      </c>
      <c r="H649" s="15" t="str">
        <f aca="false">IF(C649&gt;=L649,"ja","nein")</f>
        <v>ja</v>
      </c>
      <c r="I649" s="15" t="str">
        <f aca="false">IF(C649&gt;=M649,"ja","nein")</f>
        <v>ja</v>
      </c>
      <c r="J649" s="15" t="n">
        <f aca="false">ROUND(Annahmen!$K$35*(1+Annahmen!$B$20*D649/1000),0)</f>
        <v>841</v>
      </c>
      <c r="K649" s="15" t="n">
        <f aca="false">ROUND(Annahmen!$K$36*(1+Annahmen!$B$20*D649/1000),0)</f>
        <v>1092</v>
      </c>
      <c r="L649" s="15" t="n">
        <f aca="false">ROUND(Annahmen!$K$37*(1+Annahmen!$B$20*D649/1000),0)</f>
        <v>1116</v>
      </c>
      <c r="M649" s="15" t="n">
        <f aca="false">ROUND(Annahmen!$K$38*(1+Annahmen!$B$20*D649/1000),0)</f>
        <v>1116</v>
      </c>
      <c r="N649" s="16" t="s">
        <v>83</v>
      </c>
    </row>
    <row r="650" customFormat="false" ht="15" hidden="false" customHeight="false" outlineLevel="0" collapsed="false">
      <c r="A650" s="13" t="s">
        <v>1372</v>
      </c>
      <c r="B650" s="14" t="s">
        <v>1373</v>
      </c>
      <c r="C650" s="15" t="n">
        <v>3200</v>
      </c>
      <c r="D650" s="15" t="n">
        <v>215</v>
      </c>
      <c r="E650" s="13" t="s">
        <v>82</v>
      </c>
      <c r="F650" s="15" t="str">
        <f aca="false">IF(C650&gt;=J650,"ja","nein")</f>
        <v>ja</v>
      </c>
      <c r="G650" s="15" t="str">
        <f aca="false">IF(C650&gt;=K650,"ja","nein")</f>
        <v>ja</v>
      </c>
      <c r="H650" s="15" t="str">
        <f aca="false">IF(C650&gt;=L650,"ja","nein")</f>
        <v>ja</v>
      </c>
      <c r="I650" s="15" t="str">
        <f aca="false">IF(C650&gt;=M650,"ja","nein")</f>
        <v>ja</v>
      </c>
      <c r="J650" s="15" t="n">
        <f aca="false">ROUND(Annahmen!$K$35*(1+Annahmen!$B$20*D650/1000),0)</f>
        <v>856</v>
      </c>
      <c r="K650" s="15" t="n">
        <f aca="false">ROUND(Annahmen!$K$36*(1+Annahmen!$B$20*D650/1000),0)</f>
        <v>1112</v>
      </c>
      <c r="L650" s="15" t="n">
        <f aca="false">ROUND(Annahmen!$K$37*(1+Annahmen!$B$20*D650/1000),0)</f>
        <v>1137</v>
      </c>
      <c r="M650" s="15" t="n">
        <f aca="false">ROUND(Annahmen!$K$38*(1+Annahmen!$B$20*D650/1000),0)</f>
        <v>1137</v>
      </c>
      <c r="N650" s="16" t="s">
        <v>86</v>
      </c>
    </row>
    <row r="651" customFormat="false" ht="15" hidden="false" customHeight="false" outlineLevel="0" collapsed="false">
      <c r="A651" s="13" t="s">
        <v>1374</v>
      </c>
      <c r="B651" s="14" t="s">
        <v>1375</v>
      </c>
      <c r="C651" s="15" t="n">
        <v>3068</v>
      </c>
      <c r="D651" s="15" t="n">
        <v>239</v>
      </c>
      <c r="E651" s="13" t="s">
        <v>82</v>
      </c>
      <c r="F651" s="15" t="str">
        <f aca="false">IF(C651&gt;=J651,"ja","nein")</f>
        <v>ja</v>
      </c>
      <c r="G651" s="15" t="str">
        <f aca="false">IF(C651&gt;=K651,"ja","nein")</f>
        <v>ja</v>
      </c>
      <c r="H651" s="15" t="str">
        <f aca="false">IF(C651&gt;=L651,"ja","nein")</f>
        <v>ja</v>
      </c>
      <c r="I651" s="15" t="str">
        <f aca="false">IF(C651&gt;=M651,"ja","nein")</f>
        <v>ja</v>
      </c>
      <c r="J651" s="15" t="n">
        <f aca="false">ROUND(Annahmen!$K$35*(1+Annahmen!$B$20*D651/1000),0)</f>
        <v>858</v>
      </c>
      <c r="K651" s="15" t="n">
        <f aca="false">ROUND(Annahmen!$K$36*(1+Annahmen!$B$20*D651/1000),0)</f>
        <v>1114</v>
      </c>
      <c r="L651" s="15" t="n">
        <f aca="false">ROUND(Annahmen!$K$37*(1+Annahmen!$B$20*D651/1000),0)</f>
        <v>1139</v>
      </c>
      <c r="M651" s="15" t="n">
        <f aca="false">ROUND(Annahmen!$K$38*(1+Annahmen!$B$20*D651/1000),0)</f>
        <v>1139</v>
      </c>
      <c r="N651" s="16" t="s">
        <v>83</v>
      </c>
    </row>
    <row r="652" customFormat="false" ht="15" hidden="false" customHeight="false" outlineLevel="0" collapsed="false">
      <c r="A652" s="13" t="s">
        <v>1376</v>
      </c>
      <c r="B652" s="14" t="s">
        <v>1377</v>
      </c>
      <c r="C652" s="15" t="n">
        <v>3048</v>
      </c>
      <c r="D652" s="15" t="n">
        <v>47</v>
      </c>
      <c r="E652" s="13" t="s">
        <v>82</v>
      </c>
      <c r="F652" s="15" t="str">
        <f aca="false">IF(C652&gt;=J652,"ja","nein")</f>
        <v>ja</v>
      </c>
      <c r="G652" s="15" t="str">
        <f aca="false">IF(C652&gt;=K652,"ja","nein")</f>
        <v>ja</v>
      </c>
      <c r="H652" s="15" t="str">
        <f aca="false">IF(C652&gt;=L652,"ja","nein")</f>
        <v>ja</v>
      </c>
      <c r="I652" s="15" t="str">
        <f aca="false">IF(C652&gt;=M652,"ja","nein")</f>
        <v>ja</v>
      </c>
      <c r="J652" s="15" t="n">
        <f aca="false">ROUND(Annahmen!$K$35*(1+Annahmen!$B$20*D652/1000),0)</f>
        <v>844</v>
      </c>
      <c r="K652" s="15" t="n">
        <f aca="false">ROUND(Annahmen!$K$36*(1+Annahmen!$B$20*D652/1000),0)</f>
        <v>1096</v>
      </c>
      <c r="L652" s="15" t="n">
        <f aca="false">ROUND(Annahmen!$K$37*(1+Annahmen!$B$20*D652/1000),0)</f>
        <v>1120</v>
      </c>
      <c r="M652" s="15" t="n">
        <f aca="false">ROUND(Annahmen!$K$38*(1+Annahmen!$B$20*D652/1000),0)</f>
        <v>1120</v>
      </c>
      <c r="N652" s="16" t="s">
        <v>83</v>
      </c>
    </row>
    <row r="653" customFormat="false" ht="15" hidden="false" customHeight="false" outlineLevel="0" collapsed="false">
      <c r="A653" s="13" t="s">
        <v>1378</v>
      </c>
      <c r="B653" s="14" t="s">
        <v>1379</v>
      </c>
      <c r="C653" s="15" t="n">
        <v>3017</v>
      </c>
      <c r="D653" s="15" t="n">
        <v>39</v>
      </c>
      <c r="E653" s="13" t="s">
        <v>82</v>
      </c>
      <c r="F653" s="15" t="str">
        <f aca="false">IF(C653&gt;=J653,"ja","nein")</f>
        <v>ja</v>
      </c>
      <c r="G653" s="15" t="str">
        <f aca="false">IF(C653&gt;=K653,"ja","nein")</f>
        <v>ja</v>
      </c>
      <c r="H653" s="15" t="str">
        <f aca="false">IF(C653&gt;=L653,"ja","nein")</f>
        <v>ja</v>
      </c>
      <c r="I653" s="15" t="str">
        <f aca="false">IF(C653&gt;=M653,"ja","nein")</f>
        <v>ja</v>
      </c>
      <c r="J653" s="15" t="n">
        <f aca="false">ROUND(Annahmen!$K$35*(1+Annahmen!$B$20*D653/1000),0)</f>
        <v>843</v>
      </c>
      <c r="K653" s="15" t="n">
        <f aca="false">ROUND(Annahmen!$K$36*(1+Annahmen!$B$20*D653/1000),0)</f>
        <v>1095</v>
      </c>
      <c r="L653" s="15" t="n">
        <f aca="false">ROUND(Annahmen!$K$37*(1+Annahmen!$B$20*D653/1000),0)</f>
        <v>1119</v>
      </c>
      <c r="M653" s="15" t="n">
        <f aca="false">ROUND(Annahmen!$K$38*(1+Annahmen!$B$20*D653/1000),0)</f>
        <v>1119</v>
      </c>
      <c r="N653" s="16" t="s">
        <v>83</v>
      </c>
    </row>
    <row r="654" customFormat="false" ht="15" hidden="false" customHeight="false" outlineLevel="0" collapsed="false">
      <c r="A654" s="13" t="s">
        <v>1380</v>
      </c>
      <c r="B654" s="14" t="s">
        <v>1381</v>
      </c>
      <c r="C654" s="15" t="n">
        <v>3000</v>
      </c>
      <c r="D654" s="15" t="n">
        <v>193</v>
      </c>
      <c r="E654" s="13" t="s">
        <v>82</v>
      </c>
      <c r="F654" s="15" t="str">
        <f aca="false">IF(C654&gt;=J654,"ja","nein")</f>
        <v>ja</v>
      </c>
      <c r="G654" s="15" t="str">
        <f aca="false">IF(C654&gt;=K654,"ja","nein")</f>
        <v>ja</v>
      </c>
      <c r="H654" s="15" t="str">
        <f aca="false">IF(C654&gt;=L654,"ja","nein")</f>
        <v>ja</v>
      </c>
      <c r="I654" s="15" t="str">
        <f aca="false">IF(C654&gt;=M654,"ja","nein")</f>
        <v>ja</v>
      </c>
      <c r="J654" s="15" t="n">
        <f aca="false">ROUND(Annahmen!$K$35*(1+Annahmen!$B$20*D654/1000),0)</f>
        <v>855</v>
      </c>
      <c r="K654" s="15" t="n">
        <f aca="false">ROUND(Annahmen!$K$36*(1+Annahmen!$B$20*D654/1000),0)</f>
        <v>1110</v>
      </c>
      <c r="L654" s="15" t="n">
        <f aca="false">ROUND(Annahmen!$K$37*(1+Annahmen!$B$20*D654/1000),0)</f>
        <v>1134</v>
      </c>
      <c r="M654" s="15" t="n">
        <f aca="false">ROUND(Annahmen!$K$38*(1+Annahmen!$B$20*D654/1000),0)</f>
        <v>1134</v>
      </c>
      <c r="N654" s="16" t="s">
        <v>83</v>
      </c>
    </row>
    <row r="655" customFormat="false" ht="15" hidden="false" customHeight="false" outlineLevel="0" collapsed="false">
      <c r="A655" s="13" t="s">
        <v>1382</v>
      </c>
      <c r="B655" s="14" t="s">
        <v>1383</v>
      </c>
      <c r="C655" s="15" t="n">
        <v>3000</v>
      </c>
      <c r="D655" s="15" t="n">
        <v>87</v>
      </c>
      <c r="E655" s="13" t="s">
        <v>82</v>
      </c>
      <c r="F655" s="15" t="str">
        <f aca="false">IF(C655&gt;=J655,"ja","nein")</f>
        <v>ja</v>
      </c>
      <c r="G655" s="15" t="str">
        <f aca="false">IF(C655&gt;=K655,"ja","nein")</f>
        <v>ja</v>
      </c>
      <c r="H655" s="15" t="str">
        <f aca="false">IF(C655&gt;=L655,"ja","nein")</f>
        <v>ja</v>
      </c>
      <c r="I655" s="15" t="str">
        <f aca="false">IF(C655&gt;=M655,"ja","nein")</f>
        <v>ja</v>
      </c>
      <c r="J655" s="15" t="n">
        <f aca="false">ROUND(Annahmen!$K$35*(1+Annahmen!$B$20*D655/1000),0)</f>
        <v>847</v>
      </c>
      <c r="K655" s="15" t="n">
        <f aca="false">ROUND(Annahmen!$K$36*(1+Annahmen!$B$20*D655/1000),0)</f>
        <v>1100</v>
      </c>
      <c r="L655" s="15" t="n">
        <f aca="false">ROUND(Annahmen!$K$37*(1+Annahmen!$B$20*D655/1000),0)</f>
        <v>1124</v>
      </c>
      <c r="M655" s="15" t="n">
        <f aca="false">ROUND(Annahmen!$K$38*(1+Annahmen!$B$20*D655/1000),0)</f>
        <v>1124</v>
      </c>
      <c r="N655" s="16" t="s">
        <v>86</v>
      </c>
    </row>
    <row r="656" customFormat="false" ht="15" hidden="false" customHeight="false" outlineLevel="0" collapsed="false">
      <c r="A656" s="13" t="s">
        <v>1384</v>
      </c>
      <c r="B656" s="14" t="s">
        <v>1385</v>
      </c>
      <c r="C656" s="15" t="n">
        <v>3000</v>
      </c>
      <c r="D656" s="15" t="n">
        <v>39</v>
      </c>
      <c r="E656" s="13" t="s">
        <v>82</v>
      </c>
      <c r="F656" s="15" t="str">
        <f aca="false">IF(C656&gt;=J656,"ja","nein")</f>
        <v>ja</v>
      </c>
      <c r="G656" s="15" t="str">
        <f aca="false">IF(C656&gt;=K656,"ja","nein")</f>
        <v>ja</v>
      </c>
      <c r="H656" s="15" t="str">
        <f aca="false">IF(C656&gt;=L656,"ja","nein")</f>
        <v>ja</v>
      </c>
      <c r="I656" s="15" t="str">
        <f aca="false">IF(C656&gt;=M656,"ja","nein")</f>
        <v>ja</v>
      </c>
      <c r="J656" s="15" t="n">
        <f aca="false">ROUND(Annahmen!$K$35*(1+Annahmen!$B$20*D656/1000),0)</f>
        <v>843</v>
      </c>
      <c r="K656" s="15" t="n">
        <f aca="false">ROUND(Annahmen!$K$36*(1+Annahmen!$B$20*D656/1000),0)</f>
        <v>1095</v>
      </c>
      <c r="L656" s="15" t="n">
        <f aca="false">ROUND(Annahmen!$K$37*(1+Annahmen!$B$20*D656/1000),0)</f>
        <v>1119</v>
      </c>
      <c r="M656" s="15" t="n">
        <f aca="false">ROUND(Annahmen!$K$38*(1+Annahmen!$B$20*D656/1000),0)</f>
        <v>1119</v>
      </c>
      <c r="N656" s="16" t="s">
        <v>83</v>
      </c>
    </row>
    <row r="657" customFormat="false" ht="15" hidden="false" customHeight="false" outlineLevel="0" collapsed="false">
      <c r="A657" s="13" t="s">
        <v>1386</v>
      </c>
      <c r="B657" s="14" t="s">
        <v>1387</v>
      </c>
      <c r="C657" s="15" t="n">
        <v>2996</v>
      </c>
      <c r="D657" s="15" t="n">
        <v>40</v>
      </c>
      <c r="E657" s="13" t="s">
        <v>82</v>
      </c>
      <c r="F657" s="15" t="str">
        <f aca="false">IF(C657&gt;=J657,"ja","nein")</f>
        <v>ja</v>
      </c>
      <c r="G657" s="15" t="str">
        <f aca="false">IF(C657&gt;=K657,"ja","nein")</f>
        <v>ja</v>
      </c>
      <c r="H657" s="15" t="str">
        <f aca="false">IF(C657&gt;=L657,"ja","nein")</f>
        <v>ja</v>
      </c>
      <c r="I657" s="15" t="str">
        <f aca="false">IF(C657&gt;=M657,"ja","nein")</f>
        <v>ja</v>
      </c>
      <c r="J657" s="15" t="n">
        <f aca="false">ROUND(Annahmen!$K$35*(1+Annahmen!$B$20*D657/1000),0)</f>
        <v>843</v>
      </c>
      <c r="K657" s="15" t="n">
        <f aca="false">ROUND(Annahmen!$K$36*(1+Annahmen!$B$20*D657/1000),0)</f>
        <v>1095</v>
      </c>
      <c r="L657" s="15" t="n">
        <f aca="false">ROUND(Annahmen!$K$37*(1+Annahmen!$B$20*D657/1000),0)</f>
        <v>1119</v>
      </c>
      <c r="M657" s="15" t="n">
        <f aca="false">ROUND(Annahmen!$K$38*(1+Annahmen!$B$20*D657/1000),0)</f>
        <v>1119</v>
      </c>
      <c r="N657" s="16" t="s">
        <v>83</v>
      </c>
    </row>
    <row r="658" customFormat="false" ht="15" hidden="false" customHeight="false" outlineLevel="0" collapsed="false">
      <c r="A658" s="13" t="s">
        <v>1388</v>
      </c>
      <c r="B658" s="14" t="s">
        <v>1389</v>
      </c>
      <c r="C658" s="15" t="n">
        <v>2993</v>
      </c>
      <c r="D658" s="15" t="n">
        <v>6</v>
      </c>
      <c r="E658" s="13" t="s">
        <v>82</v>
      </c>
      <c r="F658" s="15" t="str">
        <f aca="false">IF(C658&gt;=J658,"ja","nein")</f>
        <v>ja</v>
      </c>
      <c r="G658" s="15" t="str">
        <f aca="false">IF(C658&gt;=K658,"ja","nein")</f>
        <v>ja</v>
      </c>
      <c r="H658" s="15" t="str">
        <f aca="false">IF(C658&gt;=L658,"ja","nein")</f>
        <v>ja</v>
      </c>
      <c r="I658" s="15" t="str">
        <f aca="false">IF(C658&gt;=M658,"ja","nein")</f>
        <v>ja</v>
      </c>
      <c r="J658" s="15" t="n">
        <f aca="false">ROUND(Annahmen!$K$35*(1+Annahmen!$B$20*D658/1000),0)</f>
        <v>840</v>
      </c>
      <c r="K658" s="15" t="n">
        <f aca="false">ROUND(Annahmen!$K$36*(1+Annahmen!$B$20*D658/1000),0)</f>
        <v>1092</v>
      </c>
      <c r="L658" s="15" t="n">
        <f aca="false">ROUND(Annahmen!$K$37*(1+Annahmen!$B$20*D658/1000),0)</f>
        <v>1116</v>
      </c>
      <c r="M658" s="15" t="n">
        <f aca="false">ROUND(Annahmen!$K$38*(1+Annahmen!$B$20*D658/1000),0)</f>
        <v>1116</v>
      </c>
      <c r="N658" s="16" t="s">
        <v>83</v>
      </c>
    </row>
    <row r="659" customFormat="false" ht="15" hidden="false" customHeight="false" outlineLevel="0" collapsed="false">
      <c r="A659" s="13" t="s">
        <v>1390</v>
      </c>
      <c r="B659" s="14" t="s">
        <v>1391</v>
      </c>
      <c r="C659" s="15" t="n">
        <v>2990</v>
      </c>
      <c r="D659" s="15" t="n">
        <v>355</v>
      </c>
      <c r="E659" s="13" t="s">
        <v>82</v>
      </c>
      <c r="F659" s="15" t="str">
        <f aca="false">IF(C659&gt;=J659,"ja","nein")</f>
        <v>ja</v>
      </c>
      <c r="G659" s="15" t="str">
        <f aca="false">IF(C659&gt;=K659,"ja","nein")</f>
        <v>ja</v>
      </c>
      <c r="H659" s="15" t="str">
        <f aca="false">IF(C659&gt;=L659,"ja","nein")</f>
        <v>ja</v>
      </c>
      <c r="I659" s="15" t="str">
        <f aca="false">IF(C659&gt;=M659,"ja","nein")</f>
        <v>ja</v>
      </c>
      <c r="J659" s="15" t="n">
        <f aca="false">ROUND(Annahmen!$K$35*(1+Annahmen!$B$20*D659/1000),0)</f>
        <v>867</v>
      </c>
      <c r="K659" s="15" t="n">
        <f aca="false">ROUND(Annahmen!$K$36*(1+Annahmen!$B$20*D659/1000),0)</f>
        <v>1126</v>
      </c>
      <c r="L659" s="15" t="n">
        <f aca="false">ROUND(Annahmen!$K$37*(1+Annahmen!$B$20*D659/1000),0)</f>
        <v>1151</v>
      </c>
      <c r="M659" s="15" t="n">
        <f aca="false">ROUND(Annahmen!$K$38*(1+Annahmen!$B$20*D659/1000),0)</f>
        <v>1151</v>
      </c>
      <c r="N659" s="16" t="s">
        <v>86</v>
      </c>
    </row>
    <row r="660" customFormat="false" ht="15" hidden="false" customHeight="false" outlineLevel="0" collapsed="false">
      <c r="A660" s="13" t="s">
        <v>1392</v>
      </c>
      <c r="B660" s="14" t="s">
        <v>1393</v>
      </c>
      <c r="C660" s="15" t="n">
        <v>2962</v>
      </c>
      <c r="D660" s="15" t="n">
        <v>49</v>
      </c>
      <c r="E660" s="13" t="s">
        <v>82</v>
      </c>
      <c r="F660" s="15" t="str">
        <f aca="false">IF(C660&gt;=J660,"ja","nein")</f>
        <v>ja</v>
      </c>
      <c r="G660" s="15" t="str">
        <f aca="false">IF(C660&gt;=K660,"ja","nein")</f>
        <v>ja</v>
      </c>
      <c r="H660" s="15" t="str">
        <f aca="false">IF(C660&gt;=L660,"ja","nein")</f>
        <v>ja</v>
      </c>
      <c r="I660" s="15" t="str">
        <f aca="false">IF(C660&gt;=M660,"ja","nein")</f>
        <v>ja</v>
      </c>
      <c r="J660" s="15" t="n">
        <f aca="false">ROUND(Annahmen!$K$35*(1+Annahmen!$B$20*D660/1000),0)</f>
        <v>844</v>
      </c>
      <c r="K660" s="15" t="n">
        <f aca="false">ROUND(Annahmen!$K$36*(1+Annahmen!$B$20*D660/1000),0)</f>
        <v>1096</v>
      </c>
      <c r="L660" s="15" t="n">
        <f aca="false">ROUND(Annahmen!$K$37*(1+Annahmen!$B$20*D660/1000),0)</f>
        <v>1120</v>
      </c>
      <c r="M660" s="15" t="n">
        <f aca="false">ROUND(Annahmen!$K$38*(1+Annahmen!$B$20*D660/1000),0)</f>
        <v>1120</v>
      </c>
      <c r="N660" s="16" t="s">
        <v>86</v>
      </c>
    </row>
    <row r="661" customFormat="false" ht="15" hidden="false" customHeight="false" outlineLevel="0" collapsed="false">
      <c r="A661" s="13" t="s">
        <v>1394</v>
      </c>
      <c r="B661" s="14" t="s">
        <v>1395</v>
      </c>
      <c r="C661" s="15" t="n">
        <v>2915</v>
      </c>
      <c r="D661" s="15" t="n">
        <v>13</v>
      </c>
      <c r="E661" s="13" t="s">
        <v>82</v>
      </c>
      <c r="F661" s="15" t="str">
        <f aca="false">IF(C661&gt;=J661,"ja","nein")</f>
        <v>ja</v>
      </c>
      <c r="G661" s="15" t="str">
        <f aca="false">IF(C661&gt;=K661,"ja","nein")</f>
        <v>ja</v>
      </c>
      <c r="H661" s="15" t="str">
        <f aca="false">IF(C661&gt;=L661,"ja","nein")</f>
        <v>ja</v>
      </c>
      <c r="I661" s="15" t="str">
        <f aca="false">IF(C661&gt;=M661,"ja","nein")</f>
        <v>ja</v>
      </c>
      <c r="J661" s="15" t="n">
        <f aca="false">ROUND(Annahmen!$K$35*(1+Annahmen!$B$20*D661/1000),0)</f>
        <v>841</v>
      </c>
      <c r="K661" s="15" t="n">
        <f aca="false">ROUND(Annahmen!$K$36*(1+Annahmen!$B$20*D661/1000),0)</f>
        <v>1092</v>
      </c>
      <c r="L661" s="15" t="n">
        <f aca="false">ROUND(Annahmen!$K$37*(1+Annahmen!$B$20*D661/1000),0)</f>
        <v>1116</v>
      </c>
      <c r="M661" s="15" t="n">
        <f aca="false">ROUND(Annahmen!$K$38*(1+Annahmen!$B$20*D661/1000),0)</f>
        <v>1116</v>
      </c>
      <c r="N661" s="16" t="s">
        <v>83</v>
      </c>
    </row>
    <row r="662" customFormat="false" ht="15" hidden="false" customHeight="false" outlineLevel="0" collapsed="false">
      <c r="A662" s="13" t="s">
        <v>1396</v>
      </c>
      <c r="B662" s="14" t="s">
        <v>1397</v>
      </c>
      <c r="C662" s="15" t="n">
        <v>2874</v>
      </c>
      <c r="D662" s="15" t="n">
        <v>782</v>
      </c>
      <c r="E662" s="13" t="s">
        <v>82</v>
      </c>
      <c r="F662" s="15" t="str">
        <f aca="false">IF(C662&gt;=J662,"ja","nein")</f>
        <v>ja</v>
      </c>
      <c r="G662" s="15" t="str">
        <f aca="false">IF(C662&gt;=K662,"ja","nein")</f>
        <v>ja</v>
      </c>
      <c r="H662" s="15" t="str">
        <f aca="false">IF(C662&gt;=L662,"ja","nein")</f>
        <v>ja</v>
      </c>
      <c r="I662" s="15" t="str">
        <f aca="false">IF(C662&gt;=M662,"ja","nein")</f>
        <v>ja</v>
      </c>
      <c r="J662" s="15" t="n">
        <f aca="false">ROUND(Annahmen!$K$35*(1+Annahmen!$B$20*D662/1000),0)</f>
        <v>899</v>
      </c>
      <c r="K662" s="15" t="n">
        <f aca="false">ROUND(Annahmen!$K$36*(1+Annahmen!$B$20*D662/1000),0)</f>
        <v>1168</v>
      </c>
      <c r="L662" s="15" t="n">
        <f aca="false">ROUND(Annahmen!$K$37*(1+Annahmen!$B$20*D662/1000),0)</f>
        <v>1193</v>
      </c>
      <c r="M662" s="15" t="n">
        <f aca="false">ROUND(Annahmen!$K$38*(1+Annahmen!$B$20*D662/1000),0)</f>
        <v>1193</v>
      </c>
      <c r="N662" s="16" t="s">
        <v>83</v>
      </c>
    </row>
    <row r="663" customFormat="false" ht="15" hidden="false" customHeight="false" outlineLevel="0" collapsed="false">
      <c r="A663" s="13" t="s">
        <v>1398</v>
      </c>
      <c r="B663" s="14" t="s">
        <v>1399</v>
      </c>
      <c r="C663" s="15" t="n">
        <v>2803</v>
      </c>
      <c r="D663" s="15" t="n">
        <v>13</v>
      </c>
      <c r="E663" s="13" t="s">
        <v>82</v>
      </c>
      <c r="F663" s="15" t="str">
        <f aca="false">IF(C663&gt;=J663,"ja","nein")</f>
        <v>ja</v>
      </c>
      <c r="G663" s="15" t="str">
        <f aca="false">IF(C663&gt;=K663,"ja","nein")</f>
        <v>ja</v>
      </c>
      <c r="H663" s="15" t="str">
        <f aca="false">IF(C663&gt;=L663,"ja","nein")</f>
        <v>ja</v>
      </c>
      <c r="I663" s="15" t="str">
        <f aca="false">IF(C663&gt;=M663,"ja","nein")</f>
        <v>ja</v>
      </c>
      <c r="J663" s="15" t="n">
        <f aca="false">ROUND(Annahmen!$K$35*(1+Annahmen!$B$20*D663/1000),0)</f>
        <v>841</v>
      </c>
      <c r="K663" s="15" t="n">
        <f aca="false">ROUND(Annahmen!$K$36*(1+Annahmen!$B$20*D663/1000),0)</f>
        <v>1092</v>
      </c>
      <c r="L663" s="15" t="n">
        <f aca="false">ROUND(Annahmen!$K$37*(1+Annahmen!$B$20*D663/1000),0)</f>
        <v>1116</v>
      </c>
      <c r="M663" s="15" t="n">
        <f aca="false">ROUND(Annahmen!$K$38*(1+Annahmen!$B$20*D663/1000),0)</f>
        <v>1116</v>
      </c>
      <c r="N663" s="16" t="s">
        <v>83</v>
      </c>
    </row>
    <row r="664" customFormat="false" ht="15" hidden="false" customHeight="false" outlineLevel="0" collapsed="false">
      <c r="A664" s="13" t="s">
        <v>1400</v>
      </c>
      <c r="B664" s="14" t="s">
        <v>1401</v>
      </c>
      <c r="C664" s="15" t="n">
        <v>2803</v>
      </c>
      <c r="D664" s="15" t="n">
        <v>123</v>
      </c>
      <c r="E664" s="13" t="s">
        <v>82</v>
      </c>
      <c r="F664" s="15" t="str">
        <f aca="false">IF(C664&gt;=J664,"ja","nein")</f>
        <v>ja</v>
      </c>
      <c r="G664" s="15" t="str">
        <f aca="false">IF(C664&gt;=K664,"ja","nein")</f>
        <v>ja</v>
      </c>
      <c r="H664" s="15" t="str">
        <f aca="false">IF(C664&gt;=L664,"ja","nein")</f>
        <v>ja</v>
      </c>
      <c r="I664" s="15" t="str">
        <f aca="false">IF(C664&gt;=M664,"ja","nein")</f>
        <v>ja</v>
      </c>
      <c r="J664" s="15" t="n">
        <f aca="false">ROUND(Annahmen!$K$35*(1+Annahmen!$B$20*D664/1000),0)</f>
        <v>849</v>
      </c>
      <c r="K664" s="15" t="n">
        <f aca="false">ROUND(Annahmen!$K$36*(1+Annahmen!$B$20*D664/1000),0)</f>
        <v>1103</v>
      </c>
      <c r="L664" s="15" t="n">
        <f aca="false">ROUND(Annahmen!$K$37*(1+Annahmen!$B$20*D664/1000),0)</f>
        <v>1127</v>
      </c>
      <c r="M664" s="15" t="n">
        <f aca="false">ROUND(Annahmen!$K$38*(1+Annahmen!$B$20*D664/1000),0)</f>
        <v>1127</v>
      </c>
      <c r="N664" s="16" t="s">
        <v>83</v>
      </c>
    </row>
    <row r="665" customFormat="false" ht="15" hidden="false" customHeight="false" outlineLevel="0" collapsed="false">
      <c r="A665" s="13" t="s">
        <v>1402</v>
      </c>
      <c r="B665" s="14" t="s">
        <v>1403</v>
      </c>
      <c r="C665" s="15" t="n">
        <v>2745</v>
      </c>
      <c r="D665" s="15" t="n">
        <v>37</v>
      </c>
      <c r="E665" s="13" t="s">
        <v>82</v>
      </c>
      <c r="F665" s="15" t="str">
        <f aca="false">IF(C665&gt;=J665,"ja","nein")</f>
        <v>ja</v>
      </c>
      <c r="G665" s="15" t="str">
        <f aca="false">IF(C665&gt;=K665,"ja","nein")</f>
        <v>ja</v>
      </c>
      <c r="H665" s="15" t="str">
        <f aca="false">IF(C665&gt;=L665,"ja","nein")</f>
        <v>ja</v>
      </c>
      <c r="I665" s="15" t="str">
        <f aca="false">IF(C665&gt;=M665,"ja","nein")</f>
        <v>ja</v>
      </c>
      <c r="J665" s="15" t="n">
        <f aca="false">ROUND(Annahmen!$K$35*(1+Annahmen!$B$20*D665/1000),0)</f>
        <v>843</v>
      </c>
      <c r="K665" s="15" t="n">
        <f aca="false">ROUND(Annahmen!$K$36*(1+Annahmen!$B$20*D665/1000),0)</f>
        <v>1095</v>
      </c>
      <c r="L665" s="15" t="n">
        <f aca="false">ROUND(Annahmen!$K$37*(1+Annahmen!$B$20*D665/1000),0)</f>
        <v>1119</v>
      </c>
      <c r="M665" s="15" t="n">
        <f aca="false">ROUND(Annahmen!$K$38*(1+Annahmen!$B$20*D665/1000),0)</f>
        <v>1119</v>
      </c>
      <c r="N665" s="16" t="s">
        <v>83</v>
      </c>
    </row>
    <row r="666" customFormat="false" ht="15" hidden="false" customHeight="false" outlineLevel="0" collapsed="false">
      <c r="A666" s="13" t="s">
        <v>1404</v>
      </c>
      <c r="B666" s="14" t="s">
        <v>1405</v>
      </c>
      <c r="C666" s="15" t="n">
        <v>2698</v>
      </c>
      <c r="D666" s="15" t="n">
        <v>25</v>
      </c>
      <c r="E666" s="13" t="s">
        <v>82</v>
      </c>
      <c r="F666" s="15" t="str">
        <f aca="false">IF(C666&gt;=J666,"ja","nein")</f>
        <v>ja</v>
      </c>
      <c r="G666" s="15" t="str">
        <f aca="false">IF(C666&gt;=K666,"ja","nein")</f>
        <v>ja</v>
      </c>
      <c r="H666" s="15" t="str">
        <f aca="false">IF(C666&gt;=L666,"ja","nein")</f>
        <v>ja</v>
      </c>
      <c r="I666" s="15" t="str">
        <f aca="false">IF(C666&gt;=M666,"ja","nein")</f>
        <v>ja</v>
      </c>
      <c r="J666" s="15" t="n">
        <f aca="false">ROUND(Annahmen!$K$35*(1+Annahmen!$B$20*D666/1000),0)</f>
        <v>842</v>
      </c>
      <c r="K666" s="15" t="n">
        <f aca="false">ROUND(Annahmen!$K$36*(1+Annahmen!$B$20*D666/1000),0)</f>
        <v>1093</v>
      </c>
      <c r="L666" s="15" t="n">
        <f aca="false">ROUND(Annahmen!$K$37*(1+Annahmen!$B$20*D666/1000),0)</f>
        <v>1118</v>
      </c>
      <c r="M666" s="15" t="n">
        <f aca="false">ROUND(Annahmen!$K$38*(1+Annahmen!$B$20*D666/1000),0)</f>
        <v>1118</v>
      </c>
      <c r="N666" s="16" t="s">
        <v>86</v>
      </c>
    </row>
    <row r="667" customFormat="false" ht="15" hidden="false" customHeight="false" outlineLevel="0" collapsed="false">
      <c r="A667" s="13" t="s">
        <v>1406</v>
      </c>
      <c r="B667" s="14" t="s">
        <v>1407</v>
      </c>
      <c r="C667" s="15" t="n">
        <v>2628</v>
      </c>
      <c r="D667" s="15" t="n">
        <v>294</v>
      </c>
      <c r="E667" s="13" t="s">
        <v>82</v>
      </c>
      <c r="F667" s="15" t="str">
        <f aca="false">IF(C667&gt;=J667,"ja","nein")</f>
        <v>ja</v>
      </c>
      <c r="G667" s="15" t="str">
        <f aca="false">IF(C667&gt;=K667,"ja","nein")</f>
        <v>ja</v>
      </c>
      <c r="H667" s="15" t="str">
        <f aca="false">IF(C667&gt;=L667,"ja","nein")</f>
        <v>ja</v>
      </c>
      <c r="I667" s="15" t="str">
        <f aca="false">IF(C667&gt;=M667,"ja","nein")</f>
        <v>ja</v>
      </c>
      <c r="J667" s="15" t="n">
        <f aca="false">ROUND(Annahmen!$K$35*(1+Annahmen!$B$20*D667/1000),0)</f>
        <v>862</v>
      </c>
      <c r="K667" s="15" t="n">
        <f aca="false">ROUND(Annahmen!$K$36*(1+Annahmen!$B$20*D667/1000),0)</f>
        <v>1120</v>
      </c>
      <c r="L667" s="15" t="n">
        <f aca="false">ROUND(Annahmen!$K$37*(1+Annahmen!$B$20*D667/1000),0)</f>
        <v>1145</v>
      </c>
      <c r="M667" s="15" t="n">
        <f aca="false">ROUND(Annahmen!$K$38*(1+Annahmen!$B$20*D667/1000),0)</f>
        <v>1145</v>
      </c>
      <c r="N667" s="16" t="s">
        <v>83</v>
      </c>
    </row>
    <row r="668" customFormat="false" ht="15" hidden="false" customHeight="false" outlineLevel="0" collapsed="false">
      <c r="A668" s="13" t="s">
        <v>1408</v>
      </c>
      <c r="B668" s="14" t="s">
        <v>1409</v>
      </c>
      <c r="C668" s="15" t="n">
        <v>2460</v>
      </c>
      <c r="D668" s="15" t="n">
        <v>756</v>
      </c>
      <c r="E668" s="13" t="s">
        <v>82</v>
      </c>
      <c r="F668" s="15" t="str">
        <f aca="false">IF(C668&gt;=J668,"ja","nein")</f>
        <v>ja</v>
      </c>
      <c r="G668" s="15" t="str">
        <f aca="false">IF(C668&gt;=K668,"ja","nein")</f>
        <v>ja</v>
      </c>
      <c r="H668" s="15" t="str">
        <f aca="false">IF(C668&gt;=L668,"ja","nein")</f>
        <v>ja</v>
      </c>
      <c r="I668" s="15" t="str">
        <f aca="false">IF(C668&gt;=M668,"ja","nein")</f>
        <v>ja</v>
      </c>
      <c r="J668" s="15" t="n">
        <f aca="false">ROUND(Annahmen!$K$35*(1+Annahmen!$B$20*D668/1000),0)</f>
        <v>897</v>
      </c>
      <c r="K668" s="15" t="n">
        <f aca="false">ROUND(Annahmen!$K$36*(1+Annahmen!$B$20*D668/1000),0)</f>
        <v>1165</v>
      </c>
      <c r="L668" s="15" t="n">
        <f aca="false">ROUND(Annahmen!$K$37*(1+Annahmen!$B$20*D668/1000),0)</f>
        <v>1191</v>
      </c>
      <c r="M668" s="15" t="n">
        <f aca="false">ROUND(Annahmen!$K$38*(1+Annahmen!$B$20*D668/1000),0)</f>
        <v>1191</v>
      </c>
      <c r="N668" s="16" t="s">
        <v>86</v>
      </c>
    </row>
    <row r="669" customFormat="false" ht="15" hidden="false" customHeight="false" outlineLevel="0" collapsed="false">
      <c r="A669" s="13" t="s">
        <v>1410</v>
      </c>
      <c r="B669" s="14" t="s">
        <v>1411</v>
      </c>
      <c r="C669" s="15" t="n">
        <v>2442</v>
      </c>
      <c r="D669" s="15" t="n">
        <v>353</v>
      </c>
      <c r="E669" s="13" t="s">
        <v>82</v>
      </c>
      <c r="F669" s="15" t="str">
        <f aca="false">IF(C669&gt;=J669,"ja","nein")</f>
        <v>ja</v>
      </c>
      <c r="G669" s="15" t="str">
        <f aca="false">IF(C669&gt;=K669,"ja","nein")</f>
        <v>ja</v>
      </c>
      <c r="H669" s="15" t="str">
        <f aca="false">IF(C669&gt;=L669,"ja","nein")</f>
        <v>ja</v>
      </c>
      <c r="I669" s="15" t="str">
        <f aca="false">IF(C669&gt;=M669,"ja","nein")</f>
        <v>ja</v>
      </c>
      <c r="J669" s="15" t="n">
        <f aca="false">ROUND(Annahmen!$K$35*(1+Annahmen!$B$20*D669/1000),0)</f>
        <v>867</v>
      </c>
      <c r="K669" s="15" t="n">
        <f aca="false">ROUND(Annahmen!$K$36*(1+Annahmen!$B$20*D669/1000),0)</f>
        <v>1126</v>
      </c>
      <c r="L669" s="15" t="n">
        <f aca="false">ROUND(Annahmen!$K$37*(1+Annahmen!$B$20*D669/1000),0)</f>
        <v>1150</v>
      </c>
      <c r="M669" s="15" t="n">
        <f aca="false">ROUND(Annahmen!$K$38*(1+Annahmen!$B$20*D669/1000),0)</f>
        <v>1150</v>
      </c>
      <c r="N669" s="16" t="s">
        <v>83</v>
      </c>
    </row>
    <row r="670" customFormat="false" ht="15" hidden="false" customHeight="false" outlineLevel="0" collapsed="false">
      <c r="A670" s="13" t="s">
        <v>1412</v>
      </c>
      <c r="B670" s="14" t="s">
        <v>1413</v>
      </c>
      <c r="C670" s="15" t="n">
        <v>2435</v>
      </c>
      <c r="D670" s="15" t="n">
        <v>39</v>
      </c>
      <c r="E670" s="13" t="s">
        <v>82</v>
      </c>
      <c r="F670" s="15" t="str">
        <f aca="false">IF(C670&gt;=J670,"ja","nein")</f>
        <v>ja</v>
      </c>
      <c r="G670" s="15" t="str">
        <f aca="false">IF(C670&gt;=K670,"ja","nein")</f>
        <v>ja</v>
      </c>
      <c r="H670" s="15" t="str">
        <f aca="false">IF(C670&gt;=L670,"ja","nein")</f>
        <v>ja</v>
      </c>
      <c r="I670" s="15" t="str">
        <f aca="false">IF(C670&gt;=M670,"ja","nein")</f>
        <v>ja</v>
      </c>
      <c r="J670" s="15" t="n">
        <f aca="false">ROUND(Annahmen!$K$35*(1+Annahmen!$B$20*D670/1000),0)</f>
        <v>843</v>
      </c>
      <c r="K670" s="15" t="n">
        <f aca="false">ROUND(Annahmen!$K$36*(1+Annahmen!$B$20*D670/1000),0)</f>
        <v>1095</v>
      </c>
      <c r="L670" s="15" t="n">
        <f aca="false">ROUND(Annahmen!$K$37*(1+Annahmen!$B$20*D670/1000),0)</f>
        <v>1119</v>
      </c>
      <c r="M670" s="15" t="n">
        <f aca="false">ROUND(Annahmen!$K$38*(1+Annahmen!$B$20*D670/1000),0)</f>
        <v>1119</v>
      </c>
      <c r="N670" s="16" t="s">
        <v>83</v>
      </c>
    </row>
    <row r="671" customFormat="false" ht="15" hidden="false" customHeight="false" outlineLevel="0" collapsed="false">
      <c r="A671" s="13" t="s">
        <v>1414</v>
      </c>
      <c r="B671" s="14" t="s">
        <v>1415</v>
      </c>
      <c r="C671" s="15" t="n">
        <v>2420</v>
      </c>
      <c r="D671" s="15" t="n">
        <v>59</v>
      </c>
      <c r="E671" s="13" t="s">
        <v>82</v>
      </c>
      <c r="F671" s="15" t="str">
        <f aca="false">IF(C671&gt;=J671,"ja","nein")</f>
        <v>ja</v>
      </c>
      <c r="G671" s="15" t="str">
        <f aca="false">IF(C671&gt;=K671,"ja","nein")</f>
        <v>ja</v>
      </c>
      <c r="H671" s="15" t="str">
        <f aca="false">IF(C671&gt;=L671,"ja","nein")</f>
        <v>ja</v>
      </c>
      <c r="I671" s="15" t="str">
        <f aca="false">IF(C671&gt;=M671,"ja","nein")</f>
        <v>ja</v>
      </c>
      <c r="J671" s="15" t="n">
        <f aca="false">ROUND(Annahmen!$K$35*(1+Annahmen!$B$20*D671/1000),0)</f>
        <v>844</v>
      </c>
      <c r="K671" s="15" t="n">
        <f aca="false">ROUND(Annahmen!$K$36*(1+Annahmen!$B$20*D671/1000),0)</f>
        <v>1097</v>
      </c>
      <c r="L671" s="15" t="n">
        <f aca="false">ROUND(Annahmen!$K$37*(1+Annahmen!$B$20*D671/1000),0)</f>
        <v>1121</v>
      </c>
      <c r="M671" s="15" t="n">
        <f aca="false">ROUND(Annahmen!$K$38*(1+Annahmen!$B$20*D671/1000),0)</f>
        <v>1121</v>
      </c>
      <c r="N671" s="16" t="s">
        <v>83</v>
      </c>
    </row>
    <row r="672" customFormat="false" ht="15" hidden="false" customHeight="false" outlineLevel="0" collapsed="false">
      <c r="A672" s="13" t="s">
        <v>1416</v>
      </c>
      <c r="B672" s="14" t="s">
        <v>1417</v>
      </c>
      <c r="C672" s="15" t="n">
        <v>2418</v>
      </c>
      <c r="D672" s="15" t="n">
        <v>48</v>
      </c>
      <c r="E672" s="13" t="s">
        <v>82</v>
      </c>
      <c r="F672" s="15" t="str">
        <f aca="false">IF(C672&gt;=J672,"ja","nein")</f>
        <v>ja</v>
      </c>
      <c r="G672" s="15" t="str">
        <f aca="false">IF(C672&gt;=K672,"ja","nein")</f>
        <v>ja</v>
      </c>
      <c r="H672" s="15" t="str">
        <f aca="false">IF(C672&gt;=L672,"ja","nein")</f>
        <v>ja</v>
      </c>
      <c r="I672" s="15" t="str">
        <f aca="false">IF(C672&gt;=M672,"ja","nein")</f>
        <v>ja</v>
      </c>
      <c r="J672" s="15" t="n">
        <f aca="false">ROUND(Annahmen!$K$35*(1+Annahmen!$B$20*D672/1000),0)</f>
        <v>844</v>
      </c>
      <c r="K672" s="15" t="n">
        <f aca="false">ROUND(Annahmen!$K$36*(1+Annahmen!$B$20*D672/1000),0)</f>
        <v>1096</v>
      </c>
      <c r="L672" s="15" t="n">
        <f aca="false">ROUND(Annahmen!$K$37*(1+Annahmen!$B$20*D672/1000),0)</f>
        <v>1120</v>
      </c>
      <c r="M672" s="15" t="n">
        <f aca="false">ROUND(Annahmen!$K$38*(1+Annahmen!$B$20*D672/1000),0)</f>
        <v>1120</v>
      </c>
      <c r="N672" s="16" t="s">
        <v>83</v>
      </c>
    </row>
    <row r="673" customFormat="false" ht="15" hidden="false" customHeight="false" outlineLevel="0" collapsed="false">
      <c r="A673" s="13" t="s">
        <v>1418</v>
      </c>
      <c r="B673" s="14" t="s">
        <v>1419</v>
      </c>
      <c r="C673" s="15" t="n">
        <v>2410</v>
      </c>
      <c r="D673" s="15" t="n">
        <v>97</v>
      </c>
      <c r="E673" s="13" t="s">
        <v>82</v>
      </c>
      <c r="F673" s="15" t="str">
        <f aca="false">IF(C673&gt;=J673,"ja","nein")</f>
        <v>ja</v>
      </c>
      <c r="G673" s="15" t="str">
        <f aca="false">IF(C673&gt;=K673,"ja","nein")</f>
        <v>ja</v>
      </c>
      <c r="H673" s="15" t="str">
        <f aca="false">IF(C673&gt;=L673,"ja","nein")</f>
        <v>ja</v>
      </c>
      <c r="I673" s="15" t="str">
        <f aca="false">IF(C673&gt;=M673,"ja","nein")</f>
        <v>ja</v>
      </c>
      <c r="J673" s="15" t="n">
        <f aca="false">ROUND(Annahmen!$K$35*(1+Annahmen!$B$20*D673/1000),0)</f>
        <v>847</v>
      </c>
      <c r="K673" s="15" t="n">
        <f aca="false">ROUND(Annahmen!$K$36*(1+Annahmen!$B$20*D673/1000),0)</f>
        <v>1101</v>
      </c>
      <c r="L673" s="15" t="n">
        <f aca="false">ROUND(Annahmen!$K$37*(1+Annahmen!$B$20*D673/1000),0)</f>
        <v>1125</v>
      </c>
      <c r="M673" s="15" t="n">
        <f aca="false">ROUND(Annahmen!$K$38*(1+Annahmen!$B$20*D673/1000),0)</f>
        <v>1125</v>
      </c>
      <c r="N673" s="16" t="s">
        <v>86</v>
      </c>
    </row>
    <row r="674" customFormat="false" ht="15" hidden="false" customHeight="false" outlineLevel="0" collapsed="false">
      <c r="A674" s="13" t="s">
        <v>1420</v>
      </c>
      <c r="B674" s="14" t="s">
        <v>1421</v>
      </c>
      <c r="C674" s="15" t="n">
        <v>2202</v>
      </c>
      <c r="D674" s="15" t="n">
        <v>427</v>
      </c>
      <c r="E674" s="13" t="s">
        <v>82</v>
      </c>
      <c r="F674" s="15" t="str">
        <f aca="false">IF(C674&gt;=J674,"ja","nein")</f>
        <v>ja</v>
      </c>
      <c r="G674" s="15" t="str">
        <f aca="false">IF(C674&gt;=K674,"ja","nein")</f>
        <v>ja</v>
      </c>
      <c r="H674" s="15" t="str">
        <f aca="false">IF(C674&gt;=L674,"ja","nein")</f>
        <v>ja</v>
      </c>
      <c r="I674" s="15" t="str">
        <f aca="false">IF(C674&gt;=M674,"ja","nein")</f>
        <v>ja</v>
      </c>
      <c r="J674" s="15" t="n">
        <f aca="false">ROUND(Annahmen!$K$35*(1+Annahmen!$B$20*D674/1000),0)</f>
        <v>872</v>
      </c>
      <c r="K674" s="15" t="n">
        <f aca="false">ROUND(Annahmen!$K$36*(1+Annahmen!$B$20*D674/1000),0)</f>
        <v>1133</v>
      </c>
      <c r="L674" s="15" t="n">
        <f aca="false">ROUND(Annahmen!$K$37*(1+Annahmen!$B$20*D674/1000),0)</f>
        <v>1158</v>
      </c>
      <c r="M674" s="15" t="n">
        <f aca="false">ROUND(Annahmen!$K$38*(1+Annahmen!$B$20*D674/1000),0)</f>
        <v>1158</v>
      </c>
      <c r="N674" s="16" t="s">
        <v>83</v>
      </c>
    </row>
    <row r="675" customFormat="false" ht="15" hidden="false" customHeight="false" outlineLevel="0" collapsed="false">
      <c r="A675" s="13" t="s">
        <v>1422</v>
      </c>
      <c r="B675" s="14" t="s">
        <v>1423</v>
      </c>
      <c r="C675" s="15" t="n">
        <v>2199</v>
      </c>
      <c r="D675" s="15" t="n">
        <v>697</v>
      </c>
      <c r="E675" s="13" t="s">
        <v>82</v>
      </c>
      <c r="F675" s="15" t="str">
        <f aca="false">IF(C675&gt;=J675,"ja","nein")</f>
        <v>ja</v>
      </c>
      <c r="G675" s="15" t="str">
        <f aca="false">IF(C675&gt;=K675,"ja","nein")</f>
        <v>ja</v>
      </c>
      <c r="H675" s="15" t="str">
        <f aca="false">IF(C675&gt;=L675,"ja","nein")</f>
        <v>ja</v>
      </c>
      <c r="I675" s="15" t="str">
        <f aca="false">IF(C675&gt;=M675,"ja","nein")</f>
        <v>ja</v>
      </c>
      <c r="J675" s="15" t="n">
        <f aca="false">ROUND(Annahmen!$K$35*(1+Annahmen!$B$20*D675/1000),0)</f>
        <v>893</v>
      </c>
      <c r="K675" s="15" t="n">
        <f aca="false">ROUND(Annahmen!$K$36*(1+Annahmen!$B$20*D675/1000),0)</f>
        <v>1159</v>
      </c>
      <c r="L675" s="15" t="n">
        <f aca="false">ROUND(Annahmen!$K$37*(1+Annahmen!$B$20*D675/1000),0)</f>
        <v>1185</v>
      </c>
      <c r="M675" s="15" t="n">
        <f aca="false">ROUND(Annahmen!$K$38*(1+Annahmen!$B$20*D675/1000),0)</f>
        <v>1185</v>
      </c>
      <c r="N675" s="16" t="s">
        <v>83</v>
      </c>
    </row>
    <row r="676" customFormat="false" ht="15" hidden="false" customHeight="false" outlineLevel="0" collapsed="false">
      <c r="A676" s="13" t="s">
        <v>1424</v>
      </c>
      <c r="B676" s="14" t="s">
        <v>1425</v>
      </c>
      <c r="C676" s="15" t="n">
        <v>2122</v>
      </c>
      <c r="D676" s="15" t="n">
        <v>161</v>
      </c>
      <c r="E676" s="13" t="s">
        <v>82</v>
      </c>
      <c r="F676" s="15" t="str">
        <f aca="false">IF(C676&gt;=J676,"ja","nein")</f>
        <v>ja</v>
      </c>
      <c r="G676" s="15" t="str">
        <f aca="false">IF(C676&gt;=K676,"ja","nein")</f>
        <v>ja</v>
      </c>
      <c r="H676" s="15" t="str">
        <f aca="false">IF(C676&gt;=L676,"ja","nein")</f>
        <v>ja</v>
      </c>
      <c r="I676" s="15" t="str">
        <f aca="false">IF(C676&gt;=M676,"ja","nein")</f>
        <v>ja</v>
      </c>
      <c r="J676" s="15" t="n">
        <f aca="false">ROUND(Annahmen!$K$35*(1+Annahmen!$B$20*D676/1000),0)</f>
        <v>852</v>
      </c>
      <c r="K676" s="15" t="n">
        <f aca="false">ROUND(Annahmen!$K$36*(1+Annahmen!$B$20*D676/1000),0)</f>
        <v>1107</v>
      </c>
      <c r="L676" s="15" t="n">
        <f aca="false">ROUND(Annahmen!$K$37*(1+Annahmen!$B$20*D676/1000),0)</f>
        <v>1131</v>
      </c>
      <c r="M676" s="15" t="n">
        <f aca="false">ROUND(Annahmen!$K$38*(1+Annahmen!$B$20*D676/1000),0)</f>
        <v>1131</v>
      </c>
      <c r="N676" s="16" t="s">
        <v>86</v>
      </c>
    </row>
    <row r="677" customFormat="false" ht="15" hidden="false" customHeight="false" outlineLevel="0" collapsed="false">
      <c r="A677" s="13" t="s">
        <v>1426</v>
      </c>
      <c r="B677" s="14" t="s">
        <v>1427</v>
      </c>
      <c r="C677" s="15" t="n">
        <v>2104</v>
      </c>
      <c r="D677" s="15" t="n">
        <v>1267</v>
      </c>
      <c r="E677" s="13" t="s">
        <v>82</v>
      </c>
      <c r="F677" s="15" t="str">
        <f aca="false">IF(C677&gt;=J677,"ja","nein")</f>
        <v>ja</v>
      </c>
      <c r="G677" s="15" t="str">
        <f aca="false">IF(C677&gt;=K677,"ja","nein")</f>
        <v>ja</v>
      </c>
      <c r="H677" s="15" t="str">
        <f aca="false">IF(C677&gt;=L677,"ja","nein")</f>
        <v>ja</v>
      </c>
      <c r="I677" s="15" t="str">
        <f aca="false">IF(C677&gt;=M677,"ja","nein")</f>
        <v>ja</v>
      </c>
      <c r="J677" s="15" t="n">
        <f aca="false">ROUND(Annahmen!$K$35*(1+Annahmen!$B$20*D677/1000),0)</f>
        <v>936</v>
      </c>
      <c r="K677" s="15" t="n">
        <f aca="false">ROUND(Annahmen!$K$36*(1+Annahmen!$B$20*D677/1000),0)</f>
        <v>1215</v>
      </c>
      <c r="L677" s="15" t="n">
        <f aca="false">ROUND(Annahmen!$K$37*(1+Annahmen!$B$20*D677/1000),0)</f>
        <v>1242</v>
      </c>
      <c r="M677" s="15" t="n">
        <f aca="false">ROUND(Annahmen!$K$38*(1+Annahmen!$B$20*D677/1000),0)</f>
        <v>1242</v>
      </c>
      <c r="N677" s="16" t="s">
        <v>86</v>
      </c>
    </row>
    <row r="678" customFormat="false" ht="15" hidden="false" customHeight="false" outlineLevel="0" collapsed="false">
      <c r="A678" s="13" t="s">
        <v>1428</v>
      </c>
      <c r="B678" s="14" t="s">
        <v>1429</v>
      </c>
      <c r="C678" s="15" t="n">
        <v>2000</v>
      </c>
      <c r="D678" s="15" t="n">
        <v>522</v>
      </c>
      <c r="E678" s="13" t="s">
        <v>82</v>
      </c>
      <c r="F678" s="15" t="str">
        <f aca="false">IF(C678&gt;=J678,"ja","nein")</f>
        <v>ja</v>
      </c>
      <c r="G678" s="15" t="str">
        <f aca="false">IF(C678&gt;=K678,"ja","nein")</f>
        <v>ja</v>
      </c>
      <c r="H678" s="15" t="str">
        <f aca="false">IF(C678&gt;=L678,"ja","nein")</f>
        <v>ja</v>
      </c>
      <c r="I678" s="15" t="str">
        <f aca="false">IF(C678&gt;=M678,"ja","nein")</f>
        <v>ja</v>
      </c>
      <c r="J678" s="15" t="n">
        <f aca="false">ROUND(Annahmen!$K$35*(1+Annahmen!$B$20*D678/1000),0)</f>
        <v>879</v>
      </c>
      <c r="K678" s="15" t="n">
        <f aca="false">ROUND(Annahmen!$K$36*(1+Annahmen!$B$20*D678/1000),0)</f>
        <v>1142</v>
      </c>
      <c r="L678" s="15" t="n">
        <f aca="false">ROUND(Annahmen!$K$37*(1+Annahmen!$B$20*D678/1000),0)</f>
        <v>1167</v>
      </c>
      <c r="M678" s="15" t="n">
        <f aca="false">ROUND(Annahmen!$K$38*(1+Annahmen!$B$20*D678/1000),0)</f>
        <v>1167</v>
      </c>
      <c r="N678" s="16" t="s">
        <v>86</v>
      </c>
    </row>
    <row r="679" customFormat="false" ht="15" hidden="false" customHeight="false" outlineLevel="0" collapsed="false">
      <c r="A679" s="13" t="s">
        <v>1430</v>
      </c>
      <c r="B679" s="14" t="s">
        <v>1431</v>
      </c>
      <c r="C679" s="15" t="n">
        <v>1996</v>
      </c>
      <c r="D679" s="15" t="n">
        <v>96</v>
      </c>
      <c r="E679" s="13" t="s">
        <v>82</v>
      </c>
      <c r="F679" s="15" t="str">
        <f aca="false">IF(C679&gt;=J679,"ja","nein")</f>
        <v>ja</v>
      </c>
      <c r="G679" s="15" t="str">
        <f aca="false">IF(C679&gt;=K679,"ja","nein")</f>
        <v>ja</v>
      </c>
      <c r="H679" s="15" t="str">
        <f aca="false">IF(C679&gt;=L679,"ja","nein")</f>
        <v>ja</v>
      </c>
      <c r="I679" s="15" t="str">
        <f aca="false">IF(C679&gt;=M679,"ja","nein")</f>
        <v>ja</v>
      </c>
      <c r="J679" s="15" t="n">
        <f aca="false">ROUND(Annahmen!$K$35*(1+Annahmen!$B$20*D679/1000),0)</f>
        <v>847</v>
      </c>
      <c r="K679" s="15" t="n">
        <f aca="false">ROUND(Annahmen!$K$36*(1+Annahmen!$B$20*D679/1000),0)</f>
        <v>1100</v>
      </c>
      <c r="L679" s="15" t="n">
        <f aca="false">ROUND(Annahmen!$K$37*(1+Annahmen!$B$20*D679/1000),0)</f>
        <v>1125</v>
      </c>
      <c r="M679" s="15" t="n">
        <f aca="false">ROUND(Annahmen!$K$38*(1+Annahmen!$B$20*D679/1000),0)</f>
        <v>1125</v>
      </c>
      <c r="N679" s="16" t="s">
        <v>86</v>
      </c>
    </row>
    <row r="680" customFormat="false" ht="15" hidden="false" customHeight="false" outlineLevel="0" collapsed="false">
      <c r="A680" s="13" t="s">
        <v>1432</v>
      </c>
      <c r="B680" s="14" t="s">
        <v>1433</v>
      </c>
      <c r="C680" s="15" t="n">
        <v>1962</v>
      </c>
      <c r="D680" s="15" t="n">
        <v>123</v>
      </c>
      <c r="E680" s="13" t="s">
        <v>82</v>
      </c>
      <c r="F680" s="15" t="str">
        <f aca="false">IF(C680&gt;=J680,"ja","nein")</f>
        <v>ja</v>
      </c>
      <c r="G680" s="15" t="str">
        <f aca="false">IF(C680&gt;=K680,"ja","nein")</f>
        <v>ja</v>
      </c>
      <c r="H680" s="15" t="str">
        <f aca="false">IF(C680&gt;=L680,"ja","nein")</f>
        <v>ja</v>
      </c>
      <c r="I680" s="15" t="str">
        <f aca="false">IF(C680&gt;=M680,"ja","nein")</f>
        <v>ja</v>
      </c>
      <c r="J680" s="15" t="n">
        <f aca="false">ROUND(Annahmen!$K$35*(1+Annahmen!$B$20*D680/1000),0)</f>
        <v>849</v>
      </c>
      <c r="K680" s="15" t="n">
        <f aca="false">ROUND(Annahmen!$K$36*(1+Annahmen!$B$20*D680/1000),0)</f>
        <v>1103</v>
      </c>
      <c r="L680" s="15" t="n">
        <f aca="false">ROUND(Annahmen!$K$37*(1+Annahmen!$B$20*D680/1000),0)</f>
        <v>1127</v>
      </c>
      <c r="M680" s="15" t="n">
        <f aca="false">ROUND(Annahmen!$K$38*(1+Annahmen!$B$20*D680/1000),0)</f>
        <v>1127</v>
      </c>
      <c r="N680" s="16" t="s">
        <v>86</v>
      </c>
    </row>
    <row r="681" customFormat="false" ht="15" hidden="false" customHeight="false" outlineLevel="0" collapsed="false">
      <c r="A681" s="13" t="s">
        <v>1434</v>
      </c>
      <c r="B681" s="14" t="s">
        <v>1435</v>
      </c>
      <c r="C681" s="15" t="n">
        <v>1800</v>
      </c>
      <c r="D681" s="15" t="n">
        <v>70</v>
      </c>
      <c r="E681" s="13" t="s">
        <v>82</v>
      </c>
      <c r="F681" s="15" t="str">
        <f aca="false">IF(C681&gt;=J681,"ja","nein")</f>
        <v>ja</v>
      </c>
      <c r="G681" s="15" t="str">
        <f aca="false">IF(C681&gt;=K681,"ja","nein")</f>
        <v>ja</v>
      </c>
      <c r="H681" s="15" t="str">
        <f aca="false">IF(C681&gt;=L681,"ja","nein")</f>
        <v>ja</v>
      </c>
      <c r="I681" s="15" t="str">
        <f aca="false">IF(C681&gt;=M681,"ja","nein")</f>
        <v>ja</v>
      </c>
      <c r="J681" s="15" t="n">
        <f aca="false">ROUND(Annahmen!$K$35*(1+Annahmen!$B$20*D681/1000),0)</f>
        <v>845</v>
      </c>
      <c r="K681" s="15" t="n">
        <f aca="false">ROUND(Annahmen!$K$36*(1+Annahmen!$B$20*D681/1000),0)</f>
        <v>1098</v>
      </c>
      <c r="L681" s="15" t="n">
        <f aca="false">ROUND(Annahmen!$K$37*(1+Annahmen!$B$20*D681/1000),0)</f>
        <v>1122</v>
      </c>
      <c r="M681" s="15" t="n">
        <f aca="false">ROUND(Annahmen!$K$38*(1+Annahmen!$B$20*D681/1000),0)</f>
        <v>1122</v>
      </c>
      <c r="N681" s="16" t="s">
        <v>86</v>
      </c>
    </row>
    <row r="682" customFormat="false" ht="15" hidden="false" customHeight="false" outlineLevel="0" collapsed="false">
      <c r="A682" s="13" t="s">
        <v>1436</v>
      </c>
      <c r="B682" s="14" t="s">
        <v>1437</v>
      </c>
      <c r="C682" s="15" t="n">
        <v>1740</v>
      </c>
      <c r="D682" s="15" t="n">
        <v>789</v>
      </c>
      <c r="E682" s="13" t="s">
        <v>82</v>
      </c>
      <c r="F682" s="15" t="str">
        <f aca="false">IF(C682&gt;=J682,"ja","nein")</f>
        <v>ja</v>
      </c>
      <c r="G682" s="15" t="str">
        <f aca="false">IF(C682&gt;=K682,"ja","nein")</f>
        <v>ja</v>
      </c>
      <c r="H682" s="15" t="str">
        <f aca="false">IF(C682&gt;=L682,"ja","nein")</f>
        <v>ja</v>
      </c>
      <c r="I682" s="15" t="str">
        <f aca="false">IF(C682&gt;=M682,"ja","nein")</f>
        <v>ja</v>
      </c>
      <c r="J682" s="15" t="n">
        <f aca="false">ROUND(Annahmen!$K$35*(1+Annahmen!$B$20*D682/1000),0)</f>
        <v>900</v>
      </c>
      <c r="K682" s="15" t="n">
        <f aca="false">ROUND(Annahmen!$K$36*(1+Annahmen!$B$20*D682/1000),0)</f>
        <v>1168</v>
      </c>
      <c r="L682" s="15" t="n">
        <f aca="false">ROUND(Annahmen!$K$37*(1+Annahmen!$B$20*D682/1000),0)</f>
        <v>1194</v>
      </c>
      <c r="M682" s="15" t="n">
        <f aca="false">ROUND(Annahmen!$K$38*(1+Annahmen!$B$20*D682/1000),0)</f>
        <v>1194</v>
      </c>
      <c r="N682" s="16" t="s">
        <v>86</v>
      </c>
    </row>
    <row r="683" customFormat="false" ht="15" hidden="false" customHeight="false" outlineLevel="0" collapsed="false">
      <c r="A683" s="13" t="s">
        <v>1438</v>
      </c>
      <c r="B683" s="14" t="s">
        <v>1439</v>
      </c>
      <c r="C683" s="15" t="n">
        <v>1735</v>
      </c>
      <c r="D683" s="15" t="n">
        <v>265</v>
      </c>
      <c r="E683" s="13" t="s">
        <v>82</v>
      </c>
      <c r="F683" s="15" t="str">
        <f aca="false">IF(C683&gt;=J683,"ja","nein")</f>
        <v>ja</v>
      </c>
      <c r="G683" s="15" t="str">
        <f aca="false">IF(C683&gt;=K683,"ja","nein")</f>
        <v>ja</v>
      </c>
      <c r="H683" s="15" t="str">
        <f aca="false">IF(C683&gt;=L683,"ja","nein")</f>
        <v>ja</v>
      </c>
      <c r="I683" s="15" t="str">
        <f aca="false">IF(C683&gt;=M683,"ja","nein")</f>
        <v>ja</v>
      </c>
      <c r="J683" s="15" t="n">
        <f aca="false">ROUND(Annahmen!$K$35*(1+Annahmen!$B$20*D683/1000),0)</f>
        <v>860</v>
      </c>
      <c r="K683" s="15" t="n">
        <f aca="false">ROUND(Annahmen!$K$36*(1+Annahmen!$B$20*D683/1000),0)</f>
        <v>1117</v>
      </c>
      <c r="L683" s="15" t="n">
        <f aca="false">ROUND(Annahmen!$K$37*(1+Annahmen!$B$20*D683/1000),0)</f>
        <v>1142</v>
      </c>
      <c r="M683" s="15" t="n">
        <f aca="false">ROUND(Annahmen!$K$38*(1+Annahmen!$B$20*D683/1000),0)</f>
        <v>1142</v>
      </c>
      <c r="N683" s="16" t="s">
        <v>86</v>
      </c>
    </row>
    <row r="684" customFormat="false" ht="15" hidden="false" customHeight="false" outlineLevel="0" collapsed="false">
      <c r="A684" s="13" t="s">
        <v>1440</v>
      </c>
      <c r="B684" s="14" t="s">
        <v>1441</v>
      </c>
      <c r="C684" s="15" t="n">
        <v>1675</v>
      </c>
      <c r="D684" s="15" t="n">
        <v>628</v>
      </c>
      <c r="E684" s="13" t="s">
        <v>82</v>
      </c>
      <c r="F684" s="15" t="str">
        <f aca="false">IF(C684&gt;=J684,"ja","nein")</f>
        <v>ja</v>
      </c>
      <c r="G684" s="15" t="str">
        <f aca="false">IF(C684&gt;=K684,"ja","nein")</f>
        <v>ja</v>
      </c>
      <c r="H684" s="15" t="str">
        <f aca="false">IF(C684&gt;=L684,"ja","nein")</f>
        <v>ja</v>
      </c>
      <c r="I684" s="15" t="str">
        <f aca="false">IF(C684&gt;=M684,"ja","nein")</f>
        <v>ja</v>
      </c>
      <c r="J684" s="15" t="n">
        <f aca="false">ROUND(Annahmen!$K$35*(1+Annahmen!$B$20*D684/1000),0)</f>
        <v>887</v>
      </c>
      <c r="K684" s="15" t="n">
        <f aca="false">ROUND(Annahmen!$K$36*(1+Annahmen!$B$20*D684/1000),0)</f>
        <v>1153</v>
      </c>
      <c r="L684" s="15" t="n">
        <f aca="false">ROUND(Annahmen!$K$37*(1+Annahmen!$B$20*D684/1000),0)</f>
        <v>1178</v>
      </c>
      <c r="M684" s="15" t="n">
        <f aca="false">ROUND(Annahmen!$K$38*(1+Annahmen!$B$20*D684/1000),0)</f>
        <v>1178</v>
      </c>
      <c r="N684" s="16" t="s">
        <v>86</v>
      </c>
    </row>
    <row r="685" customFormat="false" ht="15" hidden="false" customHeight="false" outlineLevel="0" collapsed="false">
      <c r="A685" s="13" t="s">
        <v>1442</v>
      </c>
      <c r="B685" s="14" t="s">
        <v>1443</v>
      </c>
      <c r="C685" s="15" t="n">
        <v>1560</v>
      </c>
      <c r="D685" s="15" t="n">
        <v>142</v>
      </c>
      <c r="E685" s="13" t="s">
        <v>82</v>
      </c>
      <c r="F685" s="15" t="str">
        <f aca="false">IF(C685&gt;=J685,"ja","nein")</f>
        <v>ja</v>
      </c>
      <c r="G685" s="15" t="str">
        <f aca="false">IF(C685&gt;=K685,"ja","nein")</f>
        <v>ja</v>
      </c>
      <c r="H685" s="15" t="str">
        <f aca="false">IF(C685&gt;=L685,"ja","nein")</f>
        <v>ja</v>
      </c>
      <c r="I685" s="15" t="str">
        <f aca="false">IF(C685&gt;=M685,"ja","nein")</f>
        <v>ja</v>
      </c>
      <c r="J685" s="15" t="n">
        <f aca="false">ROUND(Annahmen!$K$35*(1+Annahmen!$B$20*D685/1000),0)</f>
        <v>851</v>
      </c>
      <c r="K685" s="15" t="n">
        <f aca="false">ROUND(Annahmen!$K$36*(1+Annahmen!$B$20*D685/1000),0)</f>
        <v>1105</v>
      </c>
      <c r="L685" s="15" t="n">
        <f aca="false">ROUND(Annahmen!$K$37*(1+Annahmen!$B$20*D685/1000),0)</f>
        <v>1129</v>
      </c>
      <c r="M685" s="15" t="n">
        <f aca="false">ROUND(Annahmen!$K$38*(1+Annahmen!$B$20*D685/1000),0)</f>
        <v>1129</v>
      </c>
      <c r="N685" s="16" t="s">
        <v>83</v>
      </c>
    </row>
    <row r="686" customFormat="false" ht="15" hidden="false" customHeight="false" outlineLevel="0" collapsed="false">
      <c r="A686" s="13" t="s">
        <v>1444</v>
      </c>
      <c r="B686" s="14" t="s">
        <v>1445</v>
      </c>
      <c r="C686" s="15" t="n">
        <v>1500</v>
      </c>
      <c r="D686" s="15" t="n">
        <v>20</v>
      </c>
      <c r="E686" s="13" t="s">
        <v>82</v>
      </c>
      <c r="F686" s="15" t="str">
        <f aca="false">IF(C686&gt;=J686,"ja","nein")</f>
        <v>ja</v>
      </c>
      <c r="G686" s="15" t="str">
        <f aca="false">IF(C686&gt;=K686,"ja","nein")</f>
        <v>ja</v>
      </c>
      <c r="H686" s="15" t="str">
        <f aca="false">IF(C686&gt;=L686,"ja","nein")</f>
        <v>ja</v>
      </c>
      <c r="I686" s="15" t="str">
        <f aca="false">IF(C686&gt;=M686,"ja","nein")</f>
        <v>ja</v>
      </c>
      <c r="J686" s="15" t="n">
        <f aca="false">ROUND(Annahmen!$K$35*(1+Annahmen!$B$20*D686/1000),0)</f>
        <v>842</v>
      </c>
      <c r="K686" s="15" t="n">
        <f aca="false">ROUND(Annahmen!$K$36*(1+Annahmen!$B$20*D686/1000),0)</f>
        <v>1093</v>
      </c>
      <c r="L686" s="15" t="n">
        <f aca="false">ROUND(Annahmen!$K$37*(1+Annahmen!$B$20*D686/1000),0)</f>
        <v>1117</v>
      </c>
      <c r="M686" s="15" t="n">
        <f aca="false">ROUND(Annahmen!$K$38*(1+Annahmen!$B$20*D686/1000),0)</f>
        <v>1117</v>
      </c>
      <c r="N686" s="16" t="s">
        <v>102</v>
      </c>
    </row>
    <row r="687" customFormat="false" ht="15" hidden="false" customHeight="false" outlineLevel="0" collapsed="false">
      <c r="A687" s="13" t="s">
        <v>1446</v>
      </c>
      <c r="B687" s="14" t="s">
        <v>1447</v>
      </c>
      <c r="C687" s="15" t="n">
        <v>1432</v>
      </c>
      <c r="D687" s="15" t="n">
        <v>148</v>
      </c>
      <c r="E687" s="13" t="s">
        <v>82</v>
      </c>
      <c r="F687" s="15" t="str">
        <f aca="false">IF(C687&gt;=J687,"ja","nein")</f>
        <v>ja</v>
      </c>
      <c r="G687" s="15" t="str">
        <f aca="false">IF(C687&gt;=K687,"ja","nein")</f>
        <v>ja</v>
      </c>
      <c r="H687" s="15" t="str">
        <f aca="false">IF(C687&gt;=L687,"ja","nein")</f>
        <v>ja</v>
      </c>
      <c r="I687" s="15" t="str">
        <f aca="false">IF(C687&gt;=M687,"ja","nein")</f>
        <v>ja</v>
      </c>
      <c r="J687" s="15" t="n">
        <f aca="false">ROUND(Annahmen!$K$35*(1+Annahmen!$B$20*D687/1000),0)</f>
        <v>851</v>
      </c>
      <c r="K687" s="15" t="n">
        <f aca="false">ROUND(Annahmen!$K$36*(1+Annahmen!$B$20*D687/1000),0)</f>
        <v>1106</v>
      </c>
      <c r="L687" s="15" t="n">
        <f aca="false">ROUND(Annahmen!$K$37*(1+Annahmen!$B$20*D687/1000),0)</f>
        <v>1130</v>
      </c>
      <c r="M687" s="15" t="n">
        <f aca="false">ROUND(Annahmen!$K$38*(1+Annahmen!$B$20*D687/1000),0)</f>
        <v>1130</v>
      </c>
      <c r="N687" s="16" t="s">
        <v>86</v>
      </c>
    </row>
    <row r="688" customFormat="false" ht="15" hidden="false" customHeight="false" outlineLevel="0" collapsed="false">
      <c r="A688" s="13" t="s">
        <v>1448</v>
      </c>
      <c r="B688" s="14" t="s">
        <v>1449</v>
      </c>
      <c r="C688" s="15" t="n">
        <v>1420</v>
      </c>
      <c r="D688" s="15" t="n">
        <v>1100</v>
      </c>
      <c r="E688" s="13" t="s">
        <v>82</v>
      </c>
      <c r="F688" s="15" t="str">
        <f aca="false">IF(C688&gt;=J688,"ja","nein")</f>
        <v>ja</v>
      </c>
      <c r="G688" s="15" t="str">
        <f aca="false">IF(C688&gt;=K688,"ja","nein")</f>
        <v>ja</v>
      </c>
      <c r="H688" s="15" t="str">
        <f aca="false">IF(C688&gt;=L688,"ja","nein")</f>
        <v>ja</v>
      </c>
      <c r="I688" s="15" t="str">
        <f aca="false">IF(C688&gt;=M688,"ja","nein")</f>
        <v>ja</v>
      </c>
      <c r="J688" s="15" t="n">
        <f aca="false">ROUND(Annahmen!$K$35*(1+Annahmen!$B$20*D688/1000),0)</f>
        <v>923</v>
      </c>
      <c r="K688" s="15" t="n">
        <f aca="false">ROUND(Annahmen!$K$36*(1+Annahmen!$B$20*D688/1000),0)</f>
        <v>1199</v>
      </c>
      <c r="L688" s="15" t="n">
        <f aca="false">ROUND(Annahmen!$K$37*(1+Annahmen!$B$20*D688/1000),0)</f>
        <v>1225</v>
      </c>
      <c r="M688" s="15" t="n">
        <f aca="false">ROUND(Annahmen!$K$38*(1+Annahmen!$B$20*D688/1000),0)</f>
        <v>1225</v>
      </c>
      <c r="N688" s="16" t="s">
        <v>86</v>
      </c>
    </row>
    <row r="689" customFormat="false" ht="15" hidden="false" customHeight="false" outlineLevel="0" collapsed="false">
      <c r="A689" s="13" t="s">
        <v>1450</v>
      </c>
      <c r="B689" s="14" t="s">
        <v>1451</v>
      </c>
      <c r="C689" s="15" t="n">
        <v>1409</v>
      </c>
      <c r="D689" s="15" t="n">
        <v>2211</v>
      </c>
      <c r="E689" s="13" t="s">
        <v>82</v>
      </c>
      <c r="F689" s="15" t="str">
        <f aca="false">IF(C689&gt;=J689,"ja","nein")</f>
        <v>ja</v>
      </c>
      <c r="G689" s="15" t="str">
        <f aca="false">IF(C689&gt;=K689,"ja","nein")</f>
        <v>ja</v>
      </c>
      <c r="H689" s="15" t="str">
        <f aca="false">IF(C689&gt;=L689,"ja","nein")</f>
        <v>ja</v>
      </c>
      <c r="I689" s="15" t="str">
        <f aca="false">IF(C689&gt;=M689,"ja","nein")</f>
        <v>ja</v>
      </c>
      <c r="J689" s="15" t="n">
        <f aca="false">ROUND(Annahmen!$K$35*(1+Annahmen!$B$20*D689/1000),0)</f>
        <v>1007</v>
      </c>
      <c r="K689" s="15" t="n">
        <f aca="false">ROUND(Annahmen!$K$36*(1+Annahmen!$B$20*D689/1000),0)</f>
        <v>1308</v>
      </c>
      <c r="L689" s="15" t="n">
        <f aca="false">ROUND(Annahmen!$K$37*(1+Annahmen!$B$20*D689/1000),0)</f>
        <v>1337</v>
      </c>
      <c r="M689" s="15" t="n">
        <f aca="false">ROUND(Annahmen!$K$38*(1+Annahmen!$B$20*D689/1000),0)</f>
        <v>1337</v>
      </c>
      <c r="N689" s="16" t="s">
        <v>102</v>
      </c>
    </row>
    <row r="690" customFormat="false" ht="15" hidden="false" customHeight="false" outlineLevel="0" collapsed="false">
      <c r="A690" s="13" t="s">
        <v>1452</v>
      </c>
      <c r="B690" s="14" t="s">
        <v>1453</v>
      </c>
      <c r="C690" s="15" t="n">
        <v>1402</v>
      </c>
      <c r="D690" s="15" t="n">
        <v>180</v>
      </c>
      <c r="E690" s="13" t="s">
        <v>82</v>
      </c>
      <c r="F690" s="15" t="str">
        <f aca="false">IF(C690&gt;=J690,"ja","nein")</f>
        <v>ja</v>
      </c>
      <c r="G690" s="15" t="str">
        <f aca="false">IF(C690&gt;=K690,"ja","nein")</f>
        <v>ja</v>
      </c>
      <c r="H690" s="15" t="str">
        <f aca="false">IF(C690&gt;=L690,"ja","nein")</f>
        <v>ja</v>
      </c>
      <c r="I690" s="15" t="str">
        <f aca="false">IF(C690&gt;=M690,"ja","nein")</f>
        <v>ja</v>
      </c>
      <c r="J690" s="15" t="n">
        <f aca="false">ROUND(Annahmen!$K$35*(1+Annahmen!$B$20*D690/1000),0)</f>
        <v>854</v>
      </c>
      <c r="K690" s="15" t="n">
        <f aca="false">ROUND(Annahmen!$K$36*(1+Annahmen!$B$20*D690/1000),0)</f>
        <v>1109</v>
      </c>
      <c r="L690" s="15" t="n">
        <f aca="false">ROUND(Annahmen!$K$37*(1+Annahmen!$B$20*D690/1000),0)</f>
        <v>1133</v>
      </c>
      <c r="M690" s="15" t="n">
        <f aca="false">ROUND(Annahmen!$K$38*(1+Annahmen!$B$20*D690/1000),0)</f>
        <v>1133</v>
      </c>
      <c r="N690" s="16" t="s">
        <v>102</v>
      </c>
    </row>
    <row r="691" customFormat="false" ht="15" hidden="false" customHeight="false" outlineLevel="0" collapsed="false">
      <c r="A691" s="13" t="s">
        <v>1454</v>
      </c>
      <c r="B691" s="14" t="s">
        <v>1455</v>
      </c>
      <c r="C691" s="15" t="n">
        <v>1400</v>
      </c>
      <c r="D691" s="15" t="n">
        <v>730</v>
      </c>
      <c r="E691" s="13" t="s">
        <v>82</v>
      </c>
      <c r="F691" s="15" t="str">
        <f aca="false">IF(C691&gt;=J691,"ja","nein")</f>
        <v>ja</v>
      </c>
      <c r="G691" s="15" t="str">
        <f aca="false">IF(C691&gt;=K691,"ja","nein")</f>
        <v>ja</v>
      </c>
      <c r="H691" s="15" t="str">
        <f aca="false">IF(C691&gt;=L691,"ja","nein")</f>
        <v>ja</v>
      </c>
      <c r="I691" s="15" t="str">
        <f aca="false">IF(C691&gt;=M691,"ja","nein")</f>
        <v>ja</v>
      </c>
      <c r="J691" s="15" t="n">
        <f aca="false">ROUND(Annahmen!$K$35*(1+Annahmen!$B$20*D691/1000),0)</f>
        <v>895</v>
      </c>
      <c r="K691" s="15" t="n">
        <f aca="false">ROUND(Annahmen!$K$36*(1+Annahmen!$B$20*D691/1000),0)</f>
        <v>1163</v>
      </c>
      <c r="L691" s="15" t="n">
        <f aca="false">ROUND(Annahmen!$K$37*(1+Annahmen!$B$20*D691/1000),0)</f>
        <v>1188</v>
      </c>
      <c r="M691" s="15" t="n">
        <f aca="false">ROUND(Annahmen!$K$38*(1+Annahmen!$B$20*D691/1000),0)</f>
        <v>1188</v>
      </c>
      <c r="N691" s="16" t="s">
        <v>102</v>
      </c>
    </row>
    <row r="692" customFormat="false" ht="15" hidden="false" customHeight="false" outlineLevel="0" collapsed="false">
      <c r="A692" s="13" t="s">
        <v>1456</v>
      </c>
      <c r="B692" s="14" t="s">
        <v>1457</v>
      </c>
      <c r="C692" s="15" t="n">
        <v>1393</v>
      </c>
      <c r="D692" s="15" t="n">
        <v>634</v>
      </c>
      <c r="E692" s="13" t="s">
        <v>82</v>
      </c>
      <c r="F692" s="15" t="str">
        <f aca="false">IF(C692&gt;=J692,"ja","nein")</f>
        <v>ja</v>
      </c>
      <c r="G692" s="15" t="str">
        <f aca="false">IF(C692&gt;=K692,"ja","nein")</f>
        <v>ja</v>
      </c>
      <c r="H692" s="15" t="str">
        <f aca="false">IF(C692&gt;=L692,"ja","nein")</f>
        <v>ja</v>
      </c>
      <c r="I692" s="15" t="str">
        <f aca="false">IF(C692&gt;=M692,"ja","nein")</f>
        <v>ja</v>
      </c>
      <c r="J692" s="15" t="n">
        <f aca="false">ROUND(Annahmen!$K$35*(1+Annahmen!$B$20*D692/1000),0)</f>
        <v>888</v>
      </c>
      <c r="K692" s="15" t="n">
        <f aca="false">ROUND(Annahmen!$K$36*(1+Annahmen!$B$20*D692/1000),0)</f>
        <v>1153</v>
      </c>
      <c r="L692" s="15" t="n">
        <f aca="false">ROUND(Annahmen!$K$37*(1+Annahmen!$B$20*D692/1000),0)</f>
        <v>1179</v>
      </c>
      <c r="M692" s="15" t="n">
        <f aca="false">ROUND(Annahmen!$K$38*(1+Annahmen!$B$20*D692/1000),0)</f>
        <v>1179</v>
      </c>
      <c r="N692" s="16" t="s">
        <v>86</v>
      </c>
    </row>
    <row r="693" customFormat="false" ht="15" hidden="false" customHeight="false" outlineLevel="0" collapsed="false">
      <c r="A693" s="13" t="s">
        <v>1458</v>
      </c>
      <c r="B693" s="14" t="s">
        <v>1459</v>
      </c>
      <c r="C693" s="15" t="n">
        <v>1320</v>
      </c>
      <c r="D693" s="15" t="n">
        <v>920</v>
      </c>
      <c r="E693" s="13" t="s">
        <v>82</v>
      </c>
      <c r="F693" s="15" t="str">
        <f aca="false">IF(C693&gt;=J693,"ja","nein")</f>
        <v>ja</v>
      </c>
      <c r="G693" s="15" t="str">
        <f aca="false">IF(C693&gt;=K693,"ja","nein")</f>
        <v>ja</v>
      </c>
      <c r="H693" s="15" t="str">
        <f aca="false">IF(C693&gt;=L693,"ja","nein")</f>
        <v>ja</v>
      </c>
      <c r="I693" s="15" t="str">
        <f aca="false">IF(C693&gt;=M693,"ja","nein")</f>
        <v>ja</v>
      </c>
      <c r="J693" s="15" t="n">
        <f aca="false">ROUND(Annahmen!$K$35*(1+Annahmen!$B$20*D693/1000),0)</f>
        <v>910</v>
      </c>
      <c r="K693" s="15" t="n">
        <f aca="false">ROUND(Annahmen!$K$36*(1+Annahmen!$B$20*D693/1000),0)</f>
        <v>1181</v>
      </c>
      <c r="L693" s="15" t="n">
        <f aca="false">ROUND(Annahmen!$K$37*(1+Annahmen!$B$20*D693/1000),0)</f>
        <v>1207</v>
      </c>
      <c r="M693" s="15" t="n">
        <f aca="false">ROUND(Annahmen!$K$38*(1+Annahmen!$B$20*D693/1000),0)</f>
        <v>1207</v>
      </c>
      <c r="N693" s="16" t="s">
        <v>86</v>
      </c>
    </row>
    <row r="694" customFormat="false" ht="15" hidden="false" customHeight="false" outlineLevel="0" collapsed="false">
      <c r="A694" s="13" t="s">
        <v>1460</v>
      </c>
      <c r="B694" s="14" t="s">
        <v>1461</v>
      </c>
      <c r="C694" s="15" t="n">
        <v>1300</v>
      </c>
      <c r="D694" s="15" t="n">
        <v>992</v>
      </c>
      <c r="E694" s="13" t="s">
        <v>82</v>
      </c>
      <c r="F694" s="15" t="str">
        <f aca="false">IF(C694&gt;=J694,"ja","nein")</f>
        <v>ja</v>
      </c>
      <c r="G694" s="15" t="str">
        <f aca="false">IF(C694&gt;=K694,"ja","nein")</f>
        <v>ja</v>
      </c>
      <c r="H694" s="15" t="str">
        <f aca="false">IF(C694&gt;=L694,"ja","nein")</f>
        <v>ja</v>
      </c>
      <c r="I694" s="15" t="str">
        <f aca="false">IF(C694&gt;=M694,"ja","nein")</f>
        <v>ja</v>
      </c>
      <c r="J694" s="15" t="n">
        <f aca="false">ROUND(Annahmen!$K$35*(1+Annahmen!$B$20*D694/1000),0)</f>
        <v>915</v>
      </c>
      <c r="K694" s="15" t="n">
        <f aca="false">ROUND(Annahmen!$K$36*(1+Annahmen!$B$20*D694/1000),0)</f>
        <v>1188</v>
      </c>
      <c r="L694" s="15" t="n">
        <f aca="false">ROUND(Annahmen!$K$37*(1+Annahmen!$B$20*D694/1000),0)</f>
        <v>1215</v>
      </c>
      <c r="M694" s="15" t="n">
        <f aca="false">ROUND(Annahmen!$K$38*(1+Annahmen!$B$20*D694/1000),0)</f>
        <v>1215</v>
      </c>
      <c r="N694" s="16" t="s">
        <v>86</v>
      </c>
    </row>
    <row r="695" customFormat="false" ht="15" hidden="false" customHeight="false" outlineLevel="0" collapsed="false">
      <c r="A695" s="13" t="s">
        <v>1462</v>
      </c>
      <c r="B695" s="14" t="s">
        <v>1463</v>
      </c>
      <c r="C695" s="15" t="n">
        <v>1246</v>
      </c>
      <c r="D695" s="15" t="n">
        <v>1791</v>
      </c>
      <c r="E695" s="13" t="s">
        <v>82</v>
      </c>
      <c r="F695" s="15" t="str">
        <f aca="false">IF(C695&gt;=J695,"ja","nein")</f>
        <v>ja</v>
      </c>
      <c r="G695" s="15" t="str">
        <f aca="false">IF(C695&gt;=K695,"ja","nein")</f>
        <v>nein</v>
      </c>
      <c r="H695" s="15" t="str">
        <f aca="false">IF(C695&gt;=L695,"ja","nein")</f>
        <v>nein</v>
      </c>
      <c r="I695" s="15" t="str">
        <f aca="false">IF(C695&gt;=M695,"ja","nein")</f>
        <v>nein</v>
      </c>
      <c r="J695" s="15" t="n">
        <f aca="false">ROUND(Annahmen!$K$35*(1+Annahmen!$B$20*D695/1000),0)</f>
        <v>975</v>
      </c>
      <c r="K695" s="15" t="n">
        <f aca="false">ROUND(Annahmen!$K$36*(1+Annahmen!$B$20*D695/1000),0)</f>
        <v>1267</v>
      </c>
      <c r="L695" s="15" t="n">
        <f aca="false">ROUND(Annahmen!$K$37*(1+Annahmen!$B$20*D695/1000),0)</f>
        <v>1295</v>
      </c>
      <c r="M695" s="15" t="n">
        <f aca="false">ROUND(Annahmen!$K$38*(1+Annahmen!$B$20*D695/1000),0)</f>
        <v>1295</v>
      </c>
      <c r="N695" s="16" t="s">
        <v>86</v>
      </c>
    </row>
    <row r="696" customFormat="false" ht="15" hidden="false" customHeight="false" outlineLevel="0" collapsed="false">
      <c r="A696" s="13" t="s">
        <v>1464</v>
      </c>
      <c r="B696" s="14" t="s">
        <v>1465</v>
      </c>
      <c r="C696" s="15" t="n">
        <v>1224</v>
      </c>
      <c r="D696" s="15" t="n">
        <v>345</v>
      </c>
      <c r="E696" s="13" t="s">
        <v>82</v>
      </c>
      <c r="F696" s="15" t="str">
        <f aca="false">IF(C696&gt;=J696,"ja","nein")</f>
        <v>ja</v>
      </c>
      <c r="G696" s="15" t="str">
        <f aca="false">IF(C696&gt;=K696,"ja","nein")</f>
        <v>ja</v>
      </c>
      <c r="H696" s="15" t="str">
        <f aca="false">IF(C696&gt;=L696,"ja","nein")</f>
        <v>ja</v>
      </c>
      <c r="I696" s="15" t="str">
        <f aca="false">IF(C696&gt;=M696,"ja","nein")</f>
        <v>ja</v>
      </c>
      <c r="J696" s="15" t="n">
        <f aca="false">ROUND(Annahmen!$K$35*(1+Annahmen!$B$20*D696/1000),0)</f>
        <v>866</v>
      </c>
      <c r="K696" s="15" t="n">
        <f aca="false">ROUND(Annahmen!$K$36*(1+Annahmen!$B$20*D696/1000),0)</f>
        <v>1125</v>
      </c>
      <c r="L696" s="15" t="n">
        <f aca="false">ROUND(Annahmen!$K$37*(1+Annahmen!$B$20*D696/1000),0)</f>
        <v>1150</v>
      </c>
      <c r="M696" s="15" t="n">
        <f aca="false">ROUND(Annahmen!$K$38*(1+Annahmen!$B$20*D696/1000),0)</f>
        <v>1150</v>
      </c>
      <c r="N696" s="16" t="s">
        <v>86</v>
      </c>
    </row>
    <row r="697" customFormat="false" ht="15" hidden="false" customHeight="false" outlineLevel="0" collapsed="false">
      <c r="A697" s="13" t="s">
        <v>1466</v>
      </c>
      <c r="B697" s="14" t="s">
        <v>1467</v>
      </c>
      <c r="C697" s="15" t="n">
        <v>1210</v>
      </c>
      <c r="D697" s="15" t="n">
        <v>152</v>
      </c>
      <c r="E697" s="13" t="s">
        <v>82</v>
      </c>
      <c r="F697" s="15" t="str">
        <f aca="false">IF(C697&gt;=J697,"ja","nein")</f>
        <v>ja</v>
      </c>
      <c r="G697" s="15" t="str">
        <f aca="false">IF(C697&gt;=K697,"ja","nein")</f>
        <v>ja</v>
      </c>
      <c r="H697" s="15" t="str">
        <f aca="false">IF(C697&gt;=L697,"ja","nein")</f>
        <v>ja</v>
      </c>
      <c r="I697" s="15" t="str">
        <f aca="false">IF(C697&gt;=M697,"ja","nein")</f>
        <v>ja</v>
      </c>
      <c r="J697" s="15" t="n">
        <f aca="false">ROUND(Annahmen!$K$35*(1+Annahmen!$B$20*D697/1000),0)</f>
        <v>851</v>
      </c>
      <c r="K697" s="15" t="n">
        <f aca="false">ROUND(Annahmen!$K$36*(1+Annahmen!$B$20*D697/1000),0)</f>
        <v>1106</v>
      </c>
      <c r="L697" s="15" t="n">
        <f aca="false">ROUND(Annahmen!$K$37*(1+Annahmen!$B$20*D697/1000),0)</f>
        <v>1130</v>
      </c>
      <c r="M697" s="15" t="n">
        <f aca="false">ROUND(Annahmen!$K$38*(1+Annahmen!$B$20*D697/1000),0)</f>
        <v>1130</v>
      </c>
      <c r="N697" s="16" t="s">
        <v>102</v>
      </c>
    </row>
    <row r="698" customFormat="false" ht="15" hidden="false" customHeight="false" outlineLevel="0" collapsed="false">
      <c r="A698" s="13" t="s">
        <v>1468</v>
      </c>
      <c r="B698" s="14" t="s">
        <v>1469</v>
      </c>
      <c r="C698" s="15" t="n">
        <v>1200</v>
      </c>
      <c r="D698" s="15" t="n">
        <v>1</v>
      </c>
      <c r="E698" s="13" t="s">
        <v>82</v>
      </c>
      <c r="F698" s="15" t="str">
        <f aca="false">IF(C698&gt;=J698,"ja","nein")</f>
        <v>ja</v>
      </c>
      <c r="G698" s="15" t="str">
        <f aca="false">IF(C698&gt;=K698,"ja","nein")</f>
        <v>ja</v>
      </c>
      <c r="H698" s="15" t="str">
        <f aca="false">IF(C698&gt;=L698,"ja","nein")</f>
        <v>ja</v>
      </c>
      <c r="I698" s="15" t="str">
        <f aca="false">IF(C698&gt;=M698,"ja","nein")</f>
        <v>ja</v>
      </c>
      <c r="J698" s="15" t="n">
        <f aca="false">ROUND(Annahmen!$K$35*(1+Annahmen!$B$20*D698/1000),0)</f>
        <v>840</v>
      </c>
      <c r="K698" s="15" t="n">
        <f aca="false">ROUND(Annahmen!$K$36*(1+Annahmen!$B$20*D698/1000),0)</f>
        <v>1091</v>
      </c>
      <c r="L698" s="15" t="n">
        <f aca="false">ROUND(Annahmen!$K$37*(1+Annahmen!$B$20*D698/1000),0)</f>
        <v>1115</v>
      </c>
      <c r="M698" s="15" t="n">
        <f aca="false">ROUND(Annahmen!$K$38*(1+Annahmen!$B$20*D698/1000),0)</f>
        <v>1115</v>
      </c>
      <c r="N698" s="16" t="s">
        <v>102</v>
      </c>
    </row>
    <row r="699" customFormat="false" ht="15" hidden="false" customHeight="false" outlineLevel="0" collapsed="false">
      <c r="A699" s="13" t="s">
        <v>1470</v>
      </c>
      <c r="B699" s="14" t="s">
        <v>1471</v>
      </c>
      <c r="C699" s="15" t="n">
        <v>1199</v>
      </c>
      <c r="D699" s="15" t="n">
        <v>36</v>
      </c>
      <c r="E699" s="13" t="s">
        <v>82</v>
      </c>
      <c r="F699" s="15" t="str">
        <f aca="false">IF(C699&gt;=J699,"ja","nein")</f>
        <v>ja</v>
      </c>
      <c r="G699" s="15" t="str">
        <f aca="false">IF(C699&gt;=K699,"ja","nein")</f>
        <v>ja</v>
      </c>
      <c r="H699" s="15" t="str">
        <f aca="false">IF(C699&gt;=L699,"ja","nein")</f>
        <v>ja</v>
      </c>
      <c r="I699" s="15" t="str">
        <f aca="false">IF(C699&gt;=M699,"ja","nein")</f>
        <v>ja</v>
      </c>
      <c r="J699" s="15" t="n">
        <f aca="false">ROUND(Annahmen!$K$35*(1+Annahmen!$B$20*D699/1000),0)</f>
        <v>843</v>
      </c>
      <c r="K699" s="15" t="n">
        <f aca="false">ROUND(Annahmen!$K$36*(1+Annahmen!$B$20*D699/1000),0)</f>
        <v>1095</v>
      </c>
      <c r="L699" s="15" t="n">
        <f aca="false">ROUND(Annahmen!$K$37*(1+Annahmen!$B$20*D699/1000),0)</f>
        <v>1119</v>
      </c>
      <c r="M699" s="15" t="n">
        <f aca="false">ROUND(Annahmen!$K$38*(1+Annahmen!$B$20*D699/1000),0)</f>
        <v>1119</v>
      </c>
      <c r="N699" s="16" t="s">
        <v>102</v>
      </c>
    </row>
    <row r="700" customFormat="false" ht="15" hidden="false" customHeight="false" outlineLevel="0" collapsed="false">
      <c r="A700" s="13" t="s">
        <v>1472</v>
      </c>
      <c r="B700" s="14" t="s">
        <v>1473</v>
      </c>
      <c r="C700" s="15" t="n">
        <v>1190</v>
      </c>
      <c r="D700" s="15" t="n">
        <v>2244</v>
      </c>
      <c r="E700" s="13" t="s">
        <v>82</v>
      </c>
      <c r="F700" s="15" t="str">
        <f aca="false">IF(C700&gt;=J700,"ja","nein")</f>
        <v>ja</v>
      </c>
      <c r="G700" s="15" t="str">
        <f aca="false">IF(C700&gt;=K700,"ja","nein")</f>
        <v>nein</v>
      </c>
      <c r="H700" s="15" t="str">
        <f aca="false">IF(C700&gt;=L700,"ja","nein")</f>
        <v>nein</v>
      </c>
      <c r="I700" s="15" t="str">
        <f aca="false">IF(C700&gt;=M700,"ja","nein")</f>
        <v>nein</v>
      </c>
      <c r="J700" s="15" t="n">
        <f aca="false">ROUND(Annahmen!$K$35*(1+Annahmen!$B$20*D700/1000),0)</f>
        <v>1010</v>
      </c>
      <c r="K700" s="15" t="n">
        <f aca="false">ROUND(Annahmen!$K$36*(1+Annahmen!$B$20*D700/1000),0)</f>
        <v>1311</v>
      </c>
      <c r="L700" s="15" t="n">
        <f aca="false">ROUND(Annahmen!$K$37*(1+Annahmen!$B$20*D700/1000),0)</f>
        <v>1340</v>
      </c>
      <c r="M700" s="15" t="n">
        <f aca="false">ROUND(Annahmen!$K$38*(1+Annahmen!$B$20*D700/1000),0)</f>
        <v>1340</v>
      </c>
      <c r="N700" s="16" t="s">
        <v>102</v>
      </c>
    </row>
    <row r="701" customFormat="false" ht="15" hidden="false" customHeight="false" outlineLevel="0" collapsed="false">
      <c r="A701" s="13" t="s">
        <v>1474</v>
      </c>
      <c r="B701" s="14" t="s">
        <v>1475</v>
      </c>
      <c r="C701" s="15" t="n">
        <v>1188</v>
      </c>
      <c r="D701" s="15" t="n">
        <v>23</v>
      </c>
      <c r="E701" s="13" t="s">
        <v>82</v>
      </c>
      <c r="F701" s="15" t="str">
        <f aca="false">IF(C701&gt;=J701,"ja","nein")</f>
        <v>ja</v>
      </c>
      <c r="G701" s="15" t="str">
        <f aca="false">IF(C701&gt;=K701,"ja","nein")</f>
        <v>ja</v>
      </c>
      <c r="H701" s="15" t="str">
        <f aca="false">IF(C701&gt;=L701,"ja","nein")</f>
        <v>ja</v>
      </c>
      <c r="I701" s="15" t="str">
        <f aca="false">IF(C701&gt;=M701,"ja","nein")</f>
        <v>ja</v>
      </c>
      <c r="J701" s="15" t="n">
        <f aca="false">ROUND(Annahmen!$K$35*(1+Annahmen!$B$20*D701/1000),0)</f>
        <v>842</v>
      </c>
      <c r="K701" s="15" t="n">
        <f aca="false">ROUND(Annahmen!$K$36*(1+Annahmen!$B$20*D701/1000),0)</f>
        <v>1093</v>
      </c>
      <c r="L701" s="15" t="n">
        <f aca="false">ROUND(Annahmen!$K$37*(1+Annahmen!$B$20*D701/1000),0)</f>
        <v>1117</v>
      </c>
      <c r="M701" s="15" t="n">
        <f aca="false">ROUND(Annahmen!$K$38*(1+Annahmen!$B$20*D701/1000),0)</f>
        <v>1117</v>
      </c>
      <c r="N701" s="16" t="s">
        <v>86</v>
      </c>
    </row>
    <row r="702" customFormat="false" ht="15" hidden="false" customHeight="false" outlineLevel="0" collapsed="false">
      <c r="A702" s="13" t="s">
        <v>1476</v>
      </c>
      <c r="B702" s="14" t="s">
        <v>1477</v>
      </c>
      <c r="C702" s="15" t="n">
        <v>1130</v>
      </c>
      <c r="D702" s="15" t="n">
        <v>610</v>
      </c>
      <c r="E702" s="13" t="s">
        <v>82</v>
      </c>
      <c r="F702" s="15" t="str">
        <f aca="false">IF(C702&gt;=J702,"ja","nein")</f>
        <v>ja</v>
      </c>
      <c r="G702" s="15" t="str">
        <f aca="false">IF(C702&gt;=K702,"ja","nein")</f>
        <v>nein</v>
      </c>
      <c r="H702" s="15" t="str">
        <f aca="false">IF(C702&gt;=L702,"ja","nein")</f>
        <v>nein</v>
      </c>
      <c r="I702" s="15" t="str">
        <f aca="false">IF(C702&gt;=M702,"ja","nein")</f>
        <v>nein</v>
      </c>
      <c r="J702" s="15" t="n">
        <f aca="false">ROUND(Annahmen!$K$35*(1+Annahmen!$B$20*D702/1000),0)</f>
        <v>886</v>
      </c>
      <c r="K702" s="15" t="n">
        <f aca="false">ROUND(Annahmen!$K$36*(1+Annahmen!$B$20*D702/1000),0)</f>
        <v>1151</v>
      </c>
      <c r="L702" s="15" t="n">
        <f aca="false">ROUND(Annahmen!$K$37*(1+Annahmen!$B$20*D702/1000),0)</f>
        <v>1176</v>
      </c>
      <c r="M702" s="15" t="n">
        <f aca="false">ROUND(Annahmen!$K$38*(1+Annahmen!$B$20*D702/1000),0)</f>
        <v>1176</v>
      </c>
      <c r="N702" s="16" t="s">
        <v>86</v>
      </c>
    </row>
    <row r="703" customFormat="false" ht="15" hidden="false" customHeight="false" outlineLevel="0" collapsed="false">
      <c r="A703" s="13" t="s">
        <v>1478</v>
      </c>
      <c r="B703" s="14" t="s">
        <v>1479</v>
      </c>
      <c r="C703" s="15" t="n">
        <v>1122</v>
      </c>
      <c r="D703" s="15" t="n">
        <v>44</v>
      </c>
      <c r="E703" s="13" t="s">
        <v>82</v>
      </c>
      <c r="F703" s="15" t="str">
        <f aca="false">IF(C703&gt;=J703,"ja","nein")</f>
        <v>ja</v>
      </c>
      <c r="G703" s="15" t="str">
        <f aca="false">IF(C703&gt;=K703,"ja","nein")</f>
        <v>ja</v>
      </c>
      <c r="H703" s="15" t="str">
        <f aca="false">IF(C703&gt;=L703,"ja","nein")</f>
        <v>ja</v>
      </c>
      <c r="I703" s="15" t="str">
        <f aca="false">IF(C703&gt;=M703,"ja","nein")</f>
        <v>ja</v>
      </c>
      <c r="J703" s="15" t="n">
        <f aca="false">ROUND(Annahmen!$K$35*(1+Annahmen!$B$20*D703/1000),0)</f>
        <v>843</v>
      </c>
      <c r="K703" s="15" t="n">
        <f aca="false">ROUND(Annahmen!$K$36*(1+Annahmen!$B$20*D703/1000),0)</f>
        <v>1095</v>
      </c>
      <c r="L703" s="15" t="n">
        <f aca="false">ROUND(Annahmen!$K$37*(1+Annahmen!$B$20*D703/1000),0)</f>
        <v>1119</v>
      </c>
      <c r="M703" s="15" t="n">
        <f aca="false">ROUND(Annahmen!$K$38*(1+Annahmen!$B$20*D703/1000),0)</f>
        <v>1119</v>
      </c>
      <c r="N703" s="16" t="s">
        <v>86</v>
      </c>
    </row>
    <row r="704" customFormat="false" ht="15" hidden="false" customHeight="false" outlineLevel="0" collapsed="false">
      <c r="A704" s="13" t="s">
        <v>1480</v>
      </c>
      <c r="B704" s="14" t="s">
        <v>1481</v>
      </c>
      <c r="C704" s="15" t="n">
        <v>1120</v>
      </c>
      <c r="D704" s="15" t="n">
        <v>3409</v>
      </c>
      <c r="E704" s="13" t="s">
        <v>82</v>
      </c>
      <c r="F704" s="15" t="str">
        <f aca="false">IF(C704&gt;=J704,"ja","nein")</f>
        <v>ja</v>
      </c>
      <c r="G704" s="15" t="str">
        <f aca="false">IF(C704&gt;=K704,"ja","nein")</f>
        <v>nein</v>
      </c>
      <c r="H704" s="15" t="str">
        <f aca="false">IF(C704&gt;=L704,"ja","nein")</f>
        <v>nein</v>
      </c>
      <c r="I704" s="15" t="str">
        <f aca="false">IF(C704&gt;=M704,"ja","nein")</f>
        <v>nein</v>
      </c>
      <c r="J704" s="15" t="n">
        <f aca="false">ROUND(Annahmen!$K$35*(1+Annahmen!$B$20*D704/1000),0)</f>
        <v>1098</v>
      </c>
      <c r="K704" s="15" t="n">
        <f aca="false">ROUND(Annahmen!$K$36*(1+Annahmen!$B$20*D704/1000),0)</f>
        <v>1426</v>
      </c>
      <c r="L704" s="15" t="n">
        <f aca="false">ROUND(Annahmen!$K$37*(1+Annahmen!$B$20*D704/1000),0)</f>
        <v>1457</v>
      </c>
      <c r="M704" s="15" t="n">
        <f aca="false">ROUND(Annahmen!$K$38*(1+Annahmen!$B$20*D704/1000),0)</f>
        <v>1457</v>
      </c>
      <c r="N704" s="16" t="s">
        <v>102</v>
      </c>
    </row>
    <row r="705" customFormat="false" ht="15" hidden="false" customHeight="false" outlineLevel="0" collapsed="false">
      <c r="A705" s="13" t="s">
        <v>1482</v>
      </c>
      <c r="B705" s="14" t="s">
        <v>1483</v>
      </c>
      <c r="C705" s="15" t="n">
        <v>1084</v>
      </c>
      <c r="D705" s="15" t="n">
        <v>55</v>
      </c>
      <c r="E705" s="13" t="s">
        <v>82</v>
      </c>
      <c r="F705" s="15" t="str">
        <f aca="false">IF(C705&gt;=J705,"ja","nein")</f>
        <v>ja</v>
      </c>
      <c r="G705" s="15" t="str">
        <f aca="false">IF(C705&gt;=K705,"ja","nein")</f>
        <v>nein</v>
      </c>
      <c r="H705" s="15" t="str">
        <f aca="false">IF(C705&gt;=L705,"ja","nein")</f>
        <v>nein</v>
      </c>
      <c r="I705" s="15" t="str">
        <f aca="false">IF(C705&gt;=M705,"ja","nein")</f>
        <v>nein</v>
      </c>
      <c r="J705" s="15" t="n">
        <f aca="false">ROUND(Annahmen!$K$35*(1+Annahmen!$B$20*D705/1000),0)</f>
        <v>844</v>
      </c>
      <c r="K705" s="15" t="n">
        <f aca="false">ROUND(Annahmen!$K$36*(1+Annahmen!$B$20*D705/1000),0)</f>
        <v>1096</v>
      </c>
      <c r="L705" s="15" t="n">
        <f aca="false">ROUND(Annahmen!$K$37*(1+Annahmen!$B$20*D705/1000),0)</f>
        <v>1121</v>
      </c>
      <c r="M705" s="15" t="n">
        <f aca="false">ROUND(Annahmen!$K$38*(1+Annahmen!$B$20*D705/1000),0)</f>
        <v>1121</v>
      </c>
      <c r="N705" s="16" t="s">
        <v>86</v>
      </c>
    </row>
    <row r="706" customFormat="false" ht="15" hidden="false" customHeight="false" outlineLevel="0" collapsed="false">
      <c r="A706" s="13" t="s">
        <v>1484</v>
      </c>
      <c r="B706" s="14" t="s">
        <v>1485</v>
      </c>
      <c r="C706" s="15" t="n">
        <v>1080</v>
      </c>
      <c r="D706" s="15" t="n">
        <v>484</v>
      </c>
      <c r="E706" s="13" t="s">
        <v>82</v>
      </c>
      <c r="F706" s="15" t="str">
        <f aca="false">IF(C706&gt;=J706,"ja","nein")</f>
        <v>ja</v>
      </c>
      <c r="G706" s="15" t="str">
        <f aca="false">IF(C706&gt;=K706,"ja","nein")</f>
        <v>nein</v>
      </c>
      <c r="H706" s="15" t="str">
        <f aca="false">IF(C706&gt;=L706,"ja","nein")</f>
        <v>nein</v>
      </c>
      <c r="I706" s="15" t="str">
        <f aca="false">IF(C706&gt;=M706,"ja","nein")</f>
        <v>nein</v>
      </c>
      <c r="J706" s="15" t="n">
        <f aca="false">ROUND(Annahmen!$K$35*(1+Annahmen!$B$20*D706/1000),0)</f>
        <v>877</v>
      </c>
      <c r="K706" s="15" t="n">
        <f aca="false">ROUND(Annahmen!$K$36*(1+Annahmen!$B$20*D706/1000),0)</f>
        <v>1139</v>
      </c>
      <c r="L706" s="15" t="n">
        <f aca="false">ROUND(Annahmen!$K$37*(1+Annahmen!$B$20*D706/1000),0)</f>
        <v>1164</v>
      </c>
      <c r="M706" s="15" t="n">
        <f aca="false">ROUND(Annahmen!$K$38*(1+Annahmen!$B$20*D706/1000),0)</f>
        <v>1164</v>
      </c>
      <c r="N706" s="16" t="s">
        <v>102</v>
      </c>
    </row>
    <row r="707" customFormat="false" ht="15" hidden="false" customHeight="false" outlineLevel="0" collapsed="false">
      <c r="A707" s="13" t="s">
        <v>1486</v>
      </c>
      <c r="B707" s="14" t="s">
        <v>1487</v>
      </c>
      <c r="C707" s="15" t="n">
        <v>1074</v>
      </c>
      <c r="D707" s="15" t="n">
        <v>943</v>
      </c>
      <c r="E707" s="13" t="s">
        <v>82</v>
      </c>
      <c r="F707" s="15" t="str">
        <f aca="false">IF(C707&gt;=J707,"ja","nein")</f>
        <v>ja</v>
      </c>
      <c r="G707" s="15" t="str">
        <f aca="false">IF(C707&gt;=K707,"ja","nein")</f>
        <v>nein</v>
      </c>
      <c r="H707" s="15" t="str">
        <f aca="false">IF(C707&gt;=L707,"ja","nein")</f>
        <v>nein</v>
      </c>
      <c r="I707" s="15" t="str">
        <f aca="false">IF(C707&gt;=M707,"ja","nein")</f>
        <v>nein</v>
      </c>
      <c r="J707" s="15" t="n">
        <f aca="false">ROUND(Annahmen!$K$35*(1+Annahmen!$B$20*D707/1000),0)</f>
        <v>911</v>
      </c>
      <c r="K707" s="15" t="n">
        <f aca="false">ROUND(Annahmen!$K$36*(1+Annahmen!$B$20*D707/1000),0)</f>
        <v>1184</v>
      </c>
      <c r="L707" s="15" t="n">
        <f aca="false">ROUND(Annahmen!$K$37*(1+Annahmen!$B$20*D707/1000),0)</f>
        <v>1210</v>
      </c>
      <c r="M707" s="15" t="n">
        <f aca="false">ROUND(Annahmen!$K$38*(1+Annahmen!$B$20*D707/1000),0)</f>
        <v>1210</v>
      </c>
      <c r="N707" s="16" t="s">
        <v>86</v>
      </c>
    </row>
    <row r="708" customFormat="false" ht="15" hidden="false" customHeight="false" outlineLevel="0" collapsed="false">
      <c r="A708" s="13" t="s">
        <v>1488</v>
      </c>
      <c r="B708" s="14" t="s">
        <v>1489</v>
      </c>
      <c r="C708" s="15" t="n">
        <v>1050</v>
      </c>
      <c r="D708" s="15" t="n">
        <v>899</v>
      </c>
      <c r="E708" s="13" t="s">
        <v>82</v>
      </c>
      <c r="F708" s="15" t="str">
        <f aca="false">IF(C708&gt;=J708,"ja","nein")</f>
        <v>ja</v>
      </c>
      <c r="G708" s="15" t="str">
        <f aca="false">IF(C708&gt;=K708,"ja","nein")</f>
        <v>nein</v>
      </c>
      <c r="H708" s="15" t="str">
        <f aca="false">IF(C708&gt;=L708,"ja","nein")</f>
        <v>nein</v>
      </c>
      <c r="I708" s="15" t="str">
        <f aca="false">IF(C708&gt;=M708,"ja","nein")</f>
        <v>nein</v>
      </c>
      <c r="J708" s="15" t="n">
        <f aca="false">ROUND(Annahmen!$K$35*(1+Annahmen!$B$20*D708/1000),0)</f>
        <v>908</v>
      </c>
      <c r="K708" s="15" t="n">
        <f aca="false">ROUND(Annahmen!$K$36*(1+Annahmen!$B$20*D708/1000),0)</f>
        <v>1179</v>
      </c>
      <c r="L708" s="15" t="n">
        <f aca="false">ROUND(Annahmen!$K$37*(1+Annahmen!$B$20*D708/1000),0)</f>
        <v>1205</v>
      </c>
      <c r="M708" s="15" t="n">
        <f aca="false">ROUND(Annahmen!$K$38*(1+Annahmen!$B$20*D708/1000),0)</f>
        <v>1205</v>
      </c>
      <c r="N708" s="16" t="s">
        <v>102</v>
      </c>
    </row>
    <row r="709" customFormat="false" ht="15" hidden="false" customHeight="false" outlineLevel="0" collapsed="false">
      <c r="A709" s="13" t="s">
        <v>1490</v>
      </c>
      <c r="B709" s="14" t="s">
        <v>1491</v>
      </c>
      <c r="C709" s="15" t="n">
        <v>1014</v>
      </c>
      <c r="D709" s="15" t="n">
        <v>286</v>
      </c>
      <c r="E709" s="13" t="s">
        <v>82</v>
      </c>
      <c r="F709" s="15" t="str">
        <f aca="false">IF(C709&gt;=J709,"ja","nein")</f>
        <v>ja</v>
      </c>
      <c r="G709" s="15" t="str">
        <f aca="false">IF(C709&gt;=K709,"ja","nein")</f>
        <v>nein</v>
      </c>
      <c r="H709" s="15" t="str">
        <f aca="false">IF(C709&gt;=L709,"ja","nein")</f>
        <v>nein</v>
      </c>
      <c r="I709" s="15" t="str">
        <f aca="false">IF(C709&gt;=M709,"ja","nein")</f>
        <v>nein</v>
      </c>
      <c r="J709" s="15" t="n">
        <f aca="false">ROUND(Annahmen!$K$35*(1+Annahmen!$B$20*D709/1000),0)</f>
        <v>862</v>
      </c>
      <c r="K709" s="15" t="n">
        <f aca="false">ROUND(Annahmen!$K$36*(1+Annahmen!$B$20*D709/1000),0)</f>
        <v>1119</v>
      </c>
      <c r="L709" s="15" t="n">
        <f aca="false">ROUND(Annahmen!$K$37*(1+Annahmen!$B$20*D709/1000),0)</f>
        <v>1144</v>
      </c>
      <c r="M709" s="15" t="n">
        <f aca="false">ROUND(Annahmen!$K$38*(1+Annahmen!$B$20*D709/1000),0)</f>
        <v>1144</v>
      </c>
      <c r="N709" s="16" t="s">
        <v>102</v>
      </c>
    </row>
    <row r="710" customFormat="false" ht="15" hidden="false" customHeight="false" outlineLevel="0" collapsed="false">
      <c r="A710" s="13" t="s">
        <v>1492</v>
      </c>
      <c r="B710" s="14" t="s">
        <v>1493</v>
      </c>
      <c r="C710" s="15" t="n">
        <v>1000</v>
      </c>
      <c r="D710" s="15" t="n">
        <v>423</v>
      </c>
      <c r="E710" s="13" t="s">
        <v>82</v>
      </c>
      <c r="F710" s="15" t="str">
        <f aca="false">IF(C710&gt;=J710,"ja","nein")</f>
        <v>ja</v>
      </c>
      <c r="G710" s="15" t="str">
        <f aca="false">IF(C710&gt;=K710,"ja","nein")</f>
        <v>nein</v>
      </c>
      <c r="H710" s="15" t="str">
        <f aca="false">IF(C710&gt;=L710,"ja","nein")</f>
        <v>nein</v>
      </c>
      <c r="I710" s="15" t="str">
        <f aca="false">IF(C710&gt;=M710,"ja","nein")</f>
        <v>nein</v>
      </c>
      <c r="J710" s="15" t="n">
        <f aca="false">ROUND(Annahmen!$K$35*(1+Annahmen!$B$20*D710/1000),0)</f>
        <v>872</v>
      </c>
      <c r="K710" s="15" t="n">
        <f aca="false">ROUND(Annahmen!$K$36*(1+Annahmen!$B$20*D710/1000),0)</f>
        <v>1133</v>
      </c>
      <c r="L710" s="15" t="n">
        <f aca="false">ROUND(Annahmen!$K$37*(1+Annahmen!$B$20*D710/1000),0)</f>
        <v>1157</v>
      </c>
      <c r="M710" s="15" t="n">
        <f aca="false">ROUND(Annahmen!$K$38*(1+Annahmen!$B$20*D710/1000),0)</f>
        <v>1157</v>
      </c>
      <c r="N710" s="16" t="s">
        <v>102</v>
      </c>
    </row>
    <row r="711" customFormat="false" ht="15" hidden="false" customHeight="false" outlineLevel="0" collapsed="false">
      <c r="A711" s="13" t="s">
        <v>1494</v>
      </c>
      <c r="B711" s="14" t="s">
        <v>1495</v>
      </c>
      <c r="C711" s="15" t="n">
        <v>949</v>
      </c>
      <c r="D711" s="15" t="n">
        <v>31</v>
      </c>
      <c r="E711" s="13" t="s">
        <v>82</v>
      </c>
      <c r="F711" s="15" t="str">
        <f aca="false">IF(C711&gt;=J711,"ja","nein")</f>
        <v>ja</v>
      </c>
      <c r="G711" s="15" t="str">
        <f aca="false">IF(C711&gt;=K711,"ja","nein")</f>
        <v>nein</v>
      </c>
      <c r="H711" s="15" t="str">
        <f aca="false">IF(C711&gt;=L711,"ja","nein")</f>
        <v>nein</v>
      </c>
      <c r="I711" s="15" t="str">
        <f aca="false">IF(C711&gt;=M711,"ja","nein")</f>
        <v>nein</v>
      </c>
      <c r="J711" s="15" t="n">
        <f aca="false">ROUND(Annahmen!$K$35*(1+Annahmen!$B$20*D711/1000),0)</f>
        <v>842</v>
      </c>
      <c r="K711" s="15" t="n">
        <f aca="false">ROUND(Annahmen!$K$36*(1+Annahmen!$B$20*D711/1000),0)</f>
        <v>1094</v>
      </c>
      <c r="L711" s="15" t="n">
        <f aca="false">ROUND(Annahmen!$K$37*(1+Annahmen!$B$20*D711/1000),0)</f>
        <v>1118</v>
      </c>
      <c r="M711" s="15" t="n">
        <f aca="false">ROUND(Annahmen!$K$38*(1+Annahmen!$B$20*D711/1000),0)</f>
        <v>1118</v>
      </c>
      <c r="N711" s="16" t="s">
        <v>86</v>
      </c>
    </row>
    <row r="712" customFormat="false" ht="15" hidden="false" customHeight="false" outlineLevel="0" collapsed="false">
      <c r="A712" s="13" t="s">
        <v>1496</v>
      </c>
      <c r="B712" s="14" t="s">
        <v>1497</v>
      </c>
      <c r="C712" s="15" t="n">
        <v>910</v>
      </c>
      <c r="D712" s="15" t="n">
        <v>39</v>
      </c>
      <c r="E712" s="13" t="s">
        <v>82</v>
      </c>
      <c r="F712" s="15" t="str">
        <f aca="false">IF(C712&gt;=J712,"ja","nein")</f>
        <v>ja</v>
      </c>
      <c r="G712" s="15" t="str">
        <f aca="false">IF(C712&gt;=K712,"ja","nein")</f>
        <v>nein</v>
      </c>
      <c r="H712" s="15" t="str">
        <f aca="false">IF(C712&gt;=L712,"ja","nein")</f>
        <v>nein</v>
      </c>
      <c r="I712" s="15" t="str">
        <f aca="false">IF(C712&gt;=M712,"ja","nein")</f>
        <v>nein</v>
      </c>
      <c r="J712" s="15" t="n">
        <f aca="false">ROUND(Annahmen!$K$35*(1+Annahmen!$B$20*D712/1000),0)</f>
        <v>843</v>
      </c>
      <c r="K712" s="15" t="n">
        <f aca="false">ROUND(Annahmen!$K$36*(1+Annahmen!$B$20*D712/1000),0)</f>
        <v>1095</v>
      </c>
      <c r="L712" s="15" t="n">
        <f aca="false">ROUND(Annahmen!$K$37*(1+Annahmen!$B$20*D712/1000),0)</f>
        <v>1119</v>
      </c>
      <c r="M712" s="15" t="n">
        <f aca="false">ROUND(Annahmen!$K$38*(1+Annahmen!$B$20*D712/1000),0)</f>
        <v>1119</v>
      </c>
      <c r="N712" s="16" t="s">
        <v>102</v>
      </c>
    </row>
    <row r="713" customFormat="false" ht="15" hidden="false" customHeight="false" outlineLevel="0" collapsed="false">
      <c r="A713" s="13" t="s">
        <v>1498</v>
      </c>
      <c r="B713" s="14" t="s">
        <v>1499</v>
      </c>
      <c r="C713" s="15" t="n">
        <v>905</v>
      </c>
      <c r="D713" s="15" t="n">
        <v>45</v>
      </c>
      <c r="E713" s="13" t="s">
        <v>82</v>
      </c>
      <c r="F713" s="15" t="str">
        <f aca="false">IF(C713&gt;=J713,"ja","nein")</f>
        <v>ja</v>
      </c>
      <c r="G713" s="15" t="str">
        <f aca="false">IF(C713&gt;=K713,"ja","nein")</f>
        <v>nein</v>
      </c>
      <c r="H713" s="15" t="str">
        <f aca="false">IF(C713&gt;=L713,"ja","nein")</f>
        <v>nein</v>
      </c>
      <c r="I713" s="15" t="str">
        <f aca="false">IF(C713&gt;=M713,"ja","nein")</f>
        <v>nein</v>
      </c>
      <c r="J713" s="15" t="n">
        <f aca="false">ROUND(Annahmen!$K$35*(1+Annahmen!$B$20*D713/1000),0)</f>
        <v>843</v>
      </c>
      <c r="K713" s="15" t="n">
        <f aca="false">ROUND(Annahmen!$K$36*(1+Annahmen!$B$20*D713/1000),0)</f>
        <v>1095</v>
      </c>
      <c r="L713" s="15" t="n">
        <f aca="false">ROUND(Annahmen!$K$37*(1+Annahmen!$B$20*D713/1000),0)</f>
        <v>1120</v>
      </c>
      <c r="M713" s="15" t="n">
        <f aca="false">ROUND(Annahmen!$K$38*(1+Annahmen!$B$20*D713/1000),0)</f>
        <v>1120</v>
      </c>
      <c r="N713" s="16" t="s">
        <v>86</v>
      </c>
    </row>
    <row r="714" customFormat="false" ht="15" hidden="false" customHeight="false" outlineLevel="0" collapsed="false">
      <c r="A714" s="13" t="s">
        <v>1500</v>
      </c>
      <c r="B714" s="14" t="s">
        <v>1501</v>
      </c>
      <c r="C714" s="15" t="n">
        <v>900</v>
      </c>
      <c r="D714" s="15" t="n">
        <v>2900</v>
      </c>
      <c r="E714" s="13" t="s">
        <v>82</v>
      </c>
      <c r="F714" s="15" t="str">
        <f aca="false">IF(C714&gt;=J714,"ja","nein")</f>
        <v>nein</v>
      </c>
      <c r="G714" s="15" t="str">
        <f aca="false">IF(C714&gt;=K714,"ja","nein")</f>
        <v>nein</v>
      </c>
      <c r="H714" s="15" t="str">
        <f aca="false">IF(C714&gt;=L714,"ja","nein")</f>
        <v>nein</v>
      </c>
      <c r="I714" s="15" t="str">
        <f aca="false">IF(C714&gt;=M714,"ja","nein")</f>
        <v>nein</v>
      </c>
      <c r="J714" s="15" t="n">
        <f aca="false">ROUND(Annahmen!$K$35*(1+Annahmen!$B$20*D714/1000),0)</f>
        <v>1059</v>
      </c>
      <c r="K714" s="15" t="n">
        <f aca="false">ROUND(Annahmen!$K$36*(1+Annahmen!$B$20*D714/1000),0)</f>
        <v>1376</v>
      </c>
      <c r="L714" s="15" t="n">
        <f aca="false">ROUND(Annahmen!$K$37*(1+Annahmen!$B$20*D714/1000),0)</f>
        <v>1406</v>
      </c>
      <c r="M714" s="15" t="n">
        <f aca="false">ROUND(Annahmen!$K$38*(1+Annahmen!$B$20*D714/1000),0)</f>
        <v>1406</v>
      </c>
      <c r="N714" s="16" t="s">
        <v>102</v>
      </c>
    </row>
    <row r="715" customFormat="false" ht="15" hidden="false" customHeight="false" outlineLevel="0" collapsed="false">
      <c r="A715" s="13" t="s">
        <v>1502</v>
      </c>
      <c r="B715" s="14" t="s">
        <v>1503</v>
      </c>
      <c r="C715" s="15" t="n">
        <v>850</v>
      </c>
      <c r="D715" s="15" t="n">
        <v>69</v>
      </c>
      <c r="E715" s="13" t="s">
        <v>82</v>
      </c>
      <c r="F715" s="15" t="str">
        <f aca="false">IF(C715&gt;=J715,"ja","nein")</f>
        <v>ja</v>
      </c>
      <c r="G715" s="15" t="str">
        <f aca="false">IF(C715&gt;=K715,"ja","nein")</f>
        <v>nein</v>
      </c>
      <c r="H715" s="15" t="str">
        <f aca="false">IF(C715&gt;=L715,"ja","nein")</f>
        <v>nein</v>
      </c>
      <c r="I715" s="15" t="str">
        <f aca="false">IF(C715&gt;=M715,"ja","nein")</f>
        <v>nein</v>
      </c>
      <c r="J715" s="15" t="n">
        <f aca="false">ROUND(Annahmen!$K$35*(1+Annahmen!$B$20*D715/1000),0)</f>
        <v>845</v>
      </c>
      <c r="K715" s="15" t="n">
        <f aca="false">ROUND(Annahmen!$K$36*(1+Annahmen!$B$20*D715/1000),0)</f>
        <v>1098</v>
      </c>
      <c r="L715" s="15" t="n">
        <f aca="false">ROUND(Annahmen!$K$37*(1+Annahmen!$B$20*D715/1000),0)</f>
        <v>1122</v>
      </c>
      <c r="M715" s="15" t="n">
        <f aca="false">ROUND(Annahmen!$K$38*(1+Annahmen!$B$20*D715/1000),0)</f>
        <v>1122</v>
      </c>
      <c r="N715" s="16" t="s">
        <v>102</v>
      </c>
    </row>
    <row r="716" customFormat="false" ht="15" hidden="false" customHeight="false" outlineLevel="0" collapsed="false">
      <c r="A716" s="13" t="s">
        <v>1504</v>
      </c>
      <c r="B716" s="14" t="s">
        <v>1505</v>
      </c>
      <c r="C716" s="15" t="n">
        <v>840</v>
      </c>
      <c r="D716" s="15" t="n">
        <v>98</v>
      </c>
      <c r="E716" s="13" t="s">
        <v>82</v>
      </c>
      <c r="F716" s="15" t="str">
        <f aca="false">IF(C716&gt;=J716,"ja","nein")</f>
        <v>nein</v>
      </c>
      <c r="G716" s="15" t="str">
        <f aca="false">IF(C716&gt;=K716,"ja","nein")</f>
        <v>nein</v>
      </c>
      <c r="H716" s="15" t="str">
        <f aca="false">IF(C716&gt;=L716,"ja","nein")</f>
        <v>nein</v>
      </c>
      <c r="I716" s="15" t="str">
        <f aca="false">IF(C716&gt;=M716,"ja","nein")</f>
        <v>nein</v>
      </c>
      <c r="J716" s="15" t="n">
        <f aca="false">ROUND(Annahmen!$K$35*(1+Annahmen!$B$20*D716/1000),0)</f>
        <v>847</v>
      </c>
      <c r="K716" s="15" t="n">
        <f aca="false">ROUND(Annahmen!$K$36*(1+Annahmen!$B$20*D716/1000),0)</f>
        <v>1101</v>
      </c>
      <c r="L716" s="15" t="n">
        <f aca="false">ROUND(Annahmen!$K$37*(1+Annahmen!$B$20*D716/1000),0)</f>
        <v>1125</v>
      </c>
      <c r="M716" s="15" t="n">
        <f aca="false">ROUND(Annahmen!$K$38*(1+Annahmen!$B$20*D716/1000),0)</f>
        <v>1125</v>
      </c>
      <c r="N716" s="16" t="s">
        <v>102</v>
      </c>
    </row>
    <row r="717" customFormat="false" ht="15" hidden="false" customHeight="false" outlineLevel="0" collapsed="false">
      <c r="A717" s="13" t="s">
        <v>1506</v>
      </c>
      <c r="B717" s="14" t="s">
        <v>1507</v>
      </c>
      <c r="C717" s="15" t="n">
        <v>805</v>
      </c>
      <c r="D717" s="15" t="n">
        <v>745</v>
      </c>
      <c r="E717" s="13" t="s">
        <v>82</v>
      </c>
      <c r="F717" s="15" t="str">
        <f aca="false">IF(C717&gt;=J717,"ja","nein")</f>
        <v>nein</v>
      </c>
      <c r="G717" s="15" t="str">
        <f aca="false">IF(C717&gt;=K717,"ja","nein")</f>
        <v>nein</v>
      </c>
      <c r="H717" s="15" t="str">
        <f aca="false">IF(C717&gt;=L717,"ja","nein")</f>
        <v>nein</v>
      </c>
      <c r="I717" s="15" t="str">
        <f aca="false">IF(C717&gt;=M717,"ja","nein")</f>
        <v>nein</v>
      </c>
      <c r="J717" s="15" t="n">
        <f aca="false">ROUND(Annahmen!$K$35*(1+Annahmen!$B$20*D717/1000),0)</f>
        <v>896</v>
      </c>
      <c r="K717" s="15" t="n">
        <f aca="false">ROUND(Annahmen!$K$36*(1+Annahmen!$B$20*D717/1000),0)</f>
        <v>1164</v>
      </c>
      <c r="L717" s="15" t="n">
        <f aca="false">ROUND(Annahmen!$K$37*(1+Annahmen!$B$20*D717/1000),0)</f>
        <v>1190</v>
      </c>
      <c r="M717" s="15" t="n">
        <f aca="false">ROUND(Annahmen!$K$38*(1+Annahmen!$B$20*D717/1000),0)</f>
        <v>1190</v>
      </c>
      <c r="N717" s="16" t="s">
        <v>102</v>
      </c>
    </row>
    <row r="718" customFormat="false" ht="15" hidden="false" customHeight="false" outlineLevel="0" collapsed="false">
      <c r="A718" s="13" t="s">
        <v>1508</v>
      </c>
      <c r="B718" s="14" t="s">
        <v>1509</v>
      </c>
      <c r="C718" s="15" t="n">
        <v>800</v>
      </c>
      <c r="D718" s="15" t="n">
        <v>62</v>
      </c>
      <c r="E718" s="13" t="s">
        <v>82</v>
      </c>
      <c r="F718" s="15" t="str">
        <f aca="false">IF(C718&gt;=J718,"ja","nein")</f>
        <v>nein</v>
      </c>
      <c r="G718" s="15" t="str">
        <f aca="false">IF(C718&gt;=K718,"ja","nein")</f>
        <v>nein</v>
      </c>
      <c r="H718" s="15" t="str">
        <f aca="false">IF(C718&gt;=L718,"ja","nein")</f>
        <v>nein</v>
      </c>
      <c r="I718" s="15" t="str">
        <f aca="false">IF(C718&gt;=M718,"ja","nein")</f>
        <v>nein</v>
      </c>
      <c r="J718" s="15" t="n">
        <f aca="false">ROUND(Annahmen!$K$35*(1+Annahmen!$B$20*D718/1000),0)</f>
        <v>845</v>
      </c>
      <c r="K718" s="15" t="n">
        <f aca="false">ROUND(Annahmen!$K$36*(1+Annahmen!$B$20*D718/1000),0)</f>
        <v>1097</v>
      </c>
      <c r="L718" s="15" t="n">
        <f aca="false">ROUND(Annahmen!$K$37*(1+Annahmen!$B$20*D718/1000),0)</f>
        <v>1121</v>
      </c>
      <c r="M718" s="15" t="n">
        <f aca="false">ROUND(Annahmen!$K$38*(1+Annahmen!$B$20*D718/1000),0)</f>
        <v>1121</v>
      </c>
      <c r="N718" s="16" t="s">
        <v>102</v>
      </c>
    </row>
    <row r="719" customFormat="false" ht="15" hidden="false" customHeight="false" outlineLevel="0" collapsed="false">
      <c r="A719" s="13" t="s">
        <v>1510</v>
      </c>
      <c r="B719" s="14" t="s">
        <v>1511</v>
      </c>
      <c r="C719" s="15" t="n">
        <v>800</v>
      </c>
      <c r="D719" s="15" t="n">
        <v>184</v>
      </c>
      <c r="E719" s="13" t="s">
        <v>82</v>
      </c>
      <c r="F719" s="15" t="str">
        <f aca="false">IF(C719&gt;=J719,"ja","nein")</f>
        <v>nein</v>
      </c>
      <c r="G719" s="15" t="str">
        <f aca="false">IF(C719&gt;=K719,"ja","nein")</f>
        <v>nein</v>
      </c>
      <c r="H719" s="15" t="str">
        <f aca="false">IF(C719&gt;=L719,"ja","nein")</f>
        <v>nein</v>
      </c>
      <c r="I719" s="15" t="str">
        <f aca="false">IF(C719&gt;=M719,"ja","nein")</f>
        <v>nein</v>
      </c>
      <c r="J719" s="15" t="n">
        <f aca="false">ROUND(Annahmen!$K$35*(1+Annahmen!$B$20*D719/1000),0)</f>
        <v>854</v>
      </c>
      <c r="K719" s="15" t="n">
        <f aca="false">ROUND(Annahmen!$K$36*(1+Annahmen!$B$20*D719/1000),0)</f>
        <v>1109</v>
      </c>
      <c r="L719" s="15" t="n">
        <f aca="false">ROUND(Annahmen!$K$37*(1+Annahmen!$B$20*D719/1000),0)</f>
        <v>1133</v>
      </c>
      <c r="M719" s="15" t="n">
        <f aca="false">ROUND(Annahmen!$K$38*(1+Annahmen!$B$20*D719/1000),0)</f>
        <v>1133</v>
      </c>
      <c r="N719" s="16" t="s">
        <v>102</v>
      </c>
    </row>
    <row r="720" customFormat="false" ht="15" hidden="false" customHeight="false" outlineLevel="0" collapsed="false">
      <c r="A720" s="13" t="s">
        <v>1512</v>
      </c>
      <c r="B720" s="14" t="s">
        <v>1513</v>
      </c>
      <c r="C720" s="15" t="n">
        <v>700</v>
      </c>
      <c r="D720" s="15" t="n">
        <v>167</v>
      </c>
      <c r="E720" s="13" t="s">
        <v>82</v>
      </c>
      <c r="F720" s="15" t="str">
        <f aca="false">IF(C720&gt;=J720,"ja","nein")</f>
        <v>nein</v>
      </c>
      <c r="G720" s="15" t="str">
        <f aca="false">IF(C720&gt;=K720,"ja","nein")</f>
        <v>nein</v>
      </c>
      <c r="H720" s="15" t="str">
        <f aca="false">IF(C720&gt;=L720,"ja","nein")</f>
        <v>nein</v>
      </c>
      <c r="I720" s="15" t="str">
        <f aca="false">IF(C720&gt;=M720,"ja","nein")</f>
        <v>nein</v>
      </c>
      <c r="J720" s="15" t="n">
        <f aca="false">ROUND(Annahmen!$K$35*(1+Annahmen!$B$20*D720/1000),0)</f>
        <v>853</v>
      </c>
      <c r="K720" s="15" t="n">
        <f aca="false">ROUND(Annahmen!$K$36*(1+Annahmen!$B$20*D720/1000),0)</f>
        <v>1107</v>
      </c>
      <c r="L720" s="15" t="n">
        <f aca="false">ROUND(Annahmen!$K$37*(1+Annahmen!$B$20*D720/1000),0)</f>
        <v>1132</v>
      </c>
      <c r="M720" s="15" t="n">
        <f aca="false">ROUND(Annahmen!$K$38*(1+Annahmen!$B$20*D720/1000),0)</f>
        <v>1132</v>
      </c>
      <c r="N720" s="16" t="s">
        <v>102</v>
      </c>
    </row>
    <row r="721" customFormat="false" ht="15" hidden="false" customHeight="false" outlineLevel="0" collapsed="false">
      <c r="A721" s="13" t="s">
        <v>1514</v>
      </c>
      <c r="B721" s="14" t="s">
        <v>1515</v>
      </c>
      <c r="C721" s="15" t="n">
        <v>660</v>
      </c>
      <c r="D721" s="15" t="n">
        <v>814</v>
      </c>
      <c r="E721" s="13" t="s">
        <v>82</v>
      </c>
      <c r="F721" s="15" t="str">
        <f aca="false">IF(C721&gt;=J721,"ja","nein")</f>
        <v>nein</v>
      </c>
      <c r="G721" s="15" t="str">
        <f aca="false">IF(C721&gt;=K721,"ja","nein")</f>
        <v>nein</v>
      </c>
      <c r="H721" s="15" t="str">
        <f aca="false">IF(C721&gt;=L721,"ja","nein")</f>
        <v>nein</v>
      </c>
      <c r="I721" s="15" t="str">
        <f aca="false">IF(C721&gt;=M721,"ja","nein")</f>
        <v>nein</v>
      </c>
      <c r="J721" s="15" t="n">
        <f aca="false">ROUND(Annahmen!$K$35*(1+Annahmen!$B$20*D721/1000),0)</f>
        <v>902</v>
      </c>
      <c r="K721" s="15" t="n">
        <f aca="false">ROUND(Annahmen!$K$36*(1+Annahmen!$B$20*D721/1000),0)</f>
        <v>1171</v>
      </c>
      <c r="L721" s="15" t="n">
        <f aca="false">ROUND(Annahmen!$K$37*(1+Annahmen!$B$20*D721/1000),0)</f>
        <v>1197</v>
      </c>
      <c r="M721" s="15" t="n">
        <f aca="false">ROUND(Annahmen!$K$38*(1+Annahmen!$B$20*D721/1000),0)</f>
        <v>1197</v>
      </c>
      <c r="N721" s="16" t="s">
        <v>102</v>
      </c>
    </row>
    <row r="722" customFormat="false" ht="15" hidden="false" customHeight="false" outlineLevel="0" collapsed="false">
      <c r="A722" s="13" t="s">
        <v>1516</v>
      </c>
      <c r="B722" s="14" t="s">
        <v>1517</v>
      </c>
      <c r="C722" s="15" t="n">
        <v>650</v>
      </c>
      <c r="D722" s="15" t="n">
        <v>161</v>
      </c>
      <c r="E722" s="13" t="s">
        <v>82</v>
      </c>
      <c r="F722" s="15" t="str">
        <f aca="false">IF(C722&gt;=J722,"ja","nein")</f>
        <v>nein</v>
      </c>
      <c r="G722" s="15" t="str">
        <f aca="false">IF(C722&gt;=K722,"ja","nein")</f>
        <v>nein</v>
      </c>
      <c r="H722" s="15" t="str">
        <f aca="false">IF(C722&gt;=L722,"ja","nein")</f>
        <v>nein</v>
      </c>
      <c r="I722" s="15" t="str">
        <f aca="false">IF(C722&gt;=M722,"ja","nein")</f>
        <v>nein</v>
      </c>
      <c r="J722" s="15" t="n">
        <f aca="false">ROUND(Annahmen!$K$35*(1+Annahmen!$B$20*D722/1000),0)</f>
        <v>852</v>
      </c>
      <c r="K722" s="15" t="n">
        <f aca="false">ROUND(Annahmen!$K$36*(1+Annahmen!$B$20*D722/1000),0)</f>
        <v>1107</v>
      </c>
      <c r="L722" s="15" t="n">
        <f aca="false">ROUND(Annahmen!$K$37*(1+Annahmen!$B$20*D722/1000),0)</f>
        <v>1131</v>
      </c>
      <c r="M722" s="15" t="n">
        <f aca="false">ROUND(Annahmen!$K$38*(1+Annahmen!$B$20*D722/1000),0)</f>
        <v>1131</v>
      </c>
      <c r="N722" s="16" t="s">
        <v>102</v>
      </c>
    </row>
    <row r="723" customFormat="false" ht="15" hidden="false" customHeight="false" outlineLevel="0" collapsed="false">
      <c r="A723" s="13" t="s">
        <v>1518</v>
      </c>
      <c r="B723" s="14" t="s">
        <v>1519</v>
      </c>
      <c r="C723" s="15" t="n">
        <v>640</v>
      </c>
      <c r="D723" s="15" t="n">
        <v>1401</v>
      </c>
      <c r="E723" s="13" t="s">
        <v>82</v>
      </c>
      <c r="F723" s="15" t="str">
        <f aca="false">IF(C723&gt;=J723,"ja","nein")</f>
        <v>nein</v>
      </c>
      <c r="G723" s="15" t="str">
        <f aca="false">IF(C723&gt;=K723,"ja","nein")</f>
        <v>nein</v>
      </c>
      <c r="H723" s="15" t="str">
        <f aca="false">IF(C723&gt;=L723,"ja","nein")</f>
        <v>nein</v>
      </c>
      <c r="I723" s="15" t="str">
        <f aca="false">IF(C723&gt;=M723,"ja","nein")</f>
        <v>nein</v>
      </c>
      <c r="J723" s="15" t="n">
        <f aca="false">ROUND(Annahmen!$K$35*(1+Annahmen!$B$20*D723/1000),0)</f>
        <v>946</v>
      </c>
      <c r="K723" s="15" t="n">
        <f aca="false">ROUND(Annahmen!$K$36*(1+Annahmen!$B$20*D723/1000),0)</f>
        <v>1229</v>
      </c>
      <c r="L723" s="15" t="n">
        <f aca="false">ROUND(Annahmen!$K$37*(1+Annahmen!$B$20*D723/1000),0)</f>
        <v>1256</v>
      </c>
      <c r="M723" s="15" t="n">
        <f aca="false">ROUND(Annahmen!$K$38*(1+Annahmen!$B$20*D723/1000),0)</f>
        <v>1256</v>
      </c>
      <c r="N723" s="16" t="s">
        <v>102</v>
      </c>
    </row>
    <row r="724" customFormat="false" ht="15" hidden="false" customHeight="false" outlineLevel="0" collapsed="false">
      <c r="A724" s="13" t="s">
        <v>1520</v>
      </c>
      <c r="B724" s="14" t="s">
        <v>1521</v>
      </c>
      <c r="C724" s="15" t="n">
        <v>614</v>
      </c>
      <c r="D724" s="15" t="n">
        <v>59</v>
      </c>
      <c r="E724" s="13" t="s">
        <v>82</v>
      </c>
      <c r="F724" s="15" t="str">
        <f aca="false">IF(C724&gt;=J724,"ja","nein")</f>
        <v>nein</v>
      </c>
      <c r="G724" s="15" t="str">
        <f aca="false">IF(C724&gt;=K724,"ja","nein")</f>
        <v>nein</v>
      </c>
      <c r="H724" s="15" t="str">
        <f aca="false">IF(C724&gt;=L724,"ja","nein")</f>
        <v>nein</v>
      </c>
      <c r="I724" s="15" t="str">
        <f aca="false">IF(C724&gt;=M724,"ja","nein")</f>
        <v>nein</v>
      </c>
      <c r="J724" s="15" t="n">
        <f aca="false">ROUND(Annahmen!$K$35*(1+Annahmen!$B$20*D724/1000),0)</f>
        <v>844</v>
      </c>
      <c r="K724" s="15" t="n">
        <f aca="false">ROUND(Annahmen!$K$36*(1+Annahmen!$B$20*D724/1000),0)</f>
        <v>1097</v>
      </c>
      <c r="L724" s="15" t="n">
        <f aca="false">ROUND(Annahmen!$K$37*(1+Annahmen!$B$20*D724/1000),0)</f>
        <v>1121</v>
      </c>
      <c r="M724" s="15" t="n">
        <f aca="false">ROUND(Annahmen!$K$38*(1+Annahmen!$B$20*D724/1000),0)</f>
        <v>1121</v>
      </c>
      <c r="N724" s="16" t="s">
        <v>102</v>
      </c>
    </row>
    <row r="725" customFormat="false" ht="15" hidden="false" customHeight="false" outlineLevel="0" collapsed="false">
      <c r="A725" s="13" t="s">
        <v>1522</v>
      </c>
      <c r="B725" s="14" t="s">
        <v>1523</v>
      </c>
      <c r="C725" s="15" t="n">
        <v>600</v>
      </c>
      <c r="D725" s="15" t="n">
        <v>922</v>
      </c>
      <c r="E725" s="13" t="s">
        <v>82</v>
      </c>
      <c r="F725" s="15" t="str">
        <f aca="false">IF(C725&gt;=J725,"ja","nein")</f>
        <v>nein</v>
      </c>
      <c r="G725" s="15" t="str">
        <f aca="false">IF(C725&gt;=K725,"ja","nein")</f>
        <v>nein</v>
      </c>
      <c r="H725" s="15" t="str">
        <f aca="false">IF(C725&gt;=L725,"ja","nein")</f>
        <v>nein</v>
      </c>
      <c r="I725" s="15" t="str">
        <f aca="false">IF(C725&gt;=M725,"ja","nein")</f>
        <v>nein</v>
      </c>
      <c r="J725" s="15" t="n">
        <f aca="false">ROUND(Annahmen!$K$35*(1+Annahmen!$B$20*D725/1000),0)</f>
        <v>910</v>
      </c>
      <c r="K725" s="15" t="n">
        <f aca="false">ROUND(Annahmen!$K$36*(1+Annahmen!$B$20*D725/1000),0)</f>
        <v>1182</v>
      </c>
      <c r="L725" s="15" t="n">
        <f aca="false">ROUND(Annahmen!$K$37*(1+Annahmen!$B$20*D725/1000),0)</f>
        <v>1208</v>
      </c>
      <c r="M725" s="15" t="n">
        <f aca="false">ROUND(Annahmen!$K$38*(1+Annahmen!$B$20*D725/1000),0)</f>
        <v>1208</v>
      </c>
      <c r="N725" s="16" t="s">
        <v>102</v>
      </c>
    </row>
    <row r="726" customFormat="false" ht="15" hidden="false" customHeight="false" outlineLevel="0" collapsed="false">
      <c r="A726" s="13" t="s">
        <v>1524</v>
      </c>
      <c r="B726" s="14" t="s">
        <v>1525</v>
      </c>
      <c r="C726" s="15" t="n">
        <v>600</v>
      </c>
      <c r="D726" s="15" t="n">
        <v>557</v>
      </c>
      <c r="E726" s="13" t="s">
        <v>82</v>
      </c>
      <c r="F726" s="15" t="str">
        <f aca="false">IF(C726&gt;=J726,"ja","nein")</f>
        <v>nein</v>
      </c>
      <c r="G726" s="15" t="str">
        <f aca="false">IF(C726&gt;=K726,"ja","nein")</f>
        <v>nein</v>
      </c>
      <c r="H726" s="15" t="str">
        <f aca="false">IF(C726&gt;=L726,"ja","nein")</f>
        <v>nein</v>
      </c>
      <c r="I726" s="15" t="str">
        <f aca="false">IF(C726&gt;=M726,"ja","nein")</f>
        <v>nein</v>
      </c>
      <c r="J726" s="15" t="n">
        <f aca="false">ROUND(Annahmen!$K$35*(1+Annahmen!$B$20*D726/1000),0)</f>
        <v>882</v>
      </c>
      <c r="K726" s="15" t="n">
        <f aca="false">ROUND(Annahmen!$K$36*(1+Annahmen!$B$20*D726/1000),0)</f>
        <v>1146</v>
      </c>
      <c r="L726" s="15" t="n">
        <f aca="false">ROUND(Annahmen!$K$37*(1+Annahmen!$B$20*D726/1000),0)</f>
        <v>1171</v>
      </c>
      <c r="M726" s="15" t="n">
        <f aca="false">ROUND(Annahmen!$K$38*(1+Annahmen!$B$20*D726/1000),0)</f>
        <v>1171</v>
      </c>
      <c r="N726" s="16" t="s">
        <v>102</v>
      </c>
    </row>
    <row r="727" customFormat="false" ht="15" hidden="false" customHeight="false" outlineLevel="0" collapsed="false">
      <c r="A727" s="13" t="s">
        <v>1526</v>
      </c>
      <c r="B727" s="14" t="s">
        <v>1527</v>
      </c>
      <c r="C727" s="15" t="n">
        <v>600</v>
      </c>
      <c r="D727" s="15" t="n">
        <v>1260</v>
      </c>
      <c r="E727" s="13" t="s">
        <v>82</v>
      </c>
      <c r="F727" s="15" t="str">
        <f aca="false">IF(C727&gt;=J727,"ja","nein")</f>
        <v>nein</v>
      </c>
      <c r="G727" s="15" t="str">
        <f aca="false">IF(C727&gt;=K727,"ja","nein")</f>
        <v>nein</v>
      </c>
      <c r="H727" s="15" t="str">
        <f aca="false">IF(C727&gt;=L727,"ja","nein")</f>
        <v>nein</v>
      </c>
      <c r="I727" s="15" t="str">
        <f aca="false">IF(C727&gt;=M727,"ja","nein")</f>
        <v>nein</v>
      </c>
      <c r="J727" s="15" t="n">
        <f aca="false">ROUND(Annahmen!$K$35*(1+Annahmen!$B$20*D727/1000),0)</f>
        <v>935</v>
      </c>
      <c r="K727" s="15" t="n">
        <f aca="false">ROUND(Annahmen!$K$36*(1+Annahmen!$B$20*D727/1000),0)</f>
        <v>1215</v>
      </c>
      <c r="L727" s="15" t="n">
        <f aca="false">ROUND(Annahmen!$K$37*(1+Annahmen!$B$20*D727/1000),0)</f>
        <v>1241</v>
      </c>
      <c r="M727" s="15" t="n">
        <f aca="false">ROUND(Annahmen!$K$38*(1+Annahmen!$B$20*D727/1000),0)</f>
        <v>1241</v>
      </c>
      <c r="N727" s="16" t="s">
        <v>102</v>
      </c>
    </row>
    <row r="728" customFormat="false" ht="15" hidden="false" customHeight="false" outlineLevel="0" collapsed="false">
      <c r="A728" s="13" t="s">
        <v>1528</v>
      </c>
      <c r="B728" s="14" t="s">
        <v>1529</v>
      </c>
      <c r="C728" s="15" t="n">
        <v>560</v>
      </c>
      <c r="D728" s="15" t="n">
        <v>492</v>
      </c>
      <c r="E728" s="13" t="s">
        <v>82</v>
      </c>
      <c r="F728" s="15" t="str">
        <f aca="false">IF(C728&gt;=J728,"ja","nein")</f>
        <v>nein</v>
      </c>
      <c r="G728" s="15" t="str">
        <f aca="false">IF(C728&gt;=K728,"ja","nein")</f>
        <v>nein</v>
      </c>
      <c r="H728" s="15" t="str">
        <f aca="false">IF(C728&gt;=L728,"ja","nein")</f>
        <v>nein</v>
      </c>
      <c r="I728" s="15" t="str">
        <f aca="false">IF(C728&gt;=M728,"ja","nein")</f>
        <v>nein</v>
      </c>
      <c r="J728" s="15" t="n">
        <f aca="false">ROUND(Annahmen!$K$35*(1+Annahmen!$B$20*D728/1000),0)</f>
        <v>877</v>
      </c>
      <c r="K728" s="15" t="n">
        <f aca="false">ROUND(Annahmen!$K$36*(1+Annahmen!$B$20*D728/1000),0)</f>
        <v>1139</v>
      </c>
      <c r="L728" s="15" t="n">
        <f aca="false">ROUND(Annahmen!$K$37*(1+Annahmen!$B$20*D728/1000),0)</f>
        <v>1164</v>
      </c>
      <c r="M728" s="15" t="n">
        <f aca="false">ROUND(Annahmen!$K$38*(1+Annahmen!$B$20*D728/1000),0)</f>
        <v>1164</v>
      </c>
      <c r="N728" s="16" t="s">
        <v>102</v>
      </c>
    </row>
    <row r="729" customFormat="false" ht="15" hidden="false" customHeight="false" outlineLevel="0" collapsed="false">
      <c r="A729" s="11" t="s">
        <v>1530</v>
      </c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</row>
    <row r="730" customFormat="false" ht="15" hidden="false" customHeight="false" outlineLevel="0" collapsed="false">
      <c r="A730" s="13" t="s">
        <v>1531</v>
      </c>
      <c r="B730" s="14" t="s">
        <v>1532</v>
      </c>
      <c r="C730" s="15" t="n">
        <v>1705</v>
      </c>
      <c r="D730" s="15" t="n">
        <v>277</v>
      </c>
      <c r="E730" s="13" t="s">
        <v>82</v>
      </c>
      <c r="F730" s="15" t="str">
        <f aca="false">IF(C730&gt;=J730,"ja","nein")</f>
        <v>ja</v>
      </c>
      <c r="G730" s="15" t="str">
        <f aca="false">IF(C730&gt;=K730,"ja","nein")</f>
        <v>ja</v>
      </c>
      <c r="H730" s="15" t="str">
        <f aca="false">IF(C730&gt;=L730,"ja","nein")</f>
        <v>ja</v>
      </c>
      <c r="I730" s="15" t="str">
        <f aca="false">IF(C730&gt;=M730,"ja","nein")</f>
        <v>ja</v>
      </c>
      <c r="J730" s="15" t="n">
        <f aca="false">ROUND(Annahmen!$K$35*(1+Annahmen!$B$20*D730/1000),0)</f>
        <v>861</v>
      </c>
      <c r="K730" s="15" t="n">
        <f aca="false">ROUND(Annahmen!$K$36*(1+Annahmen!$B$20*D730/1000),0)</f>
        <v>1118</v>
      </c>
      <c r="L730" s="15" t="n">
        <f aca="false">ROUND(Annahmen!$K$37*(1+Annahmen!$B$20*D730/1000),0)</f>
        <v>1143</v>
      </c>
      <c r="M730" s="15" t="n">
        <f aca="false">ROUND(Annahmen!$K$38*(1+Annahmen!$B$20*D730/1000),0)</f>
        <v>1143</v>
      </c>
      <c r="N730" s="16" t="s">
        <v>86</v>
      </c>
    </row>
    <row r="731" customFormat="false" ht="15" hidden="false" customHeight="false" outlineLevel="0" collapsed="false">
      <c r="A731" s="11" t="s">
        <v>1533</v>
      </c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</row>
    <row r="732" customFormat="false" ht="15" hidden="false" customHeight="false" outlineLevel="0" collapsed="false">
      <c r="A732" s="13" t="s">
        <v>1534</v>
      </c>
      <c r="B732" s="14" t="s">
        <v>1535</v>
      </c>
      <c r="C732" s="15" t="n">
        <v>3040</v>
      </c>
      <c r="D732" s="15" t="n">
        <v>1789</v>
      </c>
      <c r="E732" s="13" t="s">
        <v>82</v>
      </c>
      <c r="F732" s="15" t="str">
        <f aca="false">IF(C732&gt;=J732,"ja","nein")</f>
        <v>ja</v>
      </c>
      <c r="G732" s="15" t="str">
        <f aca="false">IF(C732&gt;=K732,"ja","nein")</f>
        <v>ja</v>
      </c>
      <c r="H732" s="15" t="str">
        <f aca="false">IF(C732&gt;=L732,"ja","nein")</f>
        <v>ja</v>
      </c>
      <c r="I732" s="15" t="str">
        <f aca="false">IF(C732&gt;=M732,"ja","nein")</f>
        <v>ja</v>
      </c>
      <c r="J732" s="15" t="n">
        <f aca="false">ROUND(Annahmen!$K$35*(1+Annahmen!$B$20*D732/1000),0)</f>
        <v>975</v>
      </c>
      <c r="K732" s="15" t="n">
        <f aca="false">ROUND(Annahmen!$K$36*(1+Annahmen!$B$20*D732/1000),0)</f>
        <v>1267</v>
      </c>
      <c r="L732" s="15" t="n">
        <f aca="false">ROUND(Annahmen!$K$37*(1+Annahmen!$B$20*D732/1000),0)</f>
        <v>1295</v>
      </c>
      <c r="M732" s="15" t="n">
        <f aca="false">ROUND(Annahmen!$K$38*(1+Annahmen!$B$20*D732/1000),0)</f>
        <v>1295</v>
      </c>
      <c r="N732" s="16" t="s">
        <v>83</v>
      </c>
    </row>
    <row r="733" customFormat="false" ht="15" hidden="false" customHeight="false" outlineLevel="0" collapsed="false">
      <c r="A733" s="11" t="s">
        <v>1536</v>
      </c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</row>
    <row r="734" customFormat="false" ht="15" hidden="false" customHeight="false" outlineLevel="0" collapsed="false">
      <c r="A734" s="13" t="s">
        <v>1537</v>
      </c>
      <c r="B734" s="14" t="s">
        <v>1538</v>
      </c>
      <c r="C734" s="15" t="n">
        <v>3252</v>
      </c>
      <c r="D734" s="15" t="n">
        <v>353</v>
      </c>
      <c r="E734" s="13" t="s">
        <v>82</v>
      </c>
      <c r="F734" s="15" t="str">
        <f aca="false">IF(C734&gt;=J734,"ja","nein")</f>
        <v>ja</v>
      </c>
      <c r="G734" s="15" t="str">
        <f aca="false">IF(C734&gt;=K734,"ja","nein")</f>
        <v>ja</v>
      </c>
      <c r="H734" s="15" t="str">
        <f aca="false">IF(C734&gt;=L734,"ja","nein")</f>
        <v>ja</v>
      </c>
      <c r="I734" s="15" t="str">
        <f aca="false">IF(C734&gt;=M734,"ja","nein")</f>
        <v>ja</v>
      </c>
      <c r="J734" s="15" t="n">
        <f aca="false">ROUND(Annahmen!$K$35*(1+Annahmen!$B$20*D734/1000),0)</f>
        <v>867</v>
      </c>
      <c r="K734" s="15" t="n">
        <f aca="false">ROUND(Annahmen!$K$36*(1+Annahmen!$B$20*D734/1000),0)</f>
        <v>1126</v>
      </c>
      <c r="L734" s="15" t="n">
        <f aca="false">ROUND(Annahmen!$K$37*(1+Annahmen!$B$20*D734/1000),0)</f>
        <v>1150</v>
      </c>
      <c r="M734" s="15" t="n">
        <f aca="false">ROUND(Annahmen!$K$38*(1+Annahmen!$B$20*D734/1000),0)</f>
        <v>1150</v>
      </c>
      <c r="N734" s="16" t="s">
        <v>83</v>
      </c>
    </row>
    <row r="735" customFormat="false" ht="15" hidden="false" customHeight="false" outlineLevel="0" collapsed="false">
      <c r="A735" s="13" t="s">
        <v>1539</v>
      </c>
      <c r="B735" s="14" t="s">
        <v>1540</v>
      </c>
      <c r="C735" s="15" t="n">
        <v>3230</v>
      </c>
      <c r="D735" s="15" t="n">
        <v>527</v>
      </c>
      <c r="E735" s="13" t="s">
        <v>82</v>
      </c>
      <c r="F735" s="15" t="str">
        <f aca="false">IF(C735&gt;=J735,"ja","nein")</f>
        <v>ja</v>
      </c>
      <c r="G735" s="15" t="str">
        <f aca="false">IF(C735&gt;=K735,"ja","nein")</f>
        <v>ja</v>
      </c>
      <c r="H735" s="15" t="str">
        <f aca="false">IF(C735&gt;=L735,"ja","nein")</f>
        <v>ja</v>
      </c>
      <c r="I735" s="15" t="str">
        <f aca="false">IF(C735&gt;=M735,"ja","nein")</f>
        <v>ja</v>
      </c>
      <c r="J735" s="15" t="n">
        <f aca="false">ROUND(Annahmen!$K$35*(1+Annahmen!$B$20*D735/1000),0)</f>
        <v>880</v>
      </c>
      <c r="K735" s="15" t="n">
        <f aca="false">ROUND(Annahmen!$K$36*(1+Annahmen!$B$20*D735/1000),0)</f>
        <v>1143</v>
      </c>
      <c r="L735" s="15" t="n">
        <f aca="false">ROUND(Annahmen!$K$37*(1+Annahmen!$B$20*D735/1000),0)</f>
        <v>1168</v>
      </c>
      <c r="M735" s="15" t="n">
        <f aca="false">ROUND(Annahmen!$K$38*(1+Annahmen!$B$20*D735/1000),0)</f>
        <v>1168</v>
      </c>
      <c r="N735" s="16" t="s">
        <v>83</v>
      </c>
    </row>
    <row r="736" customFormat="false" ht="15" hidden="false" customHeight="false" outlineLevel="0" collapsed="false">
      <c r="A736" s="13" t="s">
        <v>1541</v>
      </c>
      <c r="B736" s="14" t="s">
        <v>1542</v>
      </c>
      <c r="C736" s="15" t="n">
        <v>2950</v>
      </c>
      <c r="D736" s="15" t="n">
        <v>274</v>
      </c>
      <c r="E736" s="13" t="s">
        <v>82</v>
      </c>
      <c r="F736" s="15" t="str">
        <f aca="false">IF(C736&gt;=J736,"ja","nein")</f>
        <v>ja</v>
      </c>
      <c r="G736" s="15" t="str">
        <f aca="false">IF(C736&gt;=K736,"ja","nein")</f>
        <v>ja</v>
      </c>
      <c r="H736" s="15" t="str">
        <f aca="false">IF(C736&gt;=L736,"ja","nein")</f>
        <v>ja</v>
      </c>
      <c r="I736" s="15" t="str">
        <f aca="false">IF(C736&gt;=M736,"ja","nein")</f>
        <v>ja</v>
      </c>
      <c r="J736" s="15" t="n">
        <f aca="false">ROUND(Annahmen!$K$35*(1+Annahmen!$B$20*D736/1000),0)</f>
        <v>861</v>
      </c>
      <c r="K736" s="15" t="n">
        <f aca="false">ROUND(Annahmen!$K$36*(1+Annahmen!$B$20*D736/1000),0)</f>
        <v>1118</v>
      </c>
      <c r="L736" s="15" t="n">
        <f aca="false">ROUND(Annahmen!$K$37*(1+Annahmen!$B$20*D736/1000),0)</f>
        <v>1142</v>
      </c>
      <c r="M736" s="15" t="n">
        <f aca="false">ROUND(Annahmen!$K$38*(1+Annahmen!$B$20*D736/1000),0)</f>
        <v>1142</v>
      </c>
      <c r="N736" s="16" t="s">
        <v>83</v>
      </c>
    </row>
    <row r="737" customFormat="false" ht="15" hidden="false" customHeight="false" outlineLevel="0" collapsed="false">
      <c r="A737" s="13" t="s">
        <v>1543</v>
      </c>
      <c r="B737" s="14" t="s">
        <v>1544</v>
      </c>
      <c r="C737" s="15" t="n">
        <v>2750</v>
      </c>
      <c r="D737" s="15" t="n">
        <v>2462</v>
      </c>
      <c r="E737" s="13" t="s">
        <v>82</v>
      </c>
      <c r="F737" s="15" t="str">
        <f aca="false">IF(C737&gt;=J737,"ja","nein")</f>
        <v>ja</v>
      </c>
      <c r="G737" s="15" t="str">
        <f aca="false">IF(C737&gt;=K737,"ja","nein")</f>
        <v>ja</v>
      </c>
      <c r="H737" s="15" t="str">
        <f aca="false">IF(C737&gt;=L737,"ja","nein")</f>
        <v>ja</v>
      </c>
      <c r="I737" s="15" t="str">
        <f aca="false">IF(C737&gt;=M737,"ja","nein")</f>
        <v>ja</v>
      </c>
      <c r="J737" s="15" t="n">
        <f aca="false">ROUND(Annahmen!$K$35*(1+Annahmen!$B$20*D737/1000),0)</f>
        <v>1026</v>
      </c>
      <c r="K737" s="15" t="n">
        <f aca="false">ROUND(Annahmen!$K$36*(1+Annahmen!$B$20*D737/1000),0)</f>
        <v>1333</v>
      </c>
      <c r="L737" s="15" t="n">
        <f aca="false">ROUND(Annahmen!$K$37*(1+Annahmen!$B$20*D737/1000),0)</f>
        <v>1362</v>
      </c>
      <c r="M737" s="15" t="n">
        <f aca="false">ROUND(Annahmen!$K$38*(1+Annahmen!$B$20*D737/1000),0)</f>
        <v>1362</v>
      </c>
      <c r="N737" s="16" t="s">
        <v>86</v>
      </c>
    </row>
    <row r="738" customFormat="false" ht="15" hidden="false" customHeight="false" outlineLevel="0" collapsed="false">
      <c r="A738" s="13" t="s">
        <v>1545</v>
      </c>
      <c r="B738" s="14" t="s">
        <v>1546</v>
      </c>
      <c r="C738" s="15" t="n">
        <v>2550</v>
      </c>
      <c r="D738" s="15" t="n">
        <v>79</v>
      </c>
      <c r="E738" s="13" t="s">
        <v>82</v>
      </c>
      <c r="F738" s="15" t="str">
        <f aca="false">IF(C738&gt;=J738,"ja","nein")</f>
        <v>ja</v>
      </c>
      <c r="G738" s="15" t="str">
        <f aca="false">IF(C738&gt;=K738,"ja","nein")</f>
        <v>ja</v>
      </c>
      <c r="H738" s="15" t="str">
        <f aca="false">IF(C738&gt;=L738,"ja","nein")</f>
        <v>ja</v>
      </c>
      <c r="I738" s="15" t="str">
        <f aca="false">IF(C738&gt;=M738,"ja","nein")</f>
        <v>ja</v>
      </c>
      <c r="J738" s="15" t="n">
        <f aca="false">ROUND(Annahmen!$K$35*(1+Annahmen!$B$20*D738/1000),0)</f>
        <v>846</v>
      </c>
      <c r="K738" s="15" t="n">
        <f aca="false">ROUND(Annahmen!$K$36*(1+Annahmen!$B$20*D738/1000),0)</f>
        <v>1099</v>
      </c>
      <c r="L738" s="15" t="n">
        <f aca="false">ROUND(Annahmen!$K$37*(1+Annahmen!$B$20*D738/1000),0)</f>
        <v>1123</v>
      </c>
      <c r="M738" s="15" t="n">
        <f aca="false">ROUND(Annahmen!$K$38*(1+Annahmen!$B$20*D738/1000),0)</f>
        <v>1123</v>
      </c>
      <c r="N738" s="16" t="s">
        <v>83</v>
      </c>
    </row>
    <row r="739" customFormat="false" ht="15" hidden="false" customHeight="false" outlineLevel="0" collapsed="false">
      <c r="A739" s="13" t="s">
        <v>1547</v>
      </c>
      <c r="B739" s="14" t="s">
        <v>1548</v>
      </c>
      <c r="C739" s="15" t="n">
        <v>2500</v>
      </c>
      <c r="D739" s="15" t="n">
        <v>290</v>
      </c>
      <c r="E739" s="13" t="s">
        <v>82</v>
      </c>
      <c r="F739" s="15" t="str">
        <f aca="false">IF(C739&gt;=J739,"ja","nein")</f>
        <v>ja</v>
      </c>
      <c r="G739" s="15" t="str">
        <f aca="false">IF(C739&gt;=K739,"ja","nein")</f>
        <v>ja</v>
      </c>
      <c r="H739" s="15" t="str">
        <f aca="false">IF(C739&gt;=L739,"ja","nein")</f>
        <v>ja</v>
      </c>
      <c r="I739" s="15" t="str">
        <f aca="false">IF(C739&gt;=M739,"ja","nein")</f>
        <v>ja</v>
      </c>
      <c r="J739" s="15" t="n">
        <f aca="false">ROUND(Annahmen!$K$35*(1+Annahmen!$B$20*D739/1000),0)</f>
        <v>862</v>
      </c>
      <c r="K739" s="15" t="n">
        <f aca="false">ROUND(Annahmen!$K$36*(1+Annahmen!$B$20*D739/1000),0)</f>
        <v>1119</v>
      </c>
      <c r="L739" s="15" t="n">
        <f aca="false">ROUND(Annahmen!$K$37*(1+Annahmen!$B$20*D739/1000),0)</f>
        <v>1144</v>
      </c>
      <c r="M739" s="15" t="n">
        <f aca="false">ROUND(Annahmen!$K$38*(1+Annahmen!$B$20*D739/1000),0)</f>
        <v>1144</v>
      </c>
      <c r="N739" s="16" t="s">
        <v>86</v>
      </c>
    </row>
    <row r="740" customFormat="false" ht="15" hidden="false" customHeight="false" outlineLevel="0" collapsed="false">
      <c r="A740" s="13" t="s">
        <v>1549</v>
      </c>
      <c r="B740" s="14" t="s">
        <v>1550</v>
      </c>
      <c r="C740" s="15" t="n">
        <v>2500</v>
      </c>
      <c r="D740" s="15" t="n">
        <v>289</v>
      </c>
      <c r="E740" s="13" t="s">
        <v>82</v>
      </c>
      <c r="F740" s="15" t="str">
        <f aca="false">IF(C740&gt;=J740,"ja","nein")</f>
        <v>ja</v>
      </c>
      <c r="G740" s="15" t="str">
        <f aca="false">IF(C740&gt;=K740,"ja","nein")</f>
        <v>ja</v>
      </c>
      <c r="H740" s="15" t="str">
        <f aca="false">IF(C740&gt;=L740,"ja","nein")</f>
        <v>ja</v>
      </c>
      <c r="I740" s="15" t="str">
        <f aca="false">IF(C740&gt;=M740,"ja","nein")</f>
        <v>ja</v>
      </c>
      <c r="J740" s="15" t="n">
        <f aca="false">ROUND(Annahmen!$K$35*(1+Annahmen!$B$20*D740/1000),0)</f>
        <v>862</v>
      </c>
      <c r="K740" s="15" t="n">
        <f aca="false">ROUND(Annahmen!$K$36*(1+Annahmen!$B$20*D740/1000),0)</f>
        <v>1119</v>
      </c>
      <c r="L740" s="15" t="n">
        <f aca="false">ROUND(Annahmen!$K$37*(1+Annahmen!$B$20*D740/1000),0)</f>
        <v>1144</v>
      </c>
      <c r="M740" s="15" t="n">
        <f aca="false">ROUND(Annahmen!$K$38*(1+Annahmen!$B$20*D740/1000),0)</f>
        <v>1144</v>
      </c>
      <c r="N740" s="16" t="s">
        <v>83</v>
      </c>
    </row>
    <row r="741" customFormat="false" ht="15" hidden="false" customHeight="false" outlineLevel="0" collapsed="false">
      <c r="A741" s="13" t="s">
        <v>1551</v>
      </c>
      <c r="B741" s="14" t="s">
        <v>1552</v>
      </c>
      <c r="C741" s="15" t="n">
        <v>2488</v>
      </c>
      <c r="D741" s="15" t="n">
        <v>278</v>
      </c>
      <c r="E741" s="13" t="s">
        <v>82</v>
      </c>
      <c r="F741" s="15" t="str">
        <f aca="false">IF(C741&gt;=J741,"ja","nein")</f>
        <v>ja</v>
      </c>
      <c r="G741" s="15" t="str">
        <f aca="false">IF(C741&gt;=K741,"ja","nein")</f>
        <v>ja</v>
      </c>
      <c r="H741" s="15" t="str">
        <f aca="false">IF(C741&gt;=L741,"ja","nein")</f>
        <v>ja</v>
      </c>
      <c r="I741" s="15" t="str">
        <f aca="false">IF(C741&gt;=M741,"ja","nein")</f>
        <v>ja</v>
      </c>
      <c r="J741" s="15" t="n">
        <f aca="false">ROUND(Annahmen!$K$35*(1+Annahmen!$B$20*D741/1000),0)</f>
        <v>861</v>
      </c>
      <c r="K741" s="15" t="n">
        <f aca="false">ROUND(Annahmen!$K$36*(1+Annahmen!$B$20*D741/1000),0)</f>
        <v>1118</v>
      </c>
      <c r="L741" s="15" t="n">
        <f aca="false">ROUND(Annahmen!$K$37*(1+Annahmen!$B$20*D741/1000),0)</f>
        <v>1143</v>
      </c>
      <c r="M741" s="15" t="n">
        <f aca="false">ROUND(Annahmen!$K$38*(1+Annahmen!$B$20*D741/1000),0)</f>
        <v>1143</v>
      </c>
      <c r="N741" s="16" t="s">
        <v>83</v>
      </c>
    </row>
    <row r="742" customFormat="false" ht="15" hidden="false" customHeight="false" outlineLevel="0" collapsed="false">
      <c r="A742" s="13" t="s">
        <v>1553</v>
      </c>
      <c r="B742" s="14" t="s">
        <v>1554</v>
      </c>
      <c r="C742" s="15" t="n">
        <v>1861</v>
      </c>
      <c r="D742" s="15" t="n">
        <v>951</v>
      </c>
      <c r="E742" s="13" t="s">
        <v>82</v>
      </c>
      <c r="F742" s="15" t="str">
        <f aca="false">IF(C742&gt;=J742,"ja","nein")</f>
        <v>ja</v>
      </c>
      <c r="G742" s="15" t="str">
        <f aca="false">IF(C742&gt;=K742,"ja","nein")</f>
        <v>ja</v>
      </c>
      <c r="H742" s="15" t="str">
        <f aca="false">IF(C742&gt;=L742,"ja","nein")</f>
        <v>ja</v>
      </c>
      <c r="I742" s="15" t="str">
        <f aca="false">IF(C742&gt;=M742,"ja","nein")</f>
        <v>ja</v>
      </c>
      <c r="J742" s="15" t="n">
        <f aca="false">ROUND(Annahmen!$K$35*(1+Annahmen!$B$20*D742/1000),0)</f>
        <v>912</v>
      </c>
      <c r="K742" s="15" t="n">
        <f aca="false">ROUND(Annahmen!$K$36*(1+Annahmen!$B$20*D742/1000),0)</f>
        <v>1184</v>
      </c>
      <c r="L742" s="15" t="n">
        <f aca="false">ROUND(Annahmen!$K$37*(1+Annahmen!$B$20*D742/1000),0)</f>
        <v>1210</v>
      </c>
      <c r="M742" s="15" t="n">
        <f aca="false">ROUND(Annahmen!$K$38*(1+Annahmen!$B$20*D742/1000),0)</f>
        <v>1210</v>
      </c>
      <c r="N742" s="16" t="s">
        <v>102</v>
      </c>
    </row>
    <row r="743" customFormat="false" ht="15" hidden="false" customHeight="false" outlineLevel="0" collapsed="false">
      <c r="A743" s="13" t="s">
        <v>1555</v>
      </c>
      <c r="B743" s="14" t="s">
        <v>1556</v>
      </c>
      <c r="C743" s="15" t="n">
        <v>1760</v>
      </c>
      <c r="D743" s="15" t="n">
        <v>1776</v>
      </c>
      <c r="E743" s="13" t="s">
        <v>82</v>
      </c>
      <c r="F743" s="15" t="str">
        <f aca="false">IF(C743&gt;=J743,"ja","nein")</f>
        <v>ja</v>
      </c>
      <c r="G743" s="15" t="str">
        <f aca="false">IF(C743&gt;=K743,"ja","nein")</f>
        <v>ja</v>
      </c>
      <c r="H743" s="15" t="str">
        <f aca="false">IF(C743&gt;=L743,"ja","nein")</f>
        <v>ja</v>
      </c>
      <c r="I743" s="15" t="str">
        <f aca="false">IF(C743&gt;=M743,"ja","nein")</f>
        <v>ja</v>
      </c>
      <c r="J743" s="15" t="n">
        <f aca="false">ROUND(Annahmen!$K$35*(1+Annahmen!$B$20*D743/1000),0)</f>
        <v>974</v>
      </c>
      <c r="K743" s="15" t="n">
        <f aca="false">ROUND(Annahmen!$K$36*(1+Annahmen!$B$20*D743/1000),0)</f>
        <v>1265</v>
      </c>
      <c r="L743" s="15" t="n">
        <f aca="false">ROUND(Annahmen!$K$37*(1+Annahmen!$B$20*D743/1000),0)</f>
        <v>1293</v>
      </c>
      <c r="M743" s="15" t="n">
        <f aca="false">ROUND(Annahmen!$K$38*(1+Annahmen!$B$20*D743/1000),0)</f>
        <v>1293</v>
      </c>
      <c r="N743" s="16" t="s">
        <v>86</v>
      </c>
    </row>
    <row r="744" customFormat="false" ht="15" hidden="false" customHeight="false" outlineLevel="0" collapsed="false">
      <c r="A744" s="13" t="s">
        <v>1557</v>
      </c>
      <c r="B744" s="14" t="s">
        <v>1558</v>
      </c>
      <c r="C744" s="15" t="n">
        <v>1730</v>
      </c>
      <c r="D744" s="15" t="n">
        <v>548</v>
      </c>
      <c r="E744" s="13" t="s">
        <v>82</v>
      </c>
      <c r="F744" s="15" t="str">
        <f aca="false">IF(C744&gt;=J744,"ja","nein")</f>
        <v>ja</v>
      </c>
      <c r="G744" s="15" t="str">
        <f aca="false">IF(C744&gt;=K744,"ja","nein")</f>
        <v>ja</v>
      </c>
      <c r="H744" s="15" t="str">
        <f aca="false">IF(C744&gt;=L744,"ja","nein")</f>
        <v>ja</v>
      </c>
      <c r="I744" s="15" t="str">
        <f aca="false">IF(C744&gt;=M744,"ja","nein")</f>
        <v>ja</v>
      </c>
      <c r="J744" s="15" t="n">
        <f aca="false">ROUND(Annahmen!$K$35*(1+Annahmen!$B$20*D744/1000),0)</f>
        <v>881</v>
      </c>
      <c r="K744" s="15" t="n">
        <f aca="false">ROUND(Annahmen!$K$36*(1+Annahmen!$B$20*D744/1000),0)</f>
        <v>1145</v>
      </c>
      <c r="L744" s="15" t="n">
        <f aca="false">ROUND(Annahmen!$K$37*(1+Annahmen!$B$20*D744/1000),0)</f>
        <v>1170</v>
      </c>
      <c r="M744" s="15" t="n">
        <f aca="false">ROUND(Annahmen!$K$38*(1+Annahmen!$B$20*D744/1000),0)</f>
        <v>1170</v>
      </c>
      <c r="N744" s="16" t="s">
        <v>102</v>
      </c>
    </row>
    <row r="745" customFormat="false" ht="15" hidden="false" customHeight="false" outlineLevel="0" collapsed="false">
      <c r="A745" s="13" t="s">
        <v>1559</v>
      </c>
      <c r="B745" s="14" t="s">
        <v>1560</v>
      </c>
      <c r="C745" s="15" t="n">
        <v>1200</v>
      </c>
      <c r="D745" s="15" t="n">
        <v>299</v>
      </c>
      <c r="E745" s="13" t="s">
        <v>82</v>
      </c>
      <c r="F745" s="15" t="str">
        <f aca="false">IF(C745&gt;=J745,"ja","nein")</f>
        <v>ja</v>
      </c>
      <c r="G745" s="15" t="str">
        <f aca="false">IF(C745&gt;=K745,"ja","nein")</f>
        <v>ja</v>
      </c>
      <c r="H745" s="15" t="str">
        <f aca="false">IF(C745&gt;=L745,"ja","nein")</f>
        <v>ja</v>
      </c>
      <c r="I745" s="15" t="str">
        <f aca="false">IF(C745&gt;=M745,"ja","nein")</f>
        <v>ja</v>
      </c>
      <c r="J745" s="15" t="n">
        <f aca="false">ROUND(Annahmen!$K$35*(1+Annahmen!$B$20*D745/1000),0)</f>
        <v>863</v>
      </c>
      <c r="K745" s="15" t="n">
        <f aca="false">ROUND(Annahmen!$K$36*(1+Annahmen!$B$20*D745/1000),0)</f>
        <v>1120</v>
      </c>
      <c r="L745" s="15" t="n">
        <f aca="false">ROUND(Annahmen!$K$37*(1+Annahmen!$B$20*D745/1000),0)</f>
        <v>1145</v>
      </c>
      <c r="M745" s="15" t="n">
        <f aca="false">ROUND(Annahmen!$K$38*(1+Annahmen!$B$20*D745/1000),0)</f>
        <v>1145</v>
      </c>
      <c r="N745" s="16" t="s">
        <v>102</v>
      </c>
    </row>
    <row r="746" customFormat="false" ht="15" hidden="false" customHeight="false" outlineLevel="0" collapsed="false">
      <c r="A746" s="13" t="s">
        <v>1561</v>
      </c>
      <c r="B746" s="14" t="s">
        <v>1562</v>
      </c>
      <c r="C746" s="15" t="n">
        <v>900</v>
      </c>
      <c r="D746" s="15" t="n">
        <v>151</v>
      </c>
      <c r="E746" s="13" t="s">
        <v>82</v>
      </c>
      <c r="F746" s="15" t="str">
        <f aca="false">IF(C746&gt;=J746,"ja","nein")</f>
        <v>ja</v>
      </c>
      <c r="G746" s="15" t="str">
        <f aca="false">IF(C746&gt;=K746,"ja","nein")</f>
        <v>nein</v>
      </c>
      <c r="H746" s="15" t="str">
        <f aca="false">IF(C746&gt;=L746,"ja","nein")</f>
        <v>nein</v>
      </c>
      <c r="I746" s="15" t="str">
        <f aca="false">IF(C746&gt;=M746,"ja","nein")</f>
        <v>nein</v>
      </c>
      <c r="J746" s="15" t="n">
        <f aca="false">ROUND(Annahmen!$K$35*(1+Annahmen!$B$20*D746/1000),0)</f>
        <v>851</v>
      </c>
      <c r="K746" s="15" t="n">
        <f aca="false">ROUND(Annahmen!$K$36*(1+Annahmen!$B$20*D746/1000),0)</f>
        <v>1106</v>
      </c>
      <c r="L746" s="15" t="n">
        <f aca="false">ROUND(Annahmen!$K$37*(1+Annahmen!$B$20*D746/1000),0)</f>
        <v>1130</v>
      </c>
      <c r="M746" s="15" t="n">
        <f aca="false">ROUND(Annahmen!$K$38*(1+Annahmen!$B$20*D746/1000),0)</f>
        <v>1130</v>
      </c>
      <c r="N746" s="16" t="s">
        <v>102</v>
      </c>
    </row>
    <row r="747" customFormat="false" ht="15" hidden="false" customHeight="false" outlineLevel="0" collapsed="false">
      <c r="A747" s="11" t="s">
        <v>1563</v>
      </c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</row>
    <row r="748" customFormat="false" ht="15" hidden="false" customHeight="false" outlineLevel="0" collapsed="false">
      <c r="A748" s="13" t="s">
        <v>1564</v>
      </c>
      <c r="B748" s="14" t="s">
        <v>1565</v>
      </c>
      <c r="C748" s="15" t="n">
        <v>3200</v>
      </c>
      <c r="D748" s="15" t="n">
        <v>36</v>
      </c>
      <c r="E748" s="13" t="s">
        <v>82</v>
      </c>
      <c r="F748" s="15" t="str">
        <f aca="false">IF(C748&gt;=J748,"ja","nein")</f>
        <v>ja</v>
      </c>
      <c r="G748" s="15" t="str">
        <f aca="false">IF(C748&gt;=K748,"ja","nein")</f>
        <v>ja</v>
      </c>
      <c r="H748" s="15" t="str">
        <f aca="false">IF(C748&gt;=L748,"ja","nein")</f>
        <v>ja</v>
      </c>
      <c r="I748" s="15" t="str">
        <f aca="false">IF(C748&gt;=M748,"ja","nein")</f>
        <v>ja</v>
      </c>
      <c r="J748" s="15" t="n">
        <f aca="false">ROUND(Annahmen!$K$35*(1+Annahmen!$B$20*D748/1000),0)</f>
        <v>843</v>
      </c>
      <c r="K748" s="15" t="n">
        <f aca="false">ROUND(Annahmen!$K$36*(1+Annahmen!$B$20*D748/1000),0)</f>
        <v>1095</v>
      </c>
      <c r="L748" s="15" t="n">
        <f aca="false">ROUND(Annahmen!$K$37*(1+Annahmen!$B$20*D748/1000),0)</f>
        <v>1119</v>
      </c>
      <c r="M748" s="15" t="n">
        <f aca="false">ROUND(Annahmen!$K$38*(1+Annahmen!$B$20*D748/1000),0)</f>
        <v>1119</v>
      </c>
      <c r="N748" s="16" t="s">
        <v>83</v>
      </c>
    </row>
    <row r="749" customFormat="false" ht="15" hidden="false" customHeight="false" outlineLevel="0" collapsed="false">
      <c r="A749" s="13" t="s">
        <v>1566</v>
      </c>
      <c r="B749" s="14" t="s">
        <v>1567</v>
      </c>
      <c r="C749" s="15" t="n">
        <v>2498</v>
      </c>
      <c r="D749" s="15" t="n">
        <v>220</v>
      </c>
      <c r="E749" s="13" t="s">
        <v>82</v>
      </c>
      <c r="F749" s="15" t="str">
        <f aca="false">IF(C749&gt;=J749,"ja","nein")</f>
        <v>ja</v>
      </c>
      <c r="G749" s="15" t="str">
        <f aca="false">IF(C749&gt;=K749,"ja","nein")</f>
        <v>ja</v>
      </c>
      <c r="H749" s="15" t="str">
        <f aca="false">IF(C749&gt;=L749,"ja","nein")</f>
        <v>ja</v>
      </c>
      <c r="I749" s="15" t="str">
        <f aca="false">IF(C749&gt;=M749,"ja","nein")</f>
        <v>ja</v>
      </c>
      <c r="J749" s="15" t="n">
        <f aca="false">ROUND(Annahmen!$K$35*(1+Annahmen!$B$20*D749/1000),0)</f>
        <v>857</v>
      </c>
      <c r="K749" s="15" t="n">
        <f aca="false">ROUND(Annahmen!$K$36*(1+Annahmen!$B$20*D749/1000),0)</f>
        <v>1113</v>
      </c>
      <c r="L749" s="15" t="n">
        <f aca="false">ROUND(Annahmen!$K$37*(1+Annahmen!$B$20*D749/1000),0)</f>
        <v>1137</v>
      </c>
      <c r="M749" s="15" t="n">
        <f aca="false">ROUND(Annahmen!$K$38*(1+Annahmen!$B$20*D749/1000),0)</f>
        <v>1137</v>
      </c>
      <c r="N749" s="16" t="s">
        <v>86</v>
      </c>
    </row>
    <row r="750" customFormat="false" ht="15" hidden="false" customHeight="false" outlineLevel="0" collapsed="false">
      <c r="A750" s="13" t="s">
        <v>1568</v>
      </c>
      <c r="B750" s="14" t="s">
        <v>1569</v>
      </c>
      <c r="C750" s="15" t="n">
        <v>2002</v>
      </c>
      <c r="D750" s="15" t="n">
        <v>16</v>
      </c>
      <c r="E750" s="13" t="s">
        <v>82</v>
      </c>
      <c r="F750" s="15" t="str">
        <f aca="false">IF(C750&gt;=J750,"ja","nein")</f>
        <v>ja</v>
      </c>
      <c r="G750" s="15" t="str">
        <f aca="false">IF(C750&gt;=K750,"ja","nein")</f>
        <v>ja</v>
      </c>
      <c r="H750" s="15" t="str">
        <f aca="false">IF(C750&gt;=L750,"ja","nein")</f>
        <v>ja</v>
      </c>
      <c r="I750" s="15" t="str">
        <f aca="false">IF(C750&gt;=M750,"ja","nein")</f>
        <v>ja</v>
      </c>
      <c r="J750" s="15" t="n">
        <f aca="false">ROUND(Annahmen!$K$35*(1+Annahmen!$B$20*D750/1000),0)</f>
        <v>841</v>
      </c>
      <c r="K750" s="15" t="n">
        <f aca="false">ROUND(Annahmen!$K$36*(1+Annahmen!$B$20*D750/1000),0)</f>
        <v>1093</v>
      </c>
      <c r="L750" s="15" t="n">
        <f aca="false">ROUND(Annahmen!$K$37*(1+Annahmen!$B$20*D750/1000),0)</f>
        <v>1117</v>
      </c>
      <c r="M750" s="15" t="n">
        <f aca="false">ROUND(Annahmen!$K$38*(1+Annahmen!$B$20*D750/1000),0)</f>
        <v>1117</v>
      </c>
      <c r="N750" s="16" t="s">
        <v>83</v>
      </c>
    </row>
    <row r="751" customFormat="false" ht="15" hidden="false" customHeight="false" outlineLevel="0" collapsed="false">
      <c r="A751" s="13" t="s">
        <v>1570</v>
      </c>
      <c r="B751" s="14" t="s">
        <v>1571</v>
      </c>
      <c r="C751" s="15" t="n">
        <v>1298</v>
      </c>
      <c r="D751" s="15" t="n">
        <v>19</v>
      </c>
      <c r="E751" s="13" t="s">
        <v>82</v>
      </c>
      <c r="F751" s="15" t="str">
        <f aca="false">IF(C751&gt;=J751,"ja","nein")</f>
        <v>ja</v>
      </c>
      <c r="G751" s="15" t="str">
        <f aca="false">IF(C751&gt;=K751,"ja","nein")</f>
        <v>ja</v>
      </c>
      <c r="H751" s="15" t="str">
        <f aca="false">IF(C751&gt;=L751,"ja","nein")</f>
        <v>ja</v>
      </c>
      <c r="I751" s="15" t="str">
        <f aca="false">IF(C751&gt;=M751,"ja","nein")</f>
        <v>ja</v>
      </c>
      <c r="J751" s="15" t="n">
        <f aca="false">ROUND(Annahmen!$K$35*(1+Annahmen!$B$20*D751/1000),0)</f>
        <v>841</v>
      </c>
      <c r="K751" s="15" t="n">
        <f aca="false">ROUND(Annahmen!$K$36*(1+Annahmen!$B$20*D751/1000),0)</f>
        <v>1093</v>
      </c>
      <c r="L751" s="15" t="n">
        <f aca="false">ROUND(Annahmen!$K$37*(1+Annahmen!$B$20*D751/1000),0)</f>
        <v>1117</v>
      </c>
      <c r="M751" s="15" t="n">
        <f aca="false">ROUND(Annahmen!$K$38*(1+Annahmen!$B$20*D751/1000),0)</f>
        <v>1117</v>
      </c>
      <c r="N751" s="16" t="s">
        <v>102</v>
      </c>
    </row>
    <row r="752" customFormat="false" ht="15" hidden="false" customHeight="false" outlineLevel="0" collapsed="false">
      <c r="A752" s="13" t="s">
        <v>1572</v>
      </c>
      <c r="B752" s="14" t="s">
        <v>1573</v>
      </c>
      <c r="C752" s="15" t="n">
        <v>1000</v>
      </c>
      <c r="D752" s="15" t="n">
        <v>3</v>
      </c>
      <c r="E752" s="13" t="s">
        <v>82</v>
      </c>
      <c r="F752" s="15" t="str">
        <f aca="false">IF(C752&gt;=J752,"ja","nein")</f>
        <v>ja</v>
      </c>
      <c r="G752" s="15" t="str">
        <f aca="false">IF(C752&gt;=K752,"ja","nein")</f>
        <v>nein</v>
      </c>
      <c r="H752" s="15" t="str">
        <f aca="false">IF(C752&gt;=L752,"ja","nein")</f>
        <v>nein</v>
      </c>
      <c r="I752" s="15" t="str">
        <f aca="false">IF(C752&gt;=M752,"ja","nein")</f>
        <v>nein</v>
      </c>
      <c r="J752" s="15" t="n">
        <f aca="false">ROUND(Annahmen!$K$35*(1+Annahmen!$B$20*D752/1000),0)</f>
        <v>840</v>
      </c>
      <c r="K752" s="15" t="n">
        <f aca="false">ROUND(Annahmen!$K$36*(1+Annahmen!$B$20*D752/1000),0)</f>
        <v>1091</v>
      </c>
      <c r="L752" s="15" t="n">
        <f aca="false">ROUND(Annahmen!$K$37*(1+Annahmen!$B$20*D752/1000),0)</f>
        <v>1115</v>
      </c>
      <c r="M752" s="15" t="n">
        <f aca="false">ROUND(Annahmen!$K$38*(1+Annahmen!$B$20*D752/1000),0)</f>
        <v>1115</v>
      </c>
      <c r="N752" s="16" t="s">
        <v>102</v>
      </c>
    </row>
    <row r="753" customFormat="false" ht="15" hidden="false" customHeight="false" outlineLevel="0" collapsed="false">
      <c r="A753" s="11" t="s">
        <v>1574</v>
      </c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</row>
    <row r="754" customFormat="false" ht="15" hidden="false" customHeight="false" outlineLevel="0" collapsed="false">
      <c r="A754" s="13" t="s">
        <v>1575</v>
      </c>
      <c r="B754" s="14" t="s">
        <v>1576</v>
      </c>
      <c r="C754" s="15" t="n">
        <v>3500</v>
      </c>
      <c r="D754" s="15" t="n">
        <v>443</v>
      </c>
      <c r="E754" s="13" t="s">
        <v>82</v>
      </c>
      <c r="F754" s="15" t="str">
        <f aca="false">IF(C754&gt;=J754,"ja","nein")</f>
        <v>ja</v>
      </c>
      <c r="G754" s="15" t="str">
        <f aca="false">IF(C754&gt;=K754,"ja","nein")</f>
        <v>ja</v>
      </c>
      <c r="H754" s="15" t="str">
        <f aca="false">IF(C754&gt;=L754,"ja","nein")</f>
        <v>ja</v>
      </c>
      <c r="I754" s="15" t="str">
        <f aca="false">IF(C754&gt;=M754,"ja","nein")</f>
        <v>ja</v>
      </c>
      <c r="J754" s="15" t="n">
        <f aca="false">ROUND(Annahmen!$K$35*(1+Annahmen!$B$20*D754/1000),0)</f>
        <v>873</v>
      </c>
      <c r="K754" s="15" t="n">
        <f aca="false">ROUND(Annahmen!$K$36*(1+Annahmen!$B$20*D754/1000),0)</f>
        <v>1134</v>
      </c>
      <c r="L754" s="15" t="n">
        <f aca="false">ROUND(Annahmen!$K$37*(1+Annahmen!$B$20*D754/1000),0)</f>
        <v>1159</v>
      </c>
      <c r="M754" s="15" t="n">
        <f aca="false">ROUND(Annahmen!$K$38*(1+Annahmen!$B$20*D754/1000),0)</f>
        <v>1159</v>
      </c>
      <c r="N754" s="16" t="s">
        <v>86</v>
      </c>
    </row>
    <row r="755" customFormat="false" ht="15" hidden="false" customHeight="false" outlineLevel="0" collapsed="false">
      <c r="A755" s="13" t="s">
        <v>1577</v>
      </c>
      <c r="B755" s="14" t="s">
        <v>1578</v>
      </c>
      <c r="C755" s="15" t="n">
        <v>3250</v>
      </c>
      <c r="D755" s="15" t="n">
        <v>256</v>
      </c>
      <c r="E755" s="13" t="s">
        <v>82</v>
      </c>
      <c r="F755" s="15" t="str">
        <f aca="false">IF(C755&gt;=J755,"ja","nein")</f>
        <v>ja</v>
      </c>
      <c r="G755" s="15" t="str">
        <f aca="false">IF(C755&gt;=K755,"ja","nein")</f>
        <v>ja</v>
      </c>
      <c r="H755" s="15" t="str">
        <f aca="false">IF(C755&gt;=L755,"ja","nein")</f>
        <v>ja</v>
      </c>
      <c r="I755" s="15" t="str">
        <f aca="false">IF(C755&gt;=M755,"ja","nein")</f>
        <v>ja</v>
      </c>
      <c r="J755" s="15" t="n">
        <f aca="false">ROUND(Annahmen!$K$35*(1+Annahmen!$B$20*D755/1000),0)</f>
        <v>859</v>
      </c>
      <c r="K755" s="15" t="n">
        <f aca="false">ROUND(Annahmen!$K$36*(1+Annahmen!$B$20*D755/1000),0)</f>
        <v>1116</v>
      </c>
      <c r="L755" s="15" t="n">
        <f aca="false">ROUND(Annahmen!$K$37*(1+Annahmen!$B$20*D755/1000),0)</f>
        <v>1141</v>
      </c>
      <c r="M755" s="15" t="n">
        <f aca="false">ROUND(Annahmen!$K$38*(1+Annahmen!$B$20*D755/1000),0)</f>
        <v>1141</v>
      </c>
      <c r="N755" s="16" t="s">
        <v>83</v>
      </c>
    </row>
    <row r="756" customFormat="false" ht="15" hidden="false" customHeight="false" outlineLevel="0" collapsed="false">
      <c r="A756" s="13" t="s">
        <v>1579</v>
      </c>
      <c r="B756" s="14" t="s">
        <v>1580</v>
      </c>
      <c r="C756" s="15" t="n">
        <v>2515</v>
      </c>
      <c r="D756" s="15" t="n">
        <v>648</v>
      </c>
      <c r="E756" s="13" t="s">
        <v>82</v>
      </c>
      <c r="F756" s="15" t="str">
        <f aca="false">IF(C756&gt;=J756,"ja","nein")</f>
        <v>ja</v>
      </c>
      <c r="G756" s="15" t="str">
        <f aca="false">IF(C756&gt;=K756,"ja","nein")</f>
        <v>ja</v>
      </c>
      <c r="H756" s="15" t="str">
        <f aca="false">IF(C756&gt;=L756,"ja","nein")</f>
        <v>ja</v>
      </c>
      <c r="I756" s="15" t="str">
        <f aca="false">IF(C756&gt;=M756,"ja","nein")</f>
        <v>ja</v>
      </c>
      <c r="J756" s="15" t="n">
        <f aca="false">ROUND(Annahmen!$K$35*(1+Annahmen!$B$20*D756/1000),0)</f>
        <v>889</v>
      </c>
      <c r="K756" s="15" t="n">
        <f aca="false">ROUND(Annahmen!$K$36*(1+Annahmen!$B$20*D756/1000),0)</f>
        <v>1155</v>
      </c>
      <c r="L756" s="15" t="n">
        <f aca="false">ROUND(Annahmen!$K$37*(1+Annahmen!$B$20*D756/1000),0)</f>
        <v>1180</v>
      </c>
      <c r="M756" s="15" t="n">
        <f aca="false">ROUND(Annahmen!$K$38*(1+Annahmen!$B$20*D756/1000),0)</f>
        <v>1180</v>
      </c>
      <c r="N756" s="16" t="s">
        <v>83</v>
      </c>
    </row>
    <row r="757" customFormat="false" ht="15" hidden="false" customHeight="false" outlineLevel="0" collapsed="false">
      <c r="A757" s="13" t="s">
        <v>1581</v>
      </c>
      <c r="B757" s="14" t="s">
        <v>1582</v>
      </c>
      <c r="C757" s="15" t="n">
        <v>2280</v>
      </c>
      <c r="D757" s="15" t="n">
        <v>33</v>
      </c>
      <c r="E757" s="13" t="s">
        <v>82</v>
      </c>
      <c r="F757" s="15" t="str">
        <f aca="false">IF(C757&gt;=J757,"ja","nein")</f>
        <v>ja</v>
      </c>
      <c r="G757" s="15" t="str">
        <f aca="false">IF(C757&gt;=K757,"ja","nein")</f>
        <v>ja</v>
      </c>
      <c r="H757" s="15" t="str">
        <f aca="false">IF(C757&gt;=L757,"ja","nein")</f>
        <v>ja</v>
      </c>
      <c r="I757" s="15" t="str">
        <f aca="false">IF(C757&gt;=M757,"ja","nein")</f>
        <v>ja</v>
      </c>
      <c r="J757" s="15" t="n">
        <f aca="false">ROUND(Annahmen!$K$35*(1+Annahmen!$B$20*D757/1000),0)</f>
        <v>842</v>
      </c>
      <c r="K757" s="15" t="n">
        <f aca="false">ROUND(Annahmen!$K$36*(1+Annahmen!$B$20*D757/1000),0)</f>
        <v>1094</v>
      </c>
      <c r="L757" s="15" t="n">
        <f aca="false">ROUND(Annahmen!$K$37*(1+Annahmen!$B$20*D757/1000),0)</f>
        <v>1118</v>
      </c>
      <c r="M757" s="15" t="n">
        <f aca="false">ROUND(Annahmen!$K$38*(1+Annahmen!$B$20*D757/1000),0)</f>
        <v>1118</v>
      </c>
      <c r="N757" s="16" t="s">
        <v>83</v>
      </c>
    </row>
    <row r="758" customFormat="false" ht="15" hidden="false" customHeight="false" outlineLevel="0" collapsed="false">
      <c r="A758" s="13" t="s">
        <v>1583</v>
      </c>
      <c r="B758" s="14" t="s">
        <v>1584</v>
      </c>
      <c r="C758" s="15" t="n">
        <v>1000</v>
      </c>
      <c r="D758" s="15" t="n">
        <v>270</v>
      </c>
      <c r="E758" s="13" t="s">
        <v>82</v>
      </c>
      <c r="F758" s="15" t="str">
        <f aca="false">IF(C758&gt;=J758,"ja","nein")</f>
        <v>ja</v>
      </c>
      <c r="G758" s="15" t="str">
        <f aca="false">IF(C758&gt;=K758,"ja","nein")</f>
        <v>nein</v>
      </c>
      <c r="H758" s="15" t="str">
        <f aca="false">IF(C758&gt;=L758,"ja","nein")</f>
        <v>nein</v>
      </c>
      <c r="I758" s="15" t="str">
        <f aca="false">IF(C758&gt;=M758,"ja","nein")</f>
        <v>nein</v>
      </c>
      <c r="J758" s="15" t="n">
        <f aca="false">ROUND(Annahmen!$K$35*(1+Annahmen!$B$20*D758/1000),0)</f>
        <v>860</v>
      </c>
      <c r="K758" s="15" t="n">
        <f aca="false">ROUND(Annahmen!$K$36*(1+Annahmen!$B$20*D758/1000),0)</f>
        <v>1118</v>
      </c>
      <c r="L758" s="15" t="n">
        <f aca="false">ROUND(Annahmen!$K$37*(1+Annahmen!$B$20*D758/1000),0)</f>
        <v>1142</v>
      </c>
      <c r="M758" s="15" t="n">
        <f aca="false">ROUND(Annahmen!$K$38*(1+Annahmen!$B$20*D758/1000),0)</f>
        <v>1142</v>
      </c>
      <c r="N758" s="16" t="s">
        <v>86</v>
      </c>
    </row>
    <row r="759" customFormat="false" ht="15" hidden="false" customHeight="false" outlineLevel="0" collapsed="false">
      <c r="A759" s="13" t="s">
        <v>1585</v>
      </c>
      <c r="B759" s="14" t="s">
        <v>1586</v>
      </c>
      <c r="C759" s="15" t="n">
        <v>840</v>
      </c>
      <c r="D759" s="15" t="n">
        <v>246</v>
      </c>
      <c r="E759" s="13" t="s">
        <v>82</v>
      </c>
      <c r="F759" s="15" t="str">
        <f aca="false">IF(C759&gt;=J759,"ja","nein")</f>
        <v>nein</v>
      </c>
      <c r="G759" s="15" t="str">
        <f aca="false">IF(C759&gt;=K759,"ja","nein")</f>
        <v>nein</v>
      </c>
      <c r="H759" s="15" t="str">
        <f aca="false">IF(C759&gt;=L759,"ja","nein")</f>
        <v>nein</v>
      </c>
      <c r="I759" s="15" t="str">
        <f aca="false">IF(C759&gt;=M759,"ja","nein")</f>
        <v>nein</v>
      </c>
      <c r="J759" s="15" t="n">
        <f aca="false">ROUND(Annahmen!$K$35*(1+Annahmen!$B$20*D759/1000),0)</f>
        <v>859</v>
      </c>
      <c r="K759" s="15" t="n">
        <f aca="false">ROUND(Annahmen!$K$36*(1+Annahmen!$B$20*D759/1000),0)</f>
        <v>1115</v>
      </c>
      <c r="L759" s="15" t="n">
        <f aca="false">ROUND(Annahmen!$K$37*(1+Annahmen!$B$20*D759/1000),0)</f>
        <v>1140</v>
      </c>
      <c r="M759" s="15" t="n">
        <f aca="false">ROUND(Annahmen!$K$38*(1+Annahmen!$B$20*D759/1000),0)</f>
        <v>1140</v>
      </c>
      <c r="N759" s="16" t="s">
        <v>102</v>
      </c>
    </row>
    <row r="760" customFormat="false" ht="15" hidden="false" customHeight="false" outlineLevel="0" collapsed="false">
      <c r="A760" s="13" t="s">
        <v>1587</v>
      </c>
      <c r="B760" s="14" t="s">
        <v>1588</v>
      </c>
      <c r="C760" s="15" t="n">
        <v>808</v>
      </c>
      <c r="D760" s="15" t="n">
        <v>6</v>
      </c>
      <c r="E760" s="13" t="s">
        <v>82</v>
      </c>
      <c r="F760" s="15" t="str">
        <f aca="false">IF(C760&gt;=J760,"ja","nein")</f>
        <v>nein</v>
      </c>
      <c r="G760" s="15" t="str">
        <f aca="false">IF(C760&gt;=K760,"ja","nein")</f>
        <v>nein</v>
      </c>
      <c r="H760" s="15" t="str">
        <f aca="false">IF(C760&gt;=L760,"ja","nein")</f>
        <v>nein</v>
      </c>
      <c r="I760" s="15" t="str">
        <f aca="false">IF(C760&gt;=M760,"ja","nein")</f>
        <v>nein</v>
      </c>
      <c r="J760" s="15" t="n">
        <f aca="false">ROUND(Annahmen!$K$35*(1+Annahmen!$B$20*D760/1000),0)</f>
        <v>840</v>
      </c>
      <c r="K760" s="15" t="n">
        <f aca="false">ROUND(Annahmen!$K$36*(1+Annahmen!$B$20*D760/1000),0)</f>
        <v>1092</v>
      </c>
      <c r="L760" s="15" t="n">
        <f aca="false">ROUND(Annahmen!$K$37*(1+Annahmen!$B$20*D760/1000),0)</f>
        <v>1116</v>
      </c>
      <c r="M760" s="15" t="n">
        <f aca="false">ROUND(Annahmen!$K$38*(1+Annahmen!$B$20*D760/1000),0)</f>
        <v>1116</v>
      </c>
      <c r="N760" s="16" t="s">
        <v>102</v>
      </c>
    </row>
    <row r="761" customFormat="false" ht="15" hidden="false" customHeight="false" outlineLevel="0" collapsed="false">
      <c r="A761" s="13" t="s">
        <v>1589</v>
      </c>
      <c r="B761" s="14" t="s">
        <v>1590</v>
      </c>
      <c r="C761" s="15" t="n">
        <v>667</v>
      </c>
      <c r="D761" s="15" t="n">
        <v>200</v>
      </c>
      <c r="E761" s="13" t="s">
        <v>82</v>
      </c>
      <c r="F761" s="15" t="str">
        <f aca="false">IF(C761&gt;=J761,"ja","nein")</f>
        <v>nein</v>
      </c>
      <c r="G761" s="15" t="str">
        <f aca="false">IF(C761&gt;=K761,"ja","nein")</f>
        <v>nein</v>
      </c>
      <c r="H761" s="15" t="str">
        <f aca="false">IF(C761&gt;=L761,"ja","nein")</f>
        <v>nein</v>
      </c>
      <c r="I761" s="15" t="str">
        <f aca="false">IF(C761&gt;=M761,"ja","nein")</f>
        <v>nein</v>
      </c>
      <c r="J761" s="15" t="n">
        <f aca="false">ROUND(Annahmen!$K$35*(1+Annahmen!$B$20*D761/1000),0)</f>
        <v>855</v>
      </c>
      <c r="K761" s="15" t="n">
        <f aca="false">ROUND(Annahmen!$K$36*(1+Annahmen!$B$20*D761/1000),0)</f>
        <v>1111</v>
      </c>
      <c r="L761" s="15" t="n">
        <f aca="false">ROUND(Annahmen!$K$37*(1+Annahmen!$B$20*D761/1000),0)</f>
        <v>1135</v>
      </c>
      <c r="M761" s="15" t="n">
        <f aca="false">ROUND(Annahmen!$K$38*(1+Annahmen!$B$20*D761/1000),0)</f>
        <v>1135</v>
      </c>
      <c r="N761" s="16" t="s">
        <v>102</v>
      </c>
    </row>
    <row r="762" customFormat="false" ht="15" hidden="false" customHeight="false" outlineLevel="0" collapsed="false">
      <c r="A762" s="13" t="s">
        <v>1591</v>
      </c>
      <c r="B762" s="14" t="s">
        <v>1592</v>
      </c>
      <c r="C762" s="15" t="n">
        <v>600</v>
      </c>
      <c r="D762" s="15" t="n">
        <v>171</v>
      </c>
      <c r="E762" s="13" t="s">
        <v>82</v>
      </c>
      <c r="F762" s="15" t="str">
        <f aca="false">IF(C762&gt;=J762,"ja","nein")</f>
        <v>nein</v>
      </c>
      <c r="G762" s="15" t="str">
        <f aca="false">IF(C762&gt;=K762,"ja","nein")</f>
        <v>nein</v>
      </c>
      <c r="H762" s="15" t="str">
        <f aca="false">IF(C762&gt;=L762,"ja","nein")</f>
        <v>nein</v>
      </c>
      <c r="I762" s="15" t="str">
        <f aca="false">IF(C762&gt;=M762,"ja","nein")</f>
        <v>nein</v>
      </c>
      <c r="J762" s="15" t="n">
        <f aca="false">ROUND(Annahmen!$K$35*(1+Annahmen!$B$20*D762/1000),0)</f>
        <v>853</v>
      </c>
      <c r="K762" s="15" t="n">
        <f aca="false">ROUND(Annahmen!$K$36*(1+Annahmen!$B$20*D762/1000),0)</f>
        <v>1108</v>
      </c>
      <c r="L762" s="15" t="n">
        <f aca="false">ROUND(Annahmen!$K$37*(1+Annahmen!$B$20*D762/1000),0)</f>
        <v>1132</v>
      </c>
      <c r="M762" s="15" t="n">
        <f aca="false">ROUND(Annahmen!$K$38*(1+Annahmen!$B$20*D762/1000),0)</f>
        <v>1132</v>
      </c>
      <c r="N762" s="16" t="s">
        <v>102</v>
      </c>
    </row>
    <row r="763" customFormat="false" ht="15" hidden="false" customHeight="false" outlineLevel="0" collapsed="false">
      <c r="A763" s="13" t="s">
        <v>1593</v>
      </c>
      <c r="B763" s="14" t="s">
        <v>1594</v>
      </c>
      <c r="C763" s="15" t="n">
        <v>540</v>
      </c>
      <c r="D763" s="15" t="n">
        <v>541</v>
      </c>
      <c r="E763" s="13" t="s">
        <v>82</v>
      </c>
      <c r="F763" s="15" t="str">
        <f aca="false">IF(C763&gt;=J763,"ja","nein")</f>
        <v>nein</v>
      </c>
      <c r="G763" s="15" t="str">
        <f aca="false">IF(C763&gt;=K763,"ja","nein")</f>
        <v>nein</v>
      </c>
      <c r="H763" s="15" t="str">
        <f aca="false">IF(C763&gt;=L763,"ja","nein")</f>
        <v>nein</v>
      </c>
      <c r="I763" s="15" t="str">
        <f aca="false">IF(C763&gt;=M763,"ja","nein")</f>
        <v>nein</v>
      </c>
      <c r="J763" s="15" t="n">
        <f aca="false">ROUND(Annahmen!$K$35*(1+Annahmen!$B$20*D763/1000),0)</f>
        <v>881</v>
      </c>
      <c r="K763" s="15" t="n">
        <f aca="false">ROUND(Annahmen!$K$36*(1+Annahmen!$B$20*D763/1000),0)</f>
        <v>1144</v>
      </c>
      <c r="L763" s="15" t="n">
        <f aca="false">ROUND(Annahmen!$K$37*(1+Annahmen!$B$20*D763/1000),0)</f>
        <v>1169</v>
      </c>
      <c r="M763" s="15" t="n">
        <f aca="false">ROUND(Annahmen!$K$38*(1+Annahmen!$B$20*D763/1000),0)</f>
        <v>1169</v>
      </c>
      <c r="N763" s="16" t="s">
        <v>102</v>
      </c>
    </row>
    <row r="764" customFormat="false" ht="15" hidden="false" customHeight="false" outlineLevel="0" collapsed="false">
      <c r="A764" s="11" t="s">
        <v>1595</v>
      </c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</row>
    <row r="765" customFormat="false" ht="15" hidden="false" customHeight="false" outlineLevel="0" collapsed="false">
      <c r="A765" s="13" t="s">
        <v>1596</v>
      </c>
      <c r="B765" s="14" t="s">
        <v>1597</v>
      </c>
      <c r="C765" s="15" t="n">
        <v>4000</v>
      </c>
      <c r="D765" s="15" t="n">
        <v>1234</v>
      </c>
      <c r="E765" s="13" t="s">
        <v>82</v>
      </c>
      <c r="F765" s="15" t="str">
        <f aca="false">IF(C765&gt;=J765,"ja","nein")</f>
        <v>ja</v>
      </c>
      <c r="G765" s="15" t="str">
        <f aca="false">IF(C765&gt;=K765,"ja","nein")</f>
        <v>ja</v>
      </c>
      <c r="H765" s="15" t="str">
        <f aca="false">IF(C765&gt;=L765,"ja","nein")</f>
        <v>ja</v>
      </c>
      <c r="I765" s="15" t="str">
        <f aca="false">IF(C765&gt;=M765,"ja","nein")</f>
        <v>ja</v>
      </c>
      <c r="J765" s="15" t="n">
        <f aca="false">ROUND(Annahmen!$K$35*(1+Annahmen!$B$20*D765/1000),0)</f>
        <v>933</v>
      </c>
      <c r="K765" s="15" t="n">
        <f aca="false">ROUND(Annahmen!$K$36*(1+Annahmen!$B$20*D765/1000),0)</f>
        <v>1212</v>
      </c>
      <c r="L765" s="15" t="n">
        <f aca="false">ROUND(Annahmen!$K$37*(1+Annahmen!$B$20*D765/1000),0)</f>
        <v>1239</v>
      </c>
      <c r="M765" s="15" t="n">
        <f aca="false">ROUND(Annahmen!$K$38*(1+Annahmen!$B$20*D765/1000),0)</f>
        <v>1239</v>
      </c>
      <c r="N765" s="16" t="s">
        <v>83</v>
      </c>
    </row>
    <row r="766" customFormat="false" ht="15" hidden="false" customHeight="false" outlineLevel="0" collapsed="false">
      <c r="A766" s="11" t="s">
        <v>1598</v>
      </c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</row>
    <row r="767" customFormat="false" ht="15" hidden="false" customHeight="false" outlineLevel="0" collapsed="false">
      <c r="A767" s="13" t="s">
        <v>1599</v>
      </c>
      <c r="B767" s="14" t="s">
        <v>1600</v>
      </c>
      <c r="C767" s="15" t="n">
        <v>3350</v>
      </c>
      <c r="D767" s="15" t="n">
        <v>300</v>
      </c>
      <c r="E767" s="13" t="s">
        <v>82</v>
      </c>
      <c r="F767" s="15" t="str">
        <f aca="false">IF(C767&gt;=J767,"ja","nein")</f>
        <v>ja</v>
      </c>
      <c r="G767" s="15" t="str">
        <f aca="false">IF(C767&gt;=K767,"ja","nein")</f>
        <v>ja</v>
      </c>
      <c r="H767" s="15" t="str">
        <f aca="false">IF(C767&gt;=L767,"ja","nein")</f>
        <v>ja</v>
      </c>
      <c r="I767" s="15" t="str">
        <f aca="false">IF(C767&gt;=M767,"ja","nein")</f>
        <v>ja</v>
      </c>
      <c r="J767" s="15" t="n">
        <f aca="false">ROUND(Annahmen!$K$35*(1+Annahmen!$B$20*D767/1000),0)</f>
        <v>863</v>
      </c>
      <c r="K767" s="15" t="n">
        <f aca="false">ROUND(Annahmen!$K$36*(1+Annahmen!$B$20*D767/1000),0)</f>
        <v>1120</v>
      </c>
      <c r="L767" s="15" t="n">
        <f aca="false">ROUND(Annahmen!$K$37*(1+Annahmen!$B$20*D767/1000),0)</f>
        <v>1145</v>
      </c>
      <c r="M767" s="15" t="n">
        <f aca="false">ROUND(Annahmen!$K$38*(1+Annahmen!$B$20*D767/1000),0)</f>
        <v>1145</v>
      </c>
      <c r="N767" s="16" t="s">
        <v>83</v>
      </c>
    </row>
    <row r="768" customFormat="false" ht="15" hidden="false" customHeight="false" outlineLevel="0" collapsed="false">
      <c r="A768" s="11" t="s">
        <v>1601</v>
      </c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</row>
    <row r="769" customFormat="false" ht="15" hidden="false" customHeight="false" outlineLevel="0" collapsed="false">
      <c r="A769" s="13" t="s">
        <v>1602</v>
      </c>
      <c r="B769" s="14" t="s">
        <v>1603</v>
      </c>
      <c r="C769" s="15" t="n">
        <v>3590</v>
      </c>
      <c r="D769" s="15" t="n">
        <v>399</v>
      </c>
      <c r="E769" s="13" t="s">
        <v>82</v>
      </c>
      <c r="F769" s="15" t="str">
        <f aca="false">IF(C769&gt;=J769,"ja","nein")</f>
        <v>ja</v>
      </c>
      <c r="G769" s="15" t="str">
        <f aca="false">IF(C769&gt;=K769,"ja","nein")</f>
        <v>ja</v>
      </c>
      <c r="H769" s="15" t="str">
        <f aca="false">IF(C769&gt;=L769,"ja","nein")</f>
        <v>ja</v>
      </c>
      <c r="I769" s="15" t="str">
        <f aca="false">IF(C769&gt;=M769,"ja","nein")</f>
        <v>ja</v>
      </c>
      <c r="J769" s="15" t="n">
        <f aca="false">ROUND(Annahmen!$K$35*(1+Annahmen!$B$20*D769/1000),0)</f>
        <v>870</v>
      </c>
      <c r="K769" s="15" t="n">
        <f aca="false">ROUND(Annahmen!$K$36*(1+Annahmen!$B$20*D769/1000),0)</f>
        <v>1130</v>
      </c>
      <c r="L769" s="15" t="n">
        <f aca="false">ROUND(Annahmen!$K$37*(1+Annahmen!$B$20*D769/1000),0)</f>
        <v>1155</v>
      </c>
      <c r="M769" s="15" t="n">
        <f aca="false">ROUND(Annahmen!$K$38*(1+Annahmen!$B$20*D769/1000),0)</f>
        <v>1155</v>
      </c>
      <c r="N769" s="16" t="s">
        <v>83</v>
      </c>
    </row>
    <row r="770" customFormat="false" ht="15" hidden="false" customHeight="false" outlineLevel="0" collapsed="false">
      <c r="A770" s="13" t="s">
        <v>1604</v>
      </c>
      <c r="B770" s="14" t="s">
        <v>1605</v>
      </c>
      <c r="C770" s="15" t="n">
        <v>2210</v>
      </c>
      <c r="D770" s="15" t="n">
        <v>758</v>
      </c>
      <c r="E770" s="13" t="s">
        <v>82</v>
      </c>
      <c r="F770" s="15" t="str">
        <f aca="false">IF(C770&gt;=J770,"ja","nein")</f>
        <v>ja</v>
      </c>
      <c r="G770" s="15" t="str">
        <f aca="false">IF(C770&gt;=K770,"ja","nein")</f>
        <v>ja</v>
      </c>
      <c r="H770" s="15" t="str">
        <f aca="false">IF(C770&gt;=L770,"ja","nein")</f>
        <v>ja</v>
      </c>
      <c r="I770" s="15" t="str">
        <f aca="false">IF(C770&gt;=M770,"ja","nein")</f>
        <v>ja</v>
      </c>
      <c r="J770" s="15" t="n">
        <f aca="false">ROUND(Annahmen!$K$35*(1+Annahmen!$B$20*D770/1000),0)</f>
        <v>897</v>
      </c>
      <c r="K770" s="15" t="n">
        <f aca="false">ROUND(Annahmen!$K$36*(1+Annahmen!$B$20*D770/1000),0)</f>
        <v>1165</v>
      </c>
      <c r="L770" s="15" t="n">
        <f aca="false">ROUND(Annahmen!$K$37*(1+Annahmen!$B$20*D770/1000),0)</f>
        <v>1191</v>
      </c>
      <c r="M770" s="15" t="n">
        <f aca="false">ROUND(Annahmen!$K$38*(1+Annahmen!$B$20*D770/1000),0)</f>
        <v>1191</v>
      </c>
      <c r="N770" s="16" t="s">
        <v>86</v>
      </c>
    </row>
    <row r="771" customFormat="false" ht="15" hidden="false" customHeight="false" outlineLevel="0" collapsed="false">
      <c r="A771" s="11" t="s">
        <v>1606</v>
      </c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</row>
    <row r="772" customFormat="false" ht="15" hidden="false" customHeight="false" outlineLevel="0" collapsed="false">
      <c r="A772" s="13" t="s">
        <v>1607</v>
      </c>
      <c r="B772" s="14" t="s">
        <v>1608</v>
      </c>
      <c r="C772" s="15" t="n">
        <v>2502</v>
      </c>
      <c r="D772" s="15" t="n">
        <v>20</v>
      </c>
      <c r="E772" s="13" t="s">
        <v>82</v>
      </c>
      <c r="F772" s="15" t="str">
        <f aca="false">IF(C772&gt;=J772,"ja","nein")</f>
        <v>ja</v>
      </c>
      <c r="G772" s="15" t="str">
        <f aca="false">IF(C772&gt;=K772,"ja","nein")</f>
        <v>ja</v>
      </c>
      <c r="H772" s="15" t="str">
        <f aca="false">IF(C772&gt;=L772,"ja","nein")</f>
        <v>ja</v>
      </c>
      <c r="I772" s="15" t="str">
        <f aca="false">IF(C772&gt;=M772,"ja","nein")</f>
        <v>ja</v>
      </c>
      <c r="J772" s="15" t="n">
        <f aca="false">ROUND(Annahmen!$K$35*(1+Annahmen!$B$20*D772/1000),0)</f>
        <v>842</v>
      </c>
      <c r="K772" s="15" t="n">
        <f aca="false">ROUND(Annahmen!$K$36*(1+Annahmen!$B$20*D772/1000),0)</f>
        <v>1093</v>
      </c>
      <c r="L772" s="15" t="n">
        <f aca="false">ROUND(Annahmen!$K$37*(1+Annahmen!$B$20*D772/1000),0)</f>
        <v>1117</v>
      </c>
      <c r="M772" s="15" t="n">
        <f aca="false">ROUND(Annahmen!$K$38*(1+Annahmen!$B$20*D772/1000),0)</f>
        <v>1117</v>
      </c>
      <c r="N772" s="16" t="s">
        <v>86</v>
      </c>
    </row>
    <row r="773" customFormat="false" ht="15" hidden="false" customHeight="false" outlineLevel="0" collapsed="false">
      <c r="A773" s="13" t="s">
        <v>1609</v>
      </c>
      <c r="B773" s="14" t="s">
        <v>1610</v>
      </c>
      <c r="C773" s="15" t="n">
        <v>2500</v>
      </c>
      <c r="D773" s="15" t="n">
        <v>141</v>
      </c>
      <c r="E773" s="13" t="s">
        <v>82</v>
      </c>
      <c r="F773" s="15" t="str">
        <f aca="false">IF(C773&gt;=J773,"ja","nein")</f>
        <v>ja</v>
      </c>
      <c r="G773" s="15" t="str">
        <f aca="false">IF(C773&gt;=K773,"ja","nein")</f>
        <v>ja</v>
      </c>
      <c r="H773" s="15" t="str">
        <f aca="false">IF(C773&gt;=L773,"ja","nein")</f>
        <v>ja</v>
      </c>
      <c r="I773" s="15" t="str">
        <f aca="false">IF(C773&gt;=M773,"ja","nein")</f>
        <v>ja</v>
      </c>
      <c r="J773" s="15" t="n">
        <f aca="false">ROUND(Annahmen!$K$35*(1+Annahmen!$B$20*D773/1000),0)</f>
        <v>851</v>
      </c>
      <c r="K773" s="15" t="n">
        <f aca="false">ROUND(Annahmen!$K$36*(1+Annahmen!$B$20*D773/1000),0)</f>
        <v>1105</v>
      </c>
      <c r="L773" s="15" t="n">
        <f aca="false">ROUND(Annahmen!$K$37*(1+Annahmen!$B$20*D773/1000),0)</f>
        <v>1129</v>
      </c>
      <c r="M773" s="15" t="n">
        <f aca="false">ROUND(Annahmen!$K$38*(1+Annahmen!$B$20*D773/1000),0)</f>
        <v>1129</v>
      </c>
      <c r="N773" s="16" t="s">
        <v>1611</v>
      </c>
    </row>
    <row r="774" customFormat="false" ht="15" hidden="false" customHeight="false" outlineLevel="0" collapsed="false">
      <c r="A774" s="13" t="s">
        <v>1612</v>
      </c>
      <c r="B774" s="14" t="s">
        <v>1613</v>
      </c>
      <c r="C774" s="15" t="n">
        <v>800</v>
      </c>
      <c r="D774" s="15" t="n">
        <v>197</v>
      </c>
      <c r="E774" s="13" t="s">
        <v>82</v>
      </c>
      <c r="F774" s="15" t="str">
        <f aca="false">IF(C774&gt;=J774,"ja","nein")</f>
        <v>nein</v>
      </c>
      <c r="G774" s="15" t="str">
        <f aca="false">IF(C774&gt;=K774,"ja","nein")</f>
        <v>nein</v>
      </c>
      <c r="H774" s="15" t="str">
        <f aca="false">IF(C774&gt;=L774,"ja","nein")</f>
        <v>nein</v>
      </c>
      <c r="I774" s="15" t="str">
        <f aca="false">IF(C774&gt;=M774,"ja","nein")</f>
        <v>nein</v>
      </c>
      <c r="J774" s="15" t="n">
        <f aca="false">ROUND(Annahmen!$K$35*(1+Annahmen!$B$20*D774/1000),0)</f>
        <v>855</v>
      </c>
      <c r="K774" s="15" t="n">
        <f aca="false">ROUND(Annahmen!$K$36*(1+Annahmen!$B$20*D774/1000),0)</f>
        <v>1110</v>
      </c>
      <c r="L774" s="15" t="n">
        <f aca="false">ROUND(Annahmen!$K$37*(1+Annahmen!$B$20*D774/1000),0)</f>
        <v>1135</v>
      </c>
      <c r="M774" s="15" t="n">
        <f aca="false">ROUND(Annahmen!$K$38*(1+Annahmen!$B$20*D774/1000),0)</f>
        <v>1135</v>
      </c>
      <c r="N774" s="16" t="s">
        <v>102</v>
      </c>
    </row>
    <row r="775" customFormat="false" ht="15" hidden="false" customHeight="false" outlineLevel="0" collapsed="false">
      <c r="A775" s="11" t="s">
        <v>1614</v>
      </c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</row>
    <row r="776" customFormat="false" ht="15" hidden="false" customHeight="false" outlineLevel="0" collapsed="false">
      <c r="A776" s="13" t="s">
        <v>1615</v>
      </c>
      <c r="B776" s="14" t="s">
        <v>1616</v>
      </c>
      <c r="C776" s="15" t="n">
        <v>3800</v>
      </c>
      <c r="D776" s="15" t="n">
        <v>-11</v>
      </c>
      <c r="E776" s="13" t="s">
        <v>82</v>
      </c>
      <c r="F776" s="15" t="str">
        <f aca="false">IF(C776&gt;=J776,"ja","nein")</f>
        <v>ja</v>
      </c>
      <c r="G776" s="15" t="str">
        <f aca="false">IF(C776&gt;=K776,"ja","nein")</f>
        <v>ja</v>
      </c>
      <c r="H776" s="15" t="str">
        <f aca="false">IF(C776&gt;=L776,"ja","nein")</f>
        <v>ja</v>
      </c>
      <c r="I776" s="15" t="str">
        <f aca="false">IF(C776&gt;=M776,"ja","nein")</f>
        <v>ja</v>
      </c>
      <c r="J776" s="15" t="n">
        <f aca="false">ROUND(Annahmen!$K$35*(1+Annahmen!$B$20*D776/1000),0)</f>
        <v>839</v>
      </c>
      <c r="K776" s="15" t="n">
        <f aca="false">ROUND(Annahmen!$K$36*(1+Annahmen!$B$20*D776/1000),0)</f>
        <v>1090</v>
      </c>
      <c r="L776" s="15" t="n">
        <f aca="false">ROUND(Annahmen!$K$37*(1+Annahmen!$B$20*D776/1000),0)</f>
        <v>1114</v>
      </c>
      <c r="M776" s="15" t="n">
        <f aca="false">ROUND(Annahmen!$K$38*(1+Annahmen!$B$20*D776/1000),0)</f>
        <v>1114</v>
      </c>
      <c r="N776" s="16" t="s">
        <v>83</v>
      </c>
    </row>
    <row r="777" customFormat="false" ht="15" hidden="false" customHeight="false" outlineLevel="0" collapsed="false">
      <c r="A777" s="13" t="s">
        <v>1617</v>
      </c>
      <c r="B777" s="14" t="s">
        <v>1618</v>
      </c>
      <c r="C777" s="15" t="n">
        <v>3000</v>
      </c>
      <c r="D777" s="15" t="n">
        <v>74</v>
      </c>
      <c r="E777" s="13" t="s">
        <v>82</v>
      </c>
      <c r="F777" s="15" t="str">
        <f aca="false">IF(C777&gt;=J777,"ja","nein")</f>
        <v>ja</v>
      </c>
      <c r="G777" s="15" t="str">
        <f aca="false">IF(C777&gt;=K777,"ja","nein")</f>
        <v>ja</v>
      </c>
      <c r="H777" s="15" t="str">
        <f aca="false">IF(C777&gt;=L777,"ja","nein")</f>
        <v>ja</v>
      </c>
      <c r="I777" s="15" t="str">
        <f aca="false">IF(C777&gt;=M777,"ja","nein")</f>
        <v>ja</v>
      </c>
      <c r="J777" s="15" t="n">
        <f aca="false">ROUND(Annahmen!$K$35*(1+Annahmen!$B$20*D777/1000),0)</f>
        <v>846</v>
      </c>
      <c r="K777" s="15" t="n">
        <f aca="false">ROUND(Annahmen!$K$36*(1+Annahmen!$B$20*D777/1000),0)</f>
        <v>1098</v>
      </c>
      <c r="L777" s="15" t="n">
        <f aca="false">ROUND(Annahmen!$K$37*(1+Annahmen!$B$20*D777/1000),0)</f>
        <v>1122</v>
      </c>
      <c r="M777" s="15" t="n">
        <f aca="false">ROUND(Annahmen!$K$38*(1+Annahmen!$B$20*D777/1000),0)</f>
        <v>1122</v>
      </c>
      <c r="N777" s="16" t="s">
        <v>83</v>
      </c>
    </row>
    <row r="778" customFormat="false" ht="15" hidden="false" customHeight="false" outlineLevel="0" collapsed="false">
      <c r="A778" s="13" t="s">
        <v>1619</v>
      </c>
      <c r="B778" s="14" t="s">
        <v>1620</v>
      </c>
      <c r="C778" s="15" t="n">
        <v>2987</v>
      </c>
      <c r="D778" s="15" t="n">
        <v>114</v>
      </c>
      <c r="E778" s="13" t="s">
        <v>82</v>
      </c>
      <c r="F778" s="15" t="str">
        <f aca="false">IF(C778&gt;=J778,"ja","nein")</f>
        <v>ja</v>
      </c>
      <c r="G778" s="15" t="str">
        <f aca="false">IF(C778&gt;=K778,"ja","nein")</f>
        <v>ja</v>
      </c>
      <c r="H778" s="15" t="str">
        <f aca="false">IF(C778&gt;=L778,"ja","nein")</f>
        <v>ja</v>
      </c>
      <c r="I778" s="15" t="str">
        <f aca="false">IF(C778&gt;=M778,"ja","nein")</f>
        <v>ja</v>
      </c>
      <c r="J778" s="15" t="n">
        <f aca="false">ROUND(Annahmen!$K$35*(1+Annahmen!$B$20*D778/1000),0)</f>
        <v>849</v>
      </c>
      <c r="K778" s="15" t="n">
        <f aca="false">ROUND(Annahmen!$K$36*(1+Annahmen!$B$20*D778/1000),0)</f>
        <v>1102</v>
      </c>
      <c r="L778" s="15" t="n">
        <f aca="false">ROUND(Annahmen!$K$37*(1+Annahmen!$B$20*D778/1000),0)</f>
        <v>1126</v>
      </c>
      <c r="M778" s="15" t="n">
        <f aca="false">ROUND(Annahmen!$K$38*(1+Annahmen!$B$20*D778/1000),0)</f>
        <v>1126</v>
      </c>
      <c r="N778" s="16" t="s">
        <v>86</v>
      </c>
    </row>
    <row r="779" customFormat="false" ht="15" hidden="false" customHeight="false" outlineLevel="0" collapsed="false">
      <c r="A779" s="13" t="s">
        <v>1621</v>
      </c>
      <c r="B779" s="14" t="s">
        <v>1622</v>
      </c>
      <c r="C779" s="15" t="n">
        <v>2750</v>
      </c>
      <c r="D779" s="15" t="n">
        <v>375</v>
      </c>
      <c r="E779" s="13" t="s">
        <v>82</v>
      </c>
      <c r="F779" s="15" t="str">
        <f aca="false">IF(C779&gt;=J779,"ja","nein")</f>
        <v>ja</v>
      </c>
      <c r="G779" s="15" t="str">
        <f aca="false">IF(C779&gt;=K779,"ja","nein")</f>
        <v>ja</v>
      </c>
      <c r="H779" s="15" t="str">
        <f aca="false">IF(C779&gt;=L779,"ja","nein")</f>
        <v>ja</v>
      </c>
      <c r="I779" s="15" t="str">
        <f aca="false">IF(C779&gt;=M779,"ja","nein")</f>
        <v>ja</v>
      </c>
      <c r="J779" s="15" t="n">
        <f aca="false">ROUND(Annahmen!$K$35*(1+Annahmen!$B$20*D779/1000),0)</f>
        <v>868</v>
      </c>
      <c r="K779" s="15" t="n">
        <f aca="false">ROUND(Annahmen!$K$36*(1+Annahmen!$B$20*D779/1000),0)</f>
        <v>1128</v>
      </c>
      <c r="L779" s="15" t="n">
        <f aca="false">ROUND(Annahmen!$K$37*(1+Annahmen!$B$20*D779/1000),0)</f>
        <v>1153</v>
      </c>
      <c r="M779" s="15" t="n">
        <f aca="false">ROUND(Annahmen!$K$38*(1+Annahmen!$B$20*D779/1000),0)</f>
        <v>1153</v>
      </c>
      <c r="N779" s="16" t="s">
        <v>83</v>
      </c>
    </row>
    <row r="780" customFormat="false" ht="15" hidden="false" customHeight="false" outlineLevel="0" collapsed="false">
      <c r="A780" s="13" t="s">
        <v>1623</v>
      </c>
      <c r="B780" s="14" t="s">
        <v>1624</v>
      </c>
      <c r="C780" s="15" t="n">
        <v>2700</v>
      </c>
      <c r="D780" s="15" t="n">
        <v>-13</v>
      </c>
      <c r="E780" s="13" t="s">
        <v>82</v>
      </c>
      <c r="F780" s="15" t="str">
        <f aca="false">IF(C780&gt;=J780,"ja","nein")</f>
        <v>ja</v>
      </c>
      <c r="G780" s="15" t="str">
        <f aca="false">IF(C780&gt;=K780,"ja","nein")</f>
        <v>ja</v>
      </c>
      <c r="H780" s="15" t="str">
        <f aca="false">IF(C780&gt;=L780,"ja","nein")</f>
        <v>ja</v>
      </c>
      <c r="I780" s="15" t="str">
        <f aca="false">IF(C780&gt;=M780,"ja","nein")</f>
        <v>ja</v>
      </c>
      <c r="J780" s="15" t="n">
        <f aca="false">ROUND(Annahmen!$K$35*(1+Annahmen!$B$20*D780/1000),0)</f>
        <v>839</v>
      </c>
      <c r="K780" s="15" t="n">
        <f aca="false">ROUND(Annahmen!$K$36*(1+Annahmen!$B$20*D780/1000),0)</f>
        <v>1090</v>
      </c>
      <c r="L780" s="15" t="n">
        <f aca="false">ROUND(Annahmen!$K$37*(1+Annahmen!$B$20*D780/1000),0)</f>
        <v>1114</v>
      </c>
      <c r="M780" s="15" t="n">
        <f aca="false">ROUND(Annahmen!$K$38*(1+Annahmen!$B$20*D780/1000),0)</f>
        <v>1114</v>
      </c>
      <c r="N780" s="16" t="s">
        <v>86</v>
      </c>
    </row>
    <row r="781" customFormat="false" ht="15" hidden="false" customHeight="false" outlineLevel="0" collapsed="false">
      <c r="A781" s="13" t="s">
        <v>1625</v>
      </c>
      <c r="B781" s="14" t="s">
        <v>1626</v>
      </c>
      <c r="C781" s="15" t="n">
        <v>2500</v>
      </c>
      <c r="D781" s="15" t="n">
        <v>17</v>
      </c>
      <c r="E781" s="13" t="s">
        <v>82</v>
      </c>
      <c r="F781" s="15" t="str">
        <f aca="false">IF(C781&gt;=J781,"ja","nein")</f>
        <v>ja</v>
      </c>
      <c r="G781" s="15" t="str">
        <f aca="false">IF(C781&gt;=K781,"ja","nein")</f>
        <v>ja</v>
      </c>
      <c r="H781" s="15" t="str">
        <f aca="false">IF(C781&gt;=L781,"ja","nein")</f>
        <v>ja</v>
      </c>
      <c r="I781" s="15" t="str">
        <f aca="false">IF(C781&gt;=M781,"ja","nein")</f>
        <v>ja</v>
      </c>
      <c r="J781" s="15" t="n">
        <f aca="false">ROUND(Annahmen!$K$35*(1+Annahmen!$B$20*D781/1000),0)</f>
        <v>841</v>
      </c>
      <c r="K781" s="15" t="n">
        <f aca="false">ROUND(Annahmen!$K$36*(1+Annahmen!$B$20*D781/1000),0)</f>
        <v>1093</v>
      </c>
      <c r="L781" s="15" t="n">
        <f aca="false">ROUND(Annahmen!$K$37*(1+Annahmen!$B$20*D781/1000),0)</f>
        <v>1117</v>
      </c>
      <c r="M781" s="15" t="n">
        <f aca="false">ROUND(Annahmen!$K$38*(1+Annahmen!$B$20*D781/1000),0)</f>
        <v>1117</v>
      </c>
      <c r="N781" s="16" t="s">
        <v>83</v>
      </c>
    </row>
    <row r="782" customFormat="false" ht="15" hidden="false" customHeight="false" outlineLevel="0" collapsed="false">
      <c r="A782" s="13" t="s">
        <v>1627</v>
      </c>
      <c r="B782" s="14" t="s">
        <v>1628</v>
      </c>
      <c r="C782" s="15" t="n">
        <v>2200</v>
      </c>
      <c r="D782" s="15" t="n">
        <v>-15</v>
      </c>
      <c r="E782" s="13" t="s">
        <v>82</v>
      </c>
      <c r="F782" s="15" t="str">
        <f aca="false">IF(C782&gt;=J782,"ja","nein")</f>
        <v>ja</v>
      </c>
      <c r="G782" s="15" t="str">
        <f aca="false">IF(C782&gt;=K782,"ja","nein")</f>
        <v>ja</v>
      </c>
      <c r="H782" s="15" t="str">
        <f aca="false">IF(C782&gt;=L782,"ja","nein")</f>
        <v>ja</v>
      </c>
      <c r="I782" s="15" t="str">
        <f aca="false">IF(C782&gt;=M782,"ja","nein")</f>
        <v>ja</v>
      </c>
      <c r="J782" s="15" t="n">
        <f aca="false">ROUND(Annahmen!$K$35*(1+Annahmen!$B$20*D782/1000),0)</f>
        <v>839</v>
      </c>
      <c r="K782" s="15" t="n">
        <f aca="false">ROUND(Annahmen!$K$36*(1+Annahmen!$B$20*D782/1000),0)</f>
        <v>1090</v>
      </c>
      <c r="L782" s="15" t="n">
        <f aca="false">ROUND(Annahmen!$K$37*(1+Annahmen!$B$20*D782/1000),0)</f>
        <v>1113</v>
      </c>
      <c r="M782" s="15" t="n">
        <f aca="false">ROUND(Annahmen!$K$38*(1+Annahmen!$B$20*D782/1000),0)</f>
        <v>1113</v>
      </c>
      <c r="N782" s="16" t="s">
        <v>83</v>
      </c>
    </row>
    <row r="783" customFormat="false" ht="15" hidden="false" customHeight="false" outlineLevel="0" collapsed="false">
      <c r="A783" s="13" t="s">
        <v>1629</v>
      </c>
      <c r="B783" s="14" t="s">
        <v>1630</v>
      </c>
      <c r="C783" s="15" t="n">
        <v>1199</v>
      </c>
      <c r="D783" s="15" t="n">
        <v>114</v>
      </c>
      <c r="E783" s="13" t="s">
        <v>82</v>
      </c>
      <c r="F783" s="15" t="str">
        <f aca="false">IF(C783&gt;=J783,"ja","nein")</f>
        <v>ja</v>
      </c>
      <c r="G783" s="15" t="str">
        <f aca="false">IF(C783&gt;=K783,"ja","nein")</f>
        <v>ja</v>
      </c>
      <c r="H783" s="15" t="str">
        <f aca="false">IF(C783&gt;=L783,"ja","nein")</f>
        <v>ja</v>
      </c>
      <c r="I783" s="15" t="str">
        <f aca="false">IF(C783&gt;=M783,"ja","nein")</f>
        <v>ja</v>
      </c>
      <c r="J783" s="15" t="n">
        <f aca="false">ROUND(Annahmen!$K$35*(1+Annahmen!$B$20*D783/1000),0)</f>
        <v>849</v>
      </c>
      <c r="K783" s="15" t="n">
        <f aca="false">ROUND(Annahmen!$K$36*(1+Annahmen!$B$20*D783/1000),0)</f>
        <v>1102</v>
      </c>
      <c r="L783" s="15" t="n">
        <f aca="false">ROUND(Annahmen!$K$37*(1+Annahmen!$B$20*D783/1000),0)</f>
        <v>1126</v>
      </c>
      <c r="M783" s="15" t="n">
        <f aca="false">ROUND(Annahmen!$K$38*(1+Annahmen!$B$20*D783/1000),0)</f>
        <v>1126</v>
      </c>
      <c r="N783" s="16" t="s">
        <v>86</v>
      </c>
    </row>
    <row r="784" customFormat="false" ht="15" hidden="false" customHeight="false" outlineLevel="0" collapsed="false">
      <c r="A784" s="13" t="s">
        <v>1631</v>
      </c>
      <c r="B784" s="14" t="s">
        <v>1632</v>
      </c>
      <c r="C784" s="15" t="n">
        <v>1199</v>
      </c>
      <c r="D784" s="15" t="n">
        <v>17</v>
      </c>
      <c r="E784" s="13" t="s">
        <v>82</v>
      </c>
      <c r="F784" s="15" t="str">
        <f aca="false">IF(C784&gt;=J784,"ja","nein")</f>
        <v>ja</v>
      </c>
      <c r="G784" s="15" t="str">
        <f aca="false">IF(C784&gt;=K784,"ja","nein")</f>
        <v>ja</v>
      </c>
      <c r="H784" s="15" t="str">
        <f aca="false">IF(C784&gt;=L784,"ja","nein")</f>
        <v>ja</v>
      </c>
      <c r="I784" s="15" t="str">
        <f aca="false">IF(C784&gt;=M784,"ja","nein")</f>
        <v>ja</v>
      </c>
      <c r="J784" s="15" t="n">
        <f aca="false">ROUND(Annahmen!$K$35*(1+Annahmen!$B$20*D784/1000),0)</f>
        <v>841</v>
      </c>
      <c r="K784" s="15" t="n">
        <f aca="false">ROUND(Annahmen!$K$36*(1+Annahmen!$B$20*D784/1000),0)</f>
        <v>1093</v>
      </c>
      <c r="L784" s="15" t="n">
        <f aca="false">ROUND(Annahmen!$K$37*(1+Annahmen!$B$20*D784/1000),0)</f>
        <v>1117</v>
      </c>
      <c r="M784" s="15" t="n">
        <f aca="false">ROUND(Annahmen!$K$38*(1+Annahmen!$B$20*D784/1000),0)</f>
        <v>1117</v>
      </c>
      <c r="N784" s="16" t="s">
        <v>102</v>
      </c>
    </row>
    <row r="785" customFormat="false" ht="15" hidden="false" customHeight="false" outlineLevel="0" collapsed="false">
      <c r="A785" s="13" t="s">
        <v>1633</v>
      </c>
      <c r="B785" s="14" t="s">
        <v>1634</v>
      </c>
      <c r="C785" s="15" t="n">
        <v>830</v>
      </c>
      <c r="D785" s="15" t="n">
        <v>30</v>
      </c>
      <c r="E785" s="13" t="s">
        <v>82</v>
      </c>
      <c r="F785" s="15" t="str">
        <f aca="false">IF(C785&gt;=J785,"ja","nein")</f>
        <v>nein</v>
      </c>
      <c r="G785" s="15" t="str">
        <f aca="false">IF(C785&gt;=K785,"ja","nein")</f>
        <v>nein</v>
      </c>
      <c r="H785" s="15" t="str">
        <f aca="false">IF(C785&gt;=L785,"ja","nein")</f>
        <v>nein</v>
      </c>
      <c r="I785" s="15" t="str">
        <f aca="false">IF(C785&gt;=M785,"ja","nein")</f>
        <v>nein</v>
      </c>
      <c r="J785" s="15" t="n">
        <f aca="false">ROUND(Annahmen!$K$35*(1+Annahmen!$B$20*D785/1000),0)</f>
        <v>842</v>
      </c>
      <c r="K785" s="15" t="n">
        <f aca="false">ROUND(Annahmen!$K$36*(1+Annahmen!$B$20*D785/1000),0)</f>
        <v>1094</v>
      </c>
      <c r="L785" s="15" t="n">
        <f aca="false">ROUND(Annahmen!$K$37*(1+Annahmen!$B$20*D785/1000),0)</f>
        <v>1118</v>
      </c>
      <c r="M785" s="15" t="n">
        <f aca="false">ROUND(Annahmen!$K$38*(1+Annahmen!$B$20*D785/1000),0)</f>
        <v>1118</v>
      </c>
      <c r="N785" s="16" t="s">
        <v>102</v>
      </c>
    </row>
    <row r="786" customFormat="false" ht="15" hidden="false" customHeight="false" outlineLevel="0" collapsed="false">
      <c r="A786" s="13" t="s">
        <v>1635</v>
      </c>
      <c r="B786" s="14" t="s">
        <v>1636</v>
      </c>
      <c r="C786" s="15" t="n">
        <v>800</v>
      </c>
      <c r="D786" s="15" t="n">
        <v>1</v>
      </c>
      <c r="E786" s="13" t="s">
        <v>82</v>
      </c>
      <c r="F786" s="15" t="str">
        <f aca="false">IF(C786&gt;=J786,"ja","nein")</f>
        <v>nein</v>
      </c>
      <c r="G786" s="15" t="str">
        <f aca="false">IF(C786&gt;=K786,"ja","nein")</f>
        <v>nein</v>
      </c>
      <c r="H786" s="15" t="str">
        <f aca="false">IF(C786&gt;=L786,"ja","nein")</f>
        <v>nein</v>
      </c>
      <c r="I786" s="15" t="str">
        <f aca="false">IF(C786&gt;=M786,"ja","nein")</f>
        <v>nein</v>
      </c>
      <c r="J786" s="15" t="n">
        <f aca="false">ROUND(Annahmen!$K$35*(1+Annahmen!$B$20*D786/1000),0)</f>
        <v>840</v>
      </c>
      <c r="K786" s="15" t="n">
        <f aca="false">ROUND(Annahmen!$K$36*(1+Annahmen!$B$20*D786/1000),0)</f>
        <v>1091</v>
      </c>
      <c r="L786" s="15" t="n">
        <f aca="false">ROUND(Annahmen!$K$37*(1+Annahmen!$B$20*D786/1000),0)</f>
        <v>1115</v>
      </c>
      <c r="M786" s="15" t="n">
        <f aca="false">ROUND(Annahmen!$K$38*(1+Annahmen!$B$20*D786/1000),0)</f>
        <v>1115</v>
      </c>
      <c r="N786" s="16" t="s">
        <v>102</v>
      </c>
    </row>
    <row r="787" customFormat="false" ht="15" hidden="false" customHeight="false" outlineLevel="0" collapsed="false">
      <c r="A787" s="13" t="s">
        <v>1637</v>
      </c>
      <c r="B787" s="14" t="s">
        <v>1638</v>
      </c>
      <c r="C787" s="15" t="n">
        <v>730</v>
      </c>
      <c r="D787" s="15" t="n">
        <v>14</v>
      </c>
      <c r="E787" s="13" t="s">
        <v>82</v>
      </c>
      <c r="F787" s="15" t="str">
        <f aca="false">IF(C787&gt;=J787,"ja","nein")</f>
        <v>nein</v>
      </c>
      <c r="G787" s="15" t="str">
        <f aca="false">IF(C787&gt;=K787,"ja","nein")</f>
        <v>nein</v>
      </c>
      <c r="H787" s="15" t="str">
        <f aca="false">IF(C787&gt;=L787,"ja","nein")</f>
        <v>nein</v>
      </c>
      <c r="I787" s="15" t="str">
        <f aca="false">IF(C787&gt;=M787,"ja","nein")</f>
        <v>nein</v>
      </c>
      <c r="J787" s="15" t="n">
        <f aca="false">ROUND(Annahmen!$K$35*(1+Annahmen!$B$20*D787/1000),0)</f>
        <v>841</v>
      </c>
      <c r="K787" s="15" t="n">
        <f aca="false">ROUND(Annahmen!$K$36*(1+Annahmen!$B$20*D787/1000),0)</f>
        <v>1092</v>
      </c>
      <c r="L787" s="15" t="n">
        <f aca="false">ROUND(Annahmen!$K$37*(1+Annahmen!$B$20*D787/1000),0)</f>
        <v>1116</v>
      </c>
      <c r="M787" s="15" t="n">
        <f aca="false">ROUND(Annahmen!$K$38*(1+Annahmen!$B$20*D787/1000),0)</f>
        <v>1116</v>
      </c>
      <c r="N787" s="16" t="s">
        <v>102</v>
      </c>
    </row>
    <row r="788" customFormat="false" ht="15" hidden="false" customHeight="false" outlineLevel="0" collapsed="false">
      <c r="A788" s="11" t="s">
        <v>1639</v>
      </c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</row>
    <row r="789" customFormat="false" ht="15" hidden="false" customHeight="false" outlineLevel="0" collapsed="false">
      <c r="A789" s="13" t="s">
        <v>1640</v>
      </c>
      <c r="B789" s="14" t="s">
        <v>1641</v>
      </c>
      <c r="C789" s="15" t="n">
        <v>2950</v>
      </c>
      <c r="D789" s="15" t="n">
        <v>781</v>
      </c>
      <c r="E789" s="13" t="s">
        <v>82</v>
      </c>
      <c r="F789" s="15" t="str">
        <f aca="false">IF(C789&gt;=J789,"ja","nein")</f>
        <v>ja</v>
      </c>
      <c r="G789" s="15" t="str">
        <f aca="false">IF(C789&gt;=K789,"ja","nein")</f>
        <v>ja</v>
      </c>
      <c r="H789" s="15" t="str">
        <f aca="false">IF(C789&gt;=L789,"ja","nein")</f>
        <v>ja</v>
      </c>
      <c r="I789" s="15" t="str">
        <f aca="false">IF(C789&gt;=M789,"ja","nein")</f>
        <v>ja</v>
      </c>
      <c r="J789" s="15" t="n">
        <f aca="false">ROUND(Annahmen!$K$35*(1+Annahmen!$B$20*D789/1000),0)</f>
        <v>899</v>
      </c>
      <c r="K789" s="15" t="n">
        <f aca="false">ROUND(Annahmen!$K$36*(1+Annahmen!$B$20*D789/1000),0)</f>
        <v>1168</v>
      </c>
      <c r="L789" s="15" t="n">
        <f aca="false">ROUND(Annahmen!$K$37*(1+Annahmen!$B$20*D789/1000),0)</f>
        <v>1193</v>
      </c>
      <c r="M789" s="15" t="n">
        <f aca="false">ROUND(Annahmen!$K$38*(1+Annahmen!$B$20*D789/1000),0)</f>
        <v>1193</v>
      </c>
      <c r="N789" s="16" t="s">
        <v>83</v>
      </c>
    </row>
    <row r="790" customFormat="false" ht="15" hidden="false" customHeight="false" outlineLevel="0" collapsed="false">
      <c r="A790" s="13" t="s">
        <v>1642</v>
      </c>
      <c r="B790" s="14" t="s">
        <v>1643</v>
      </c>
      <c r="C790" s="15" t="n">
        <v>2550</v>
      </c>
      <c r="D790" s="15" t="n">
        <v>2313</v>
      </c>
      <c r="E790" s="13" t="s">
        <v>82</v>
      </c>
      <c r="F790" s="15" t="str">
        <f aca="false">IF(C790&gt;=J790,"ja","nein")</f>
        <v>ja</v>
      </c>
      <c r="G790" s="15" t="str">
        <f aca="false">IF(C790&gt;=K790,"ja","nein")</f>
        <v>ja</v>
      </c>
      <c r="H790" s="15" t="str">
        <f aca="false">IF(C790&gt;=L790,"ja","nein")</f>
        <v>ja</v>
      </c>
      <c r="I790" s="15" t="str">
        <f aca="false">IF(C790&gt;=M790,"ja","nein")</f>
        <v>ja</v>
      </c>
      <c r="J790" s="15" t="n">
        <f aca="false">ROUND(Annahmen!$K$35*(1+Annahmen!$B$20*D790/1000),0)</f>
        <v>1015</v>
      </c>
      <c r="K790" s="15" t="n">
        <f aca="false">ROUND(Annahmen!$K$36*(1+Annahmen!$B$20*D790/1000),0)</f>
        <v>1318</v>
      </c>
      <c r="L790" s="15" t="n">
        <f aca="false">ROUND(Annahmen!$K$37*(1+Annahmen!$B$20*D790/1000),0)</f>
        <v>1347</v>
      </c>
      <c r="M790" s="15" t="n">
        <f aca="false">ROUND(Annahmen!$K$38*(1+Annahmen!$B$20*D790/1000),0)</f>
        <v>1347</v>
      </c>
      <c r="N790" s="16" t="s">
        <v>83</v>
      </c>
    </row>
    <row r="791" customFormat="false" ht="15" hidden="false" customHeight="false" outlineLevel="0" collapsed="false">
      <c r="A791" s="11" t="s">
        <v>1644</v>
      </c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</row>
    <row r="792" customFormat="false" ht="15" hidden="false" customHeight="false" outlineLevel="0" collapsed="false">
      <c r="A792" s="13" t="s">
        <v>1645</v>
      </c>
      <c r="B792" s="14" t="s">
        <v>1646</v>
      </c>
      <c r="C792" s="15" t="n">
        <v>3600</v>
      </c>
      <c r="D792" s="15" t="n">
        <v>681</v>
      </c>
      <c r="E792" s="13" t="s">
        <v>82</v>
      </c>
      <c r="F792" s="15" t="str">
        <f aca="false">IF(C792&gt;=J792,"ja","nein")</f>
        <v>ja</v>
      </c>
      <c r="G792" s="15" t="str">
        <f aca="false">IF(C792&gt;=K792,"ja","nein")</f>
        <v>ja</v>
      </c>
      <c r="H792" s="15" t="str">
        <f aca="false">IF(C792&gt;=L792,"ja","nein")</f>
        <v>ja</v>
      </c>
      <c r="I792" s="15" t="str">
        <f aca="false">IF(C792&gt;=M792,"ja","nein")</f>
        <v>ja</v>
      </c>
      <c r="J792" s="15" t="n">
        <f aca="false">ROUND(Annahmen!$K$35*(1+Annahmen!$B$20*D792/1000),0)</f>
        <v>891</v>
      </c>
      <c r="K792" s="15" t="n">
        <f aca="false">ROUND(Annahmen!$K$36*(1+Annahmen!$B$20*D792/1000),0)</f>
        <v>1158</v>
      </c>
      <c r="L792" s="15" t="n">
        <f aca="false">ROUND(Annahmen!$K$37*(1+Annahmen!$B$20*D792/1000),0)</f>
        <v>1183</v>
      </c>
      <c r="M792" s="15" t="n">
        <f aca="false">ROUND(Annahmen!$K$38*(1+Annahmen!$B$20*D792/1000),0)</f>
        <v>1183</v>
      </c>
      <c r="N792" s="16" t="s">
        <v>83</v>
      </c>
    </row>
    <row r="793" customFormat="false" ht="15" hidden="false" customHeight="false" outlineLevel="0" collapsed="false">
      <c r="A793" s="13" t="s">
        <v>1647</v>
      </c>
      <c r="B793" s="14" t="s">
        <v>1648</v>
      </c>
      <c r="C793" s="15" t="n">
        <v>3278</v>
      </c>
      <c r="D793" s="15" t="n">
        <v>28</v>
      </c>
      <c r="E793" s="13" t="s">
        <v>82</v>
      </c>
      <c r="F793" s="15" t="str">
        <f aca="false">IF(C793&gt;=J793,"ja","nein")</f>
        <v>ja</v>
      </c>
      <c r="G793" s="15" t="str">
        <f aca="false">IF(C793&gt;=K793,"ja","nein")</f>
        <v>ja</v>
      </c>
      <c r="H793" s="15" t="str">
        <f aca="false">IF(C793&gt;=L793,"ja","nein")</f>
        <v>ja</v>
      </c>
      <c r="I793" s="15" t="str">
        <f aca="false">IF(C793&gt;=M793,"ja","nein")</f>
        <v>ja</v>
      </c>
      <c r="J793" s="15" t="n">
        <f aca="false">ROUND(Annahmen!$K$35*(1+Annahmen!$B$20*D793/1000),0)</f>
        <v>842</v>
      </c>
      <c r="K793" s="15" t="n">
        <f aca="false">ROUND(Annahmen!$K$36*(1+Annahmen!$B$20*D793/1000),0)</f>
        <v>1094</v>
      </c>
      <c r="L793" s="15" t="n">
        <f aca="false">ROUND(Annahmen!$K$37*(1+Annahmen!$B$20*D793/1000),0)</f>
        <v>1118</v>
      </c>
      <c r="M793" s="15" t="n">
        <f aca="false">ROUND(Annahmen!$K$38*(1+Annahmen!$B$20*D793/1000),0)</f>
        <v>1118</v>
      </c>
      <c r="N793" s="16" t="s">
        <v>86</v>
      </c>
    </row>
    <row r="794" customFormat="false" ht="15" hidden="false" customHeight="false" outlineLevel="0" collapsed="false">
      <c r="A794" s="13" t="s">
        <v>1649</v>
      </c>
      <c r="B794" s="14" t="s">
        <v>1650</v>
      </c>
      <c r="C794" s="15" t="n">
        <v>2990</v>
      </c>
      <c r="D794" s="15" t="n">
        <v>170</v>
      </c>
      <c r="E794" s="13" t="s">
        <v>82</v>
      </c>
      <c r="F794" s="15" t="str">
        <f aca="false">IF(C794&gt;=J794,"ja","nein")</f>
        <v>ja</v>
      </c>
      <c r="G794" s="15" t="str">
        <f aca="false">IF(C794&gt;=K794,"ja","nein")</f>
        <v>ja</v>
      </c>
      <c r="H794" s="15" t="str">
        <f aca="false">IF(C794&gt;=L794,"ja","nein")</f>
        <v>ja</v>
      </c>
      <c r="I794" s="15" t="str">
        <f aca="false">IF(C794&gt;=M794,"ja","nein")</f>
        <v>ja</v>
      </c>
      <c r="J794" s="15" t="n">
        <f aca="false">ROUND(Annahmen!$K$35*(1+Annahmen!$B$20*D794/1000),0)</f>
        <v>853</v>
      </c>
      <c r="K794" s="15" t="n">
        <f aca="false">ROUND(Annahmen!$K$36*(1+Annahmen!$B$20*D794/1000),0)</f>
        <v>1108</v>
      </c>
      <c r="L794" s="15" t="n">
        <f aca="false">ROUND(Annahmen!$K$37*(1+Annahmen!$B$20*D794/1000),0)</f>
        <v>1132</v>
      </c>
      <c r="M794" s="15" t="n">
        <f aca="false">ROUND(Annahmen!$K$38*(1+Annahmen!$B$20*D794/1000),0)</f>
        <v>1132</v>
      </c>
      <c r="N794" s="16" t="s">
        <v>83</v>
      </c>
    </row>
    <row r="795" customFormat="false" ht="15" hidden="false" customHeight="false" outlineLevel="0" collapsed="false">
      <c r="A795" s="13" t="s">
        <v>1651</v>
      </c>
      <c r="B795" s="14" t="s">
        <v>1652</v>
      </c>
      <c r="C795" s="15" t="n">
        <v>2990</v>
      </c>
      <c r="D795" s="15" t="n">
        <v>29</v>
      </c>
      <c r="E795" s="13" t="s">
        <v>82</v>
      </c>
      <c r="F795" s="15" t="str">
        <f aca="false">IF(C795&gt;=J795,"ja","nein")</f>
        <v>ja</v>
      </c>
      <c r="G795" s="15" t="str">
        <f aca="false">IF(C795&gt;=K795,"ja","nein")</f>
        <v>ja</v>
      </c>
      <c r="H795" s="15" t="str">
        <f aca="false">IF(C795&gt;=L795,"ja","nein")</f>
        <v>ja</v>
      </c>
      <c r="I795" s="15" t="str">
        <f aca="false">IF(C795&gt;=M795,"ja","nein")</f>
        <v>ja</v>
      </c>
      <c r="J795" s="15" t="n">
        <f aca="false">ROUND(Annahmen!$K$35*(1+Annahmen!$B$20*D795/1000),0)</f>
        <v>842</v>
      </c>
      <c r="K795" s="15" t="n">
        <f aca="false">ROUND(Annahmen!$K$36*(1+Annahmen!$B$20*D795/1000),0)</f>
        <v>1094</v>
      </c>
      <c r="L795" s="15" t="n">
        <f aca="false">ROUND(Annahmen!$K$37*(1+Annahmen!$B$20*D795/1000),0)</f>
        <v>1118</v>
      </c>
      <c r="M795" s="15" t="n">
        <f aca="false">ROUND(Annahmen!$K$38*(1+Annahmen!$B$20*D795/1000),0)</f>
        <v>1118</v>
      </c>
      <c r="N795" s="16" t="s">
        <v>102</v>
      </c>
    </row>
    <row r="796" customFormat="false" ht="15" hidden="false" customHeight="false" outlineLevel="0" collapsed="false">
      <c r="A796" s="13" t="s">
        <v>1653</v>
      </c>
      <c r="B796" s="14" t="s">
        <v>1654</v>
      </c>
      <c r="C796" s="15" t="n">
        <v>2856</v>
      </c>
      <c r="D796" s="15" t="n">
        <v>29</v>
      </c>
      <c r="E796" s="13" t="s">
        <v>82</v>
      </c>
      <c r="F796" s="15" t="str">
        <f aca="false">IF(C796&gt;=J796,"ja","nein")</f>
        <v>ja</v>
      </c>
      <c r="G796" s="15" t="str">
        <f aca="false">IF(C796&gt;=K796,"ja","nein")</f>
        <v>ja</v>
      </c>
      <c r="H796" s="15" t="str">
        <f aca="false">IF(C796&gt;=L796,"ja","nein")</f>
        <v>ja</v>
      </c>
      <c r="I796" s="15" t="str">
        <f aca="false">IF(C796&gt;=M796,"ja","nein")</f>
        <v>ja</v>
      </c>
      <c r="J796" s="15" t="n">
        <f aca="false">ROUND(Annahmen!$K$35*(1+Annahmen!$B$20*D796/1000),0)</f>
        <v>842</v>
      </c>
      <c r="K796" s="15" t="n">
        <f aca="false">ROUND(Annahmen!$K$36*(1+Annahmen!$B$20*D796/1000),0)</f>
        <v>1094</v>
      </c>
      <c r="L796" s="15" t="n">
        <f aca="false">ROUND(Annahmen!$K$37*(1+Annahmen!$B$20*D796/1000),0)</f>
        <v>1118</v>
      </c>
      <c r="M796" s="15" t="n">
        <f aca="false">ROUND(Annahmen!$K$38*(1+Annahmen!$B$20*D796/1000),0)</f>
        <v>1118</v>
      </c>
      <c r="N796" s="16" t="s">
        <v>83</v>
      </c>
    </row>
    <row r="797" customFormat="false" ht="15" hidden="false" customHeight="false" outlineLevel="0" collapsed="false">
      <c r="A797" s="13" t="s">
        <v>1655</v>
      </c>
      <c r="B797" s="14" t="s">
        <v>1656</v>
      </c>
      <c r="C797" s="15" t="n">
        <v>2815</v>
      </c>
      <c r="D797" s="15" t="n">
        <v>84</v>
      </c>
      <c r="E797" s="13" t="s">
        <v>82</v>
      </c>
      <c r="F797" s="15" t="str">
        <f aca="false">IF(C797&gt;=J797,"ja","nein")</f>
        <v>ja</v>
      </c>
      <c r="G797" s="15" t="str">
        <f aca="false">IF(C797&gt;=K797,"ja","nein")</f>
        <v>ja</v>
      </c>
      <c r="H797" s="15" t="str">
        <f aca="false">IF(C797&gt;=L797,"ja","nein")</f>
        <v>ja</v>
      </c>
      <c r="I797" s="15" t="str">
        <f aca="false">IF(C797&gt;=M797,"ja","nein")</f>
        <v>ja</v>
      </c>
      <c r="J797" s="15" t="n">
        <f aca="false">ROUND(Annahmen!$K$35*(1+Annahmen!$B$20*D797/1000),0)</f>
        <v>846</v>
      </c>
      <c r="K797" s="15" t="n">
        <f aca="false">ROUND(Annahmen!$K$36*(1+Annahmen!$B$20*D797/1000),0)</f>
        <v>1099</v>
      </c>
      <c r="L797" s="15" t="n">
        <f aca="false">ROUND(Annahmen!$K$37*(1+Annahmen!$B$20*D797/1000),0)</f>
        <v>1123</v>
      </c>
      <c r="M797" s="15" t="n">
        <f aca="false">ROUND(Annahmen!$K$38*(1+Annahmen!$B$20*D797/1000),0)</f>
        <v>1123</v>
      </c>
      <c r="N797" s="16" t="s">
        <v>83</v>
      </c>
    </row>
    <row r="798" customFormat="false" ht="15" hidden="false" customHeight="false" outlineLevel="0" collapsed="false">
      <c r="A798" s="13" t="s">
        <v>1657</v>
      </c>
      <c r="B798" s="14" t="s">
        <v>1658</v>
      </c>
      <c r="C798" s="15" t="n">
        <v>2809</v>
      </c>
      <c r="D798" s="15" t="n">
        <v>286</v>
      </c>
      <c r="E798" s="13" t="s">
        <v>82</v>
      </c>
      <c r="F798" s="15" t="str">
        <f aca="false">IF(C798&gt;=J798,"ja","nein")</f>
        <v>ja</v>
      </c>
      <c r="G798" s="15" t="str">
        <f aca="false">IF(C798&gt;=K798,"ja","nein")</f>
        <v>ja</v>
      </c>
      <c r="H798" s="15" t="str">
        <f aca="false">IF(C798&gt;=L798,"ja","nein")</f>
        <v>ja</v>
      </c>
      <c r="I798" s="15" t="str">
        <f aca="false">IF(C798&gt;=M798,"ja","nein")</f>
        <v>ja</v>
      </c>
      <c r="J798" s="15" t="n">
        <f aca="false">ROUND(Annahmen!$K$35*(1+Annahmen!$B$20*D798/1000),0)</f>
        <v>862</v>
      </c>
      <c r="K798" s="15" t="n">
        <f aca="false">ROUND(Annahmen!$K$36*(1+Annahmen!$B$20*D798/1000),0)</f>
        <v>1119</v>
      </c>
      <c r="L798" s="15" t="n">
        <f aca="false">ROUND(Annahmen!$K$37*(1+Annahmen!$B$20*D798/1000),0)</f>
        <v>1144</v>
      </c>
      <c r="M798" s="15" t="n">
        <f aca="false">ROUND(Annahmen!$K$38*(1+Annahmen!$B$20*D798/1000),0)</f>
        <v>1144</v>
      </c>
      <c r="N798" s="16" t="s">
        <v>83</v>
      </c>
    </row>
    <row r="799" customFormat="false" ht="15" hidden="false" customHeight="false" outlineLevel="0" collapsed="false">
      <c r="A799" s="13" t="s">
        <v>1659</v>
      </c>
      <c r="B799" s="14" t="s">
        <v>1660</v>
      </c>
      <c r="C799" s="15" t="n">
        <v>2794</v>
      </c>
      <c r="D799" s="15" t="n">
        <v>42</v>
      </c>
      <c r="E799" s="13" t="s">
        <v>82</v>
      </c>
      <c r="F799" s="15" t="str">
        <f aca="false">IF(C799&gt;=J799,"ja","nein")</f>
        <v>ja</v>
      </c>
      <c r="G799" s="15" t="str">
        <f aca="false">IF(C799&gt;=K799,"ja","nein")</f>
        <v>ja</v>
      </c>
      <c r="H799" s="15" t="str">
        <f aca="false">IF(C799&gt;=L799,"ja","nein")</f>
        <v>ja</v>
      </c>
      <c r="I799" s="15" t="str">
        <f aca="false">IF(C799&gt;=M799,"ja","nein")</f>
        <v>ja</v>
      </c>
      <c r="J799" s="15" t="n">
        <f aca="false">ROUND(Annahmen!$K$35*(1+Annahmen!$B$20*D799/1000),0)</f>
        <v>843</v>
      </c>
      <c r="K799" s="15" t="n">
        <f aca="false">ROUND(Annahmen!$K$36*(1+Annahmen!$B$20*D799/1000),0)</f>
        <v>1095</v>
      </c>
      <c r="L799" s="15" t="n">
        <f aca="false">ROUND(Annahmen!$K$37*(1+Annahmen!$B$20*D799/1000),0)</f>
        <v>1119</v>
      </c>
      <c r="M799" s="15" t="n">
        <f aca="false">ROUND(Annahmen!$K$38*(1+Annahmen!$B$20*D799/1000),0)</f>
        <v>1119</v>
      </c>
      <c r="N799" s="16" t="s">
        <v>83</v>
      </c>
    </row>
    <row r="800" customFormat="false" ht="15" hidden="false" customHeight="false" outlineLevel="0" collapsed="false">
      <c r="A800" s="13" t="s">
        <v>1661</v>
      </c>
      <c r="B800" s="14" t="s">
        <v>1662</v>
      </c>
      <c r="C800" s="15" t="n">
        <v>2788</v>
      </c>
      <c r="D800" s="15" t="n">
        <v>25</v>
      </c>
      <c r="E800" s="13" t="s">
        <v>82</v>
      </c>
      <c r="F800" s="15" t="str">
        <f aca="false">IF(C800&gt;=J800,"ja","nein")</f>
        <v>ja</v>
      </c>
      <c r="G800" s="15" t="str">
        <f aca="false">IF(C800&gt;=K800,"ja","nein")</f>
        <v>ja</v>
      </c>
      <c r="H800" s="15" t="str">
        <f aca="false">IF(C800&gt;=L800,"ja","nein")</f>
        <v>ja</v>
      </c>
      <c r="I800" s="15" t="str">
        <f aca="false">IF(C800&gt;=M800,"ja","nein")</f>
        <v>ja</v>
      </c>
      <c r="J800" s="15" t="n">
        <f aca="false">ROUND(Annahmen!$K$35*(1+Annahmen!$B$20*D800/1000),0)</f>
        <v>842</v>
      </c>
      <c r="K800" s="15" t="n">
        <f aca="false">ROUND(Annahmen!$K$36*(1+Annahmen!$B$20*D800/1000),0)</f>
        <v>1093</v>
      </c>
      <c r="L800" s="15" t="n">
        <f aca="false">ROUND(Annahmen!$K$37*(1+Annahmen!$B$20*D800/1000),0)</f>
        <v>1118</v>
      </c>
      <c r="M800" s="15" t="n">
        <f aca="false">ROUND(Annahmen!$K$38*(1+Annahmen!$B$20*D800/1000),0)</f>
        <v>1118</v>
      </c>
      <c r="N800" s="16" t="s">
        <v>86</v>
      </c>
    </row>
    <row r="801" customFormat="false" ht="15" hidden="false" customHeight="false" outlineLevel="0" collapsed="false">
      <c r="A801" s="13" t="s">
        <v>1663</v>
      </c>
      <c r="B801" s="14" t="s">
        <v>1664</v>
      </c>
      <c r="C801" s="15" t="n">
        <v>2759</v>
      </c>
      <c r="D801" s="15" t="n">
        <v>56</v>
      </c>
      <c r="E801" s="13" t="s">
        <v>82</v>
      </c>
      <c r="F801" s="15" t="str">
        <f aca="false">IF(C801&gt;=J801,"ja","nein")</f>
        <v>ja</v>
      </c>
      <c r="G801" s="15" t="str">
        <f aca="false">IF(C801&gt;=K801,"ja","nein")</f>
        <v>ja</v>
      </c>
      <c r="H801" s="15" t="str">
        <f aca="false">IF(C801&gt;=L801,"ja","nein")</f>
        <v>ja</v>
      </c>
      <c r="I801" s="15" t="str">
        <f aca="false">IF(C801&gt;=M801,"ja","nein")</f>
        <v>ja</v>
      </c>
      <c r="J801" s="15" t="n">
        <f aca="false">ROUND(Annahmen!$K$35*(1+Annahmen!$B$20*D801/1000),0)</f>
        <v>844</v>
      </c>
      <c r="K801" s="15" t="n">
        <f aca="false">ROUND(Annahmen!$K$36*(1+Annahmen!$B$20*D801/1000),0)</f>
        <v>1096</v>
      </c>
      <c r="L801" s="15" t="n">
        <f aca="false">ROUND(Annahmen!$K$37*(1+Annahmen!$B$20*D801/1000),0)</f>
        <v>1121</v>
      </c>
      <c r="M801" s="15" t="n">
        <f aca="false">ROUND(Annahmen!$K$38*(1+Annahmen!$B$20*D801/1000),0)</f>
        <v>1121</v>
      </c>
      <c r="N801" s="16" t="s">
        <v>83</v>
      </c>
    </row>
    <row r="802" customFormat="false" ht="15" hidden="false" customHeight="false" outlineLevel="0" collapsed="false">
      <c r="A802" s="13" t="s">
        <v>1665</v>
      </c>
      <c r="B802" s="14" t="s">
        <v>1666</v>
      </c>
      <c r="C802" s="15" t="n">
        <v>2468</v>
      </c>
      <c r="D802" s="15" t="n">
        <v>43</v>
      </c>
      <c r="E802" s="13" t="s">
        <v>82</v>
      </c>
      <c r="F802" s="15" t="str">
        <f aca="false">IF(C802&gt;=J802,"ja","nein")</f>
        <v>ja</v>
      </c>
      <c r="G802" s="15" t="str">
        <f aca="false">IF(C802&gt;=K802,"ja","nein")</f>
        <v>ja</v>
      </c>
      <c r="H802" s="15" t="str">
        <f aca="false">IF(C802&gt;=L802,"ja","nein")</f>
        <v>ja</v>
      </c>
      <c r="I802" s="15" t="str">
        <f aca="false">IF(C802&gt;=M802,"ja","nein")</f>
        <v>ja</v>
      </c>
      <c r="J802" s="15" t="n">
        <f aca="false">ROUND(Annahmen!$K$35*(1+Annahmen!$B$20*D802/1000),0)</f>
        <v>843</v>
      </c>
      <c r="K802" s="15" t="n">
        <f aca="false">ROUND(Annahmen!$K$36*(1+Annahmen!$B$20*D802/1000),0)</f>
        <v>1095</v>
      </c>
      <c r="L802" s="15" t="n">
        <f aca="false">ROUND(Annahmen!$K$37*(1+Annahmen!$B$20*D802/1000),0)</f>
        <v>1119</v>
      </c>
      <c r="M802" s="15" t="n">
        <f aca="false">ROUND(Annahmen!$K$38*(1+Annahmen!$B$20*D802/1000),0)</f>
        <v>1119</v>
      </c>
      <c r="N802" s="16" t="s">
        <v>86</v>
      </c>
    </row>
    <row r="803" customFormat="false" ht="15" hidden="false" customHeight="false" outlineLevel="0" collapsed="false">
      <c r="A803" s="13" t="s">
        <v>1667</v>
      </c>
      <c r="B803" s="14" t="s">
        <v>1668</v>
      </c>
      <c r="C803" s="15" t="n">
        <v>2451</v>
      </c>
      <c r="D803" s="15" t="n">
        <v>31</v>
      </c>
      <c r="E803" s="13" t="s">
        <v>82</v>
      </c>
      <c r="F803" s="15" t="str">
        <f aca="false">IF(C803&gt;=J803,"ja","nein")</f>
        <v>ja</v>
      </c>
      <c r="G803" s="15" t="str">
        <f aca="false">IF(C803&gt;=K803,"ja","nein")</f>
        <v>ja</v>
      </c>
      <c r="H803" s="15" t="str">
        <f aca="false">IF(C803&gt;=L803,"ja","nein")</f>
        <v>ja</v>
      </c>
      <c r="I803" s="15" t="str">
        <f aca="false">IF(C803&gt;=M803,"ja","nein")</f>
        <v>ja</v>
      </c>
      <c r="J803" s="15" t="n">
        <f aca="false">ROUND(Annahmen!$K$35*(1+Annahmen!$B$20*D803/1000),0)</f>
        <v>842</v>
      </c>
      <c r="K803" s="15" t="n">
        <f aca="false">ROUND(Annahmen!$K$36*(1+Annahmen!$B$20*D803/1000),0)</f>
        <v>1094</v>
      </c>
      <c r="L803" s="15" t="n">
        <f aca="false">ROUND(Annahmen!$K$37*(1+Annahmen!$B$20*D803/1000),0)</f>
        <v>1118</v>
      </c>
      <c r="M803" s="15" t="n">
        <f aca="false">ROUND(Annahmen!$K$38*(1+Annahmen!$B$20*D803/1000),0)</f>
        <v>1118</v>
      </c>
      <c r="N803" s="16" t="s">
        <v>83</v>
      </c>
    </row>
    <row r="804" customFormat="false" ht="15" hidden="false" customHeight="false" outlineLevel="0" collapsed="false">
      <c r="A804" s="13" t="s">
        <v>1669</v>
      </c>
      <c r="B804" s="14" t="s">
        <v>1670</v>
      </c>
      <c r="C804" s="15" t="n">
        <v>2443</v>
      </c>
      <c r="D804" s="15" t="n">
        <v>252</v>
      </c>
      <c r="E804" s="13" t="s">
        <v>82</v>
      </c>
      <c r="F804" s="15" t="str">
        <f aca="false">IF(C804&gt;=J804,"ja","nein")</f>
        <v>ja</v>
      </c>
      <c r="G804" s="15" t="str">
        <f aca="false">IF(C804&gt;=K804,"ja","nein")</f>
        <v>ja</v>
      </c>
      <c r="H804" s="15" t="str">
        <f aca="false">IF(C804&gt;=L804,"ja","nein")</f>
        <v>ja</v>
      </c>
      <c r="I804" s="15" t="str">
        <f aca="false">IF(C804&gt;=M804,"ja","nein")</f>
        <v>ja</v>
      </c>
      <c r="J804" s="15" t="n">
        <f aca="false">ROUND(Annahmen!$K$35*(1+Annahmen!$B$20*D804/1000),0)</f>
        <v>859</v>
      </c>
      <c r="K804" s="15" t="n">
        <f aca="false">ROUND(Annahmen!$K$36*(1+Annahmen!$B$20*D804/1000),0)</f>
        <v>1116</v>
      </c>
      <c r="L804" s="15" t="n">
        <f aca="false">ROUND(Annahmen!$K$37*(1+Annahmen!$B$20*D804/1000),0)</f>
        <v>1140</v>
      </c>
      <c r="M804" s="15" t="n">
        <f aca="false">ROUND(Annahmen!$K$38*(1+Annahmen!$B$20*D804/1000),0)</f>
        <v>1140</v>
      </c>
      <c r="N804" s="16" t="s">
        <v>86</v>
      </c>
    </row>
    <row r="805" customFormat="false" ht="15" hidden="false" customHeight="false" outlineLevel="0" collapsed="false">
      <c r="A805" s="13" t="s">
        <v>1671</v>
      </c>
      <c r="B805" s="14" t="s">
        <v>1672</v>
      </c>
      <c r="C805" s="15" t="n">
        <v>2442</v>
      </c>
      <c r="D805" s="15" t="n">
        <v>174</v>
      </c>
      <c r="E805" s="13" t="s">
        <v>82</v>
      </c>
      <c r="F805" s="15" t="str">
        <f aca="false">IF(C805&gt;=J805,"ja","nein")</f>
        <v>ja</v>
      </c>
      <c r="G805" s="15" t="str">
        <f aca="false">IF(C805&gt;=K805,"ja","nein")</f>
        <v>ja</v>
      </c>
      <c r="H805" s="15" t="str">
        <f aca="false">IF(C805&gt;=L805,"ja","nein")</f>
        <v>ja</v>
      </c>
      <c r="I805" s="15" t="str">
        <f aca="false">IF(C805&gt;=M805,"ja","nein")</f>
        <v>ja</v>
      </c>
      <c r="J805" s="15" t="n">
        <f aca="false">ROUND(Annahmen!$K$35*(1+Annahmen!$B$20*D805/1000),0)</f>
        <v>853</v>
      </c>
      <c r="K805" s="15" t="n">
        <f aca="false">ROUND(Annahmen!$K$36*(1+Annahmen!$B$20*D805/1000),0)</f>
        <v>1108</v>
      </c>
      <c r="L805" s="15" t="n">
        <f aca="false">ROUND(Annahmen!$K$37*(1+Annahmen!$B$20*D805/1000),0)</f>
        <v>1132</v>
      </c>
      <c r="M805" s="15" t="n">
        <f aca="false">ROUND(Annahmen!$K$38*(1+Annahmen!$B$20*D805/1000),0)</f>
        <v>1132</v>
      </c>
      <c r="N805" s="16" t="s">
        <v>86</v>
      </c>
    </row>
    <row r="806" customFormat="false" ht="15" hidden="false" customHeight="false" outlineLevel="0" collapsed="false">
      <c r="A806" s="13" t="s">
        <v>1673</v>
      </c>
      <c r="B806" s="14" t="s">
        <v>1674</v>
      </c>
      <c r="C806" s="15" t="n">
        <v>2390</v>
      </c>
      <c r="D806" s="15" t="n">
        <v>204</v>
      </c>
      <c r="E806" s="13" t="s">
        <v>82</v>
      </c>
      <c r="F806" s="15" t="str">
        <f aca="false">IF(C806&gt;=J806,"ja","nein")</f>
        <v>ja</v>
      </c>
      <c r="G806" s="15" t="str">
        <f aca="false">IF(C806&gt;=K806,"ja","nein")</f>
        <v>ja</v>
      </c>
      <c r="H806" s="15" t="str">
        <f aca="false">IF(C806&gt;=L806,"ja","nein")</f>
        <v>ja</v>
      </c>
      <c r="I806" s="15" t="str">
        <f aca="false">IF(C806&gt;=M806,"ja","nein")</f>
        <v>ja</v>
      </c>
      <c r="J806" s="15" t="n">
        <f aca="false">ROUND(Annahmen!$K$35*(1+Annahmen!$B$20*D806/1000),0)</f>
        <v>855</v>
      </c>
      <c r="K806" s="15" t="n">
        <f aca="false">ROUND(Annahmen!$K$36*(1+Annahmen!$B$20*D806/1000),0)</f>
        <v>1111</v>
      </c>
      <c r="L806" s="15" t="n">
        <f aca="false">ROUND(Annahmen!$K$37*(1+Annahmen!$B$20*D806/1000),0)</f>
        <v>1135</v>
      </c>
      <c r="M806" s="15" t="n">
        <f aca="false">ROUND(Annahmen!$K$38*(1+Annahmen!$B$20*D806/1000),0)</f>
        <v>1135</v>
      </c>
      <c r="N806" s="16" t="s">
        <v>86</v>
      </c>
    </row>
    <row r="807" customFormat="false" ht="15" hidden="false" customHeight="false" outlineLevel="0" collapsed="false">
      <c r="A807" s="13" t="s">
        <v>1675</v>
      </c>
      <c r="B807" s="14" t="s">
        <v>1676</v>
      </c>
      <c r="C807" s="15" t="n">
        <v>2319</v>
      </c>
      <c r="D807" s="15" t="n">
        <v>88</v>
      </c>
      <c r="E807" s="13" t="s">
        <v>82</v>
      </c>
      <c r="F807" s="15" t="str">
        <f aca="false">IF(C807&gt;=J807,"ja","nein")</f>
        <v>ja</v>
      </c>
      <c r="G807" s="15" t="str">
        <f aca="false">IF(C807&gt;=K807,"ja","nein")</f>
        <v>ja</v>
      </c>
      <c r="H807" s="15" t="str">
        <f aca="false">IF(C807&gt;=L807,"ja","nein")</f>
        <v>ja</v>
      </c>
      <c r="I807" s="15" t="str">
        <f aca="false">IF(C807&gt;=M807,"ja","nein")</f>
        <v>ja</v>
      </c>
      <c r="J807" s="15" t="n">
        <f aca="false">ROUND(Annahmen!$K$35*(1+Annahmen!$B$20*D807/1000),0)</f>
        <v>847</v>
      </c>
      <c r="K807" s="15" t="n">
        <f aca="false">ROUND(Annahmen!$K$36*(1+Annahmen!$B$20*D807/1000),0)</f>
        <v>1100</v>
      </c>
      <c r="L807" s="15" t="n">
        <f aca="false">ROUND(Annahmen!$K$37*(1+Annahmen!$B$20*D807/1000),0)</f>
        <v>1124</v>
      </c>
      <c r="M807" s="15" t="n">
        <f aca="false">ROUND(Annahmen!$K$38*(1+Annahmen!$B$20*D807/1000),0)</f>
        <v>1124</v>
      </c>
      <c r="N807" s="16" t="s">
        <v>86</v>
      </c>
    </row>
    <row r="808" customFormat="false" ht="15" hidden="false" customHeight="false" outlineLevel="0" collapsed="false">
      <c r="A808" s="13" t="s">
        <v>1677</v>
      </c>
      <c r="B808" s="14" t="s">
        <v>1678</v>
      </c>
      <c r="C808" s="15" t="n">
        <v>2314</v>
      </c>
      <c r="D808" s="15" t="n">
        <v>69</v>
      </c>
      <c r="E808" s="13" t="s">
        <v>82</v>
      </c>
      <c r="F808" s="15" t="str">
        <f aca="false">IF(C808&gt;=J808,"ja","nein")</f>
        <v>ja</v>
      </c>
      <c r="G808" s="15" t="str">
        <f aca="false">IF(C808&gt;=K808,"ja","nein")</f>
        <v>ja</v>
      </c>
      <c r="H808" s="15" t="str">
        <f aca="false">IF(C808&gt;=L808,"ja","nein")</f>
        <v>ja</v>
      </c>
      <c r="I808" s="15" t="str">
        <f aca="false">IF(C808&gt;=M808,"ja","nein")</f>
        <v>ja</v>
      </c>
      <c r="J808" s="15" t="n">
        <f aca="false">ROUND(Annahmen!$K$35*(1+Annahmen!$B$20*D808/1000),0)</f>
        <v>845</v>
      </c>
      <c r="K808" s="15" t="n">
        <f aca="false">ROUND(Annahmen!$K$36*(1+Annahmen!$B$20*D808/1000),0)</f>
        <v>1098</v>
      </c>
      <c r="L808" s="15" t="n">
        <f aca="false">ROUND(Annahmen!$K$37*(1+Annahmen!$B$20*D808/1000),0)</f>
        <v>1122</v>
      </c>
      <c r="M808" s="15" t="n">
        <f aca="false">ROUND(Annahmen!$K$38*(1+Annahmen!$B$20*D808/1000),0)</f>
        <v>1122</v>
      </c>
      <c r="N808" s="16" t="s">
        <v>83</v>
      </c>
    </row>
    <row r="809" customFormat="false" ht="15" hidden="false" customHeight="false" outlineLevel="0" collapsed="false">
      <c r="A809" s="13" t="s">
        <v>1679</v>
      </c>
      <c r="B809" s="14" t="s">
        <v>1680</v>
      </c>
      <c r="C809" s="15" t="n">
        <v>2184</v>
      </c>
      <c r="D809" s="15" t="n">
        <v>9</v>
      </c>
      <c r="E809" s="13" t="s">
        <v>82</v>
      </c>
      <c r="F809" s="15" t="str">
        <f aca="false">IF(C809&gt;=J809,"ja","nein")</f>
        <v>ja</v>
      </c>
      <c r="G809" s="15" t="str">
        <f aca="false">IF(C809&gt;=K809,"ja","nein")</f>
        <v>ja</v>
      </c>
      <c r="H809" s="15" t="str">
        <f aca="false">IF(C809&gt;=L809,"ja","nein")</f>
        <v>ja</v>
      </c>
      <c r="I809" s="15" t="str">
        <f aca="false">IF(C809&gt;=M809,"ja","nein")</f>
        <v>ja</v>
      </c>
      <c r="J809" s="15" t="n">
        <f aca="false">ROUND(Annahmen!$K$35*(1+Annahmen!$B$20*D809/1000),0)</f>
        <v>841</v>
      </c>
      <c r="K809" s="15" t="n">
        <f aca="false">ROUND(Annahmen!$K$36*(1+Annahmen!$B$20*D809/1000),0)</f>
        <v>1092</v>
      </c>
      <c r="L809" s="15" t="n">
        <f aca="false">ROUND(Annahmen!$K$37*(1+Annahmen!$B$20*D809/1000),0)</f>
        <v>1116</v>
      </c>
      <c r="M809" s="15" t="n">
        <f aca="false">ROUND(Annahmen!$K$38*(1+Annahmen!$B$20*D809/1000),0)</f>
        <v>1116</v>
      </c>
      <c r="N809" s="16" t="s">
        <v>86</v>
      </c>
    </row>
    <row r="810" customFormat="false" ht="15" hidden="false" customHeight="false" outlineLevel="0" collapsed="false">
      <c r="A810" s="13" t="s">
        <v>1681</v>
      </c>
      <c r="B810" s="14" t="s">
        <v>1682</v>
      </c>
      <c r="C810" s="15" t="n">
        <v>2120</v>
      </c>
      <c r="D810" s="15" t="n">
        <v>86</v>
      </c>
      <c r="E810" s="13" t="s">
        <v>82</v>
      </c>
      <c r="F810" s="15" t="str">
        <f aca="false">IF(C810&gt;=J810,"ja","nein")</f>
        <v>ja</v>
      </c>
      <c r="G810" s="15" t="str">
        <f aca="false">IF(C810&gt;=K810,"ja","nein")</f>
        <v>ja</v>
      </c>
      <c r="H810" s="15" t="str">
        <f aca="false">IF(C810&gt;=L810,"ja","nein")</f>
        <v>ja</v>
      </c>
      <c r="I810" s="15" t="str">
        <f aca="false">IF(C810&gt;=M810,"ja","nein")</f>
        <v>ja</v>
      </c>
      <c r="J810" s="15" t="n">
        <f aca="false">ROUND(Annahmen!$K$35*(1+Annahmen!$B$20*D810/1000),0)</f>
        <v>847</v>
      </c>
      <c r="K810" s="15" t="n">
        <f aca="false">ROUND(Annahmen!$K$36*(1+Annahmen!$B$20*D810/1000),0)</f>
        <v>1099</v>
      </c>
      <c r="L810" s="15" t="n">
        <f aca="false">ROUND(Annahmen!$K$37*(1+Annahmen!$B$20*D810/1000),0)</f>
        <v>1124</v>
      </c>
      <c r="M810" s="15" t="n">
        <f aca="false">ROUND(Annahmen!$K$38*(1+Annahmen!$B$20*D810/1000),0)</f>
        <v>1124</v>
      </c>
      <c r="N810" s="16" t="s">
        <v>86</v>
      </c>
    </row>
    <row r="811" customFormat="false" ht="15" hidden="false" customHeight="false" outlineLevel="0" collapsed="false">
      <c r="A811" s="13" t="s">
        <v>1683</v>
      </c>
      <c r="B811" s="14" t="s">
        <v>1684</v>
      </c>
      <c r="C811" s="15" t="n">
        <v>2115</v>
      </c>
      <c r="D811" s="15" t="n">
        <v>283</v>
      </c>
      <c r="E811" s="13" t="s">
        <v>82</v>
      </c>
      <c r="F811" s="15" t="str">
        <f aca="false">IF(C811&gt;=J811,"ja","nein")</f>
        <v>ja</v>
      </c>
      <c r="G811" s="15" t="str">
        <f aca="false">IF(C811&gt;=K811,"ja","nein")</f>
        <v>ja</v>
      </c>
      <c r="H811" s="15" t="str">
        <f aca="false">IF(C811&gt;=L811,"ja","nein")</f>
        <v>ja</v>
      </c>
      <c r="I811" s="15" t="str">
        <f aca="false">IF(C811&gt;=M811,"ja","nein")</f>
        <v>ja</v>
      </c>
      <c r="J811" s="15" t="n">
        <f aca="false">ROUND(Annahmen!$K$35*(1+Annahmen!$B$20*D811/1000),0)</f>
        <v>861</v>
      </c>
      <c r="K811" s="15" t="n">
        <f aca="false">ROUND(Annahmen!$K$36*(1+Annahmen!$B$20*D811/1000),0)</f>
        <v>1119</v>
      </c>
      <c r="L811" s="15" t="n">
        <f aca="false">ROUND(Annahmen!$K$37*(1+Annahmen!$B$20*D811/1000),0)</f>
        <v>1143</v>
      </c>
      <c r="M811" s="15" t="n">
        <f aca="false">ROUND(Annahmen!$K$38*(1+Annahmen!$B$20*D811/1000),0)</f>
        <v>1143</v>
      </c>
      <c r="N811" s="16" t="s">
        <v>86</v>
      </c>
    </row>
    <row r="812" customFormat="false" ht="15" hidden="false" customHeight="false" outlineLevel="0" collapsed="false">
      <c r="A812" s="13" t="s">
        <v>1685</v>
      </c>
      <c r="B812" s="14" t="s">
        <v>1686</v>
      </c>
      <c r="C812" s="15" t="n">
        <v>2110</v>
      </c>
      <c r="D812" s="15" t="n">
        <v>10</v>
      </c>
      <c r="E812" s="13" t="s">
        <v>82</v>
      </c>
      <c r="F812" s="15" t="str">
        <f aca="false">IF(C812&gt;=J812,"ja","nein")</f>
        <v>ja</v>
      </c>
      <c r="G812" s="15" t="str">
        <f aca="false">IF(C812&gt;=K812,"ja","nein")</f>
        <v>ja</v>
      </c>
      <c r="H812" s="15" t="str">
        <f aca="false">IF(C812&gt;=L812,"ja","nein")</f>
        <v>ja</v>
      </c>
      <c r="I812" s="15" t="str">
        <f aca="false">IF(C812&gt;=M812,"ja","nein")</f>
        <v>ja</v>
      </c>
      <c r="J812" s="15" t="n">
        <f aca="false">ROUND(Annahmen!$K$35*(1+Annahmen!$B$20*D812/1000),0)</f>
        <v>841</v>
      </c>
      <c r="K812" s="15" t="n">
        <f aca="false">ROUND(Annahmen!$K$36*(1+Annahmen!$B$20*D812/1000),0)</f>
        <v>1092</v>
      </c>
      <c r="L812" s="15" t="n">
        <f aca="false">ROUND(Annahmen!$K$37*(1+Annahmen!$B$20*D812/1000),0)</f>
        <v>1116</v>
      </c>
      <c r="M812" s="15" t="n">
        <f aca="false">ROUND(Annahmen!$K$38*(1+Annahmen!$B$20*D812/1000),0)</f>
        <v>1116</v>
      </c>
      <c r="N812" s="16" t="s">
        <v>86</v>
      </c>
    </row>
    <row r="813" customFormat="false" ht="15" hidden="false" customHeight="false" outlineLevel="0" collapsed="false">
      <c r="A813" s="13" t="s">
        <v>1687</v>
      </c>
      <c r="B813" s="14" t="s">
        <v>1688</v>
      </c>
      <c r="C813" s="15" t="n">
        <v>2049</v>
      </c>
      <c r="D813" s="15" t="n">
        <v>2697</v>
      </c>
      <c r="E813" s="13" t="s">
        <v>82</v>
      </c>
      <c r="F813" s="15" t="str">
        <f aca="false">IF(C813&gt;=J813,"ja","nein")</f>
        <v>ja</v>
      </c>
      <c r="G813" s="15" t="str">
        <f aca="false">IF(C813&gt;=K813,"ja","nein")</f>
        <v>ja</v>
      </c>
      <c r="H813" s="15" t="str">
        <f aca="false">IF(C813&gt;=L813,"ja","nein")</f>
        <v>ja</v>
      </c>
      <c r="I813" s="15" t="str">
        <f aca="false">IF(C813&gt;=M813,"ja","nein")</f>
        <v>ja</v>
      </c>
      <c r="J813" s="15" t="n">
        <f aca="false">ROUND(Annahmen!$K$35*(1+Annahmen!$B$20*D813/1000),0)</f>
        <v>1044</v>
      </c>
      <c r="K813" s="15" t="n">
        <f aca="false">ROUND(Annahmen!$K$36*(1+Annahmen!$B$20*D813/1000),0)</f>
        <v>1356</v>
      </c>
      <c r="L813" s="15" t="n">
        <f aca="false">ROUND(Annahmen!$K$37*(1+Annahmen!$B$20*D813/1000),0)</f>
        <v>1386</v>
      </c>
      <c r="M813" s="15" t="n">
        <f aca="false">ROUND(Annahmen!$K$38*(1+Annahmen!$B$20*D813/1000),0)</f>
        <v>1386</v>
      </c>
      <c r="N813" s="16" t="s">
        <v>102</v>
      </c>
    </row>
    <row r="814" customFormat="false" ht="15" hidden="false" customHeight="false" outlineLevel="0" collapsed="false">
      <c r="A814" s="13" t="s">
        <v>1689</v>
      </c>
      <c r="B814" s="14" t="s">
        <v>1690</v>
      </c>
      <c r="C814" s="15" t="n">
        <v>2035</v>
      </c>
      <c r="D814" s="15" t="n">
        <v>57</v>
      </c>
      <c r="E814" s="13" t="s">
        <v>82</v>
      </c>
      <c r="F814" s="15" t="str">
        <f aca="false">IF(C814&gt;=J814,"ja","nein")</f>
        <v>ja</v>
      </c>
      <c r="G814" s="15" t="str">
        <f aca="false">IF(C814&gt;=K814,"ja","nein")</f>
        <v>ja</v>
      </c>
      <c r="H814" s="15" t="str">
        <f aca="false">IF(C814&gt;=L814,"ja","nein")</f>
        <v>ja</v>
      </c>
      <c r="I814" s="15" t="str">
        <f aca="false">IF(C814&gt;=M814,"ja","nein")</f>
        <v>ja</v>
      </c>
      <c r="J814" s="15" t="n">
        <f aca="false">ROUND(Annahmen!$K$35*(1+Annahmen!$B$20*D814/1000),0)</f>
        <v>844</v>
      </c>
      <c r="K814" s="15" t="n">
        <f aca="false">ROUND(Annahmen!$K$36*(1+Annahmen!$B$20*D814/1000),0)</f>
        <v>1097</v>
      </c>
      <c r="L814" s="15" t="n">
        <f aca="false">ROUND(Annahmen!$K$37*(1+Annahmen!$B$20*D814/1000),0)</f>
        <v>1121</v>
      </c>
      <c r="M814" s="15" t="n">
        <f aca="false">ROUND(Annahmen!$K$38*(1+Annahmen!$B$20*D814/1000),0)</f>
        <v>1121</v>
      </c>
      <c r="N814" s="16" t="s">
        <v>83</v>
      </c>
    </row>
    <row r="815" customFormat="false" ht="15" hidden="false" customHeight="false" outlineLevel="0" collapsed="false">
      <c r="A815" s="13" t="s">
        <v>1691</v>
      </c>
      <c r="B815" s="14" t="s">
        <v>1692</v>
      </c>
      <c r="C815" s="15" t="n">
        <v>1800</v>
      </c>
      <c r="D815" s="15" t="n">
        <v>2618</v>
      </c>
      <c r="E815" s="13" t="s">
        <v>82</v>
      </c>
      <c r="F815" s="15" t="str">
        <f aca="false">IF(C815&gt;=J815,"ja","nein")</f>
        <v>ja</v>
      </c>
      <c r="G815" s="15" t="str">
        <f aca="false">IF(C815&gt;=K815,"ja","nein")</f>
        <v>ja</v>
      </c>
      <c r="H815" s="15" t="str">
        <f aca="false">IF(C815&gt;=L815,"ja","nein")</f>
        <v>ja</v>
      </c>
      <c r="I815" s="15" t="str">
        <f aca="false">IF(C815&gt;=M815,"ja","nein")</f>
        <v>ja</v>
      </c>
      <c r="J815" s="15" t="n">
        <f aca="false">ROUND(Annahmen!$K$35*(1+Annahmen!$B$20*D815/1000),0)</f>
        <v>1038</v>
      </c>
      <c r="K815" s="15" t="n">
        <f aca="false">ROUND(Annahmen!$K$36*(1+Annahmen!$B$20*D815/1000),0)</f>
        <v>1348</v>
      </c>
      <c r="L815" s="15" t="n">
        <f aca="false">ROUND(Annahmen!$K$37*(1+Annahmen!$B$20*D815/1000),0)</f>
        <v>1378</v>
      </c>
      <c r="M815" s="15" t="n">
        <f aca="false">ROUND(Annahmen!$K$38*(1+Annahmen!$B$20*D815/1000),0)</f>
        <v>1378</v>
      </c>
      <c r="N815" s="16" t="s">
        <v>102</v>
      </c>
    </row>
    <row r="816" customFormat="false" ht="15" hidden="false" customHeight="false" outlineLevel="0" collapsed="false">
      <c r="A816" s="13" t="s">
        <v>1693</v>
      </c>
      <c r="B816" s="14" t="s">
        <v>1694</v>
      </c>
      <c r="C816" s="15" t="n">
        <v>1765</v>
      </c>
      <c r="D816" s="15" t="n">
        <v>656</v>
      </c>
      <c r="E816" s="13" t="s">
        <v>82</v>
      </c>
      <c r="F816" s="15" t="str">
        <f aca="false">IF(C816&gt;=J816,"ja","nein")</f>
        <v>ja</v>
      </c>
      <c r="G816" s="15" t="str">
        <f aca="false">IF(C816&gt;=K816,"ja","nein")</f>
        <v>ja</v>
      </c>
      <c r="H816" s="15" t="str">
        <f aca="false">IF(C816&gt;=L816,"ja","nein")</f>
        <v>ja</v>
      </c>
      <c r="I816" s="15" t="str">
        <f aca="false">IF(C816&gt;=M816,"ja","nein")</f>
        <v>ja</v>
      </c>
      <c r="J816" s="15" t="n">
        <f aca="false">ROUND(Annahmen!$K$35*(1+Annahmen!$B$20*D816/1000),0)</f>
        <v>890</v>
      </c>
      <c r="K816" s="15" t="n">
        <f aca="false">ROUND(Annahmen!$K$36*(1+Annahmen!$B$20*D816/1000),0)</f>
        <v>1155</v>
      </c>
      <c r="L816" s="15" t="n">
        <f aca="false">ROUND(Annahmen!$K$37*(1+Annahmen!$B$20*D816/1000),0)</f>
        <v>1181</v>
      </c>
      <c r="M816" s="15" t="n">
        <f aca="false">ROUND(Annahmen!$K$38*(1+Annahmen!$B$20*D816/1000),0)</f>
        <v>1181</v>
      </c>
      <c r="N816" s="16" t="s">
        <v>102</v>
      </c>
    </row>
    <row r="817" customFormat="false" ht="15" hidden="false" customHeight="false" outlineLevel="0" collapsed="false">
      <c r="A817" s="13" t="s">
        <v>1695</v>
      </c>
      <c r="B817" s="14" t="s">
        <v>1696</v>
      </c>
      <c r="C817" s="15" t="n">
        <v>1751</v>
      </c>
      <c r="D817" s="15" t="n">
        <v>63</v>
      </c>
      <c r="E817" s="13" t="s">
        <v>82</v>
      </c>
      <c r="F817" s="15" t="str">
        <f aca="false">IF(C817&gt;=J817,"ja","nein")</f>
        <v>ja</v>
      </c>
      <c r="G817" s="15" t="str">
        <f aca="false">IF(C817&gt;=K817,"ja","nein")</f>
        <v>ja</v>
      </c>
      <c r="H817" s="15" t="str">
        <f aca="false">IF(C817&gt;=L817,"ja","nein")</f>
        <v>ja</v>
      </c>
      <c r="I817" s="15" t="str">
        <f aca="false">IF(C817&gt;=M817,"ja","nein")</f>
        <v>ja</v>
      </c>
      <c r="J817" s="15" t="n">
        <f aca="false">ROUND(Annahmen!$K$35*(1+Annahmen!$B$20*D817/1000),0)</f>
        <v>845</v>
      </c>
      <c r="K817" s="15" t="n">
        <f aca="false">ROUND(Annahmen!$K$36*(1+Annahmen!$B$20*D817/1000),0)</f>
        <v>1097</v>
      </c>
      <c r="L817" s="15" t="n">
        <f aca="false">ROUND(Annahmen!$K$37*(1+Annahmen!$B$20*D817/1000),0)</f>
        <v>1121</v>
      </c>
      <c r="M817" s="15" t="n">
        <f aca="false">ROUND(Annahmen!$K$38*(1+Annahmen!$B$20*D817/1000),0)</f>
        <v>1121</v>
      </c>
      <c r="N817" s="16" t="s">
        <v>86</v>
      </c>
    </row>
    <row r="818" customFormat="false" ht="15" hidden="false" customHeight="false" outlineLevel="0" collapsed="false">
      <c r="A818" s="13" t="s">
        <v>1697</v>
      </c>
      <c r="B818" s="14" t="s">
        <v>1698</v>
      </c>
      <c r="C818" s="15" t="n">
        <v>1720</v>
      </c>
      <c r="D818" s="15" t="n">
        <v>2054</v>
      </c>
      <c r="E818" s="13" t="s">
        <v>82</v>
      </c>
      <c r="F818" s="15" t="str">
        <f aca="false">IF(C818&gt;=J818,"ja","nein")</f>
        <v>ja</v>
      </c>
      <c r="G818" s="15" t="str">
        <f aca="false">IF(C818&gt;=K818,"ja","nein")</f>
        <v>ja</v>
      </c>
      <c r="H818" s="15" t="str">
        <f aca="false">IF(C818&gt;=L818,"ja","nein")</f>
        <v>ja</v>
      </c>
      <c r="I818" s="15" t="str">
        <f aca="false">IF(C818&gt;=M818,"ja","nein")</f>
        <v>ja</v>
      </c>
      <c r="J818" s="15" t="n">
        <f aca="false">ROUND(Annahmen!$K$35*(1+Annahmen!$B$20*D818/1000),0)</f>
        <v>995</v>
      </c>
      <c r="K818" s="15" t="n">
        <f aca="false">ROUND(Annahmen!$K$36*(1+Annahmen!$B$20*D818/1000),0)</f>
        <v>1293</v>
      </c>
      <c r="L818" s="15" t="n">
        <f aca="false">ROUND(Annahmen!$K$37*(1+Annahmen!$B$20*D818/1000),0)</f>
        <v>1321</v>
      </c>
      <c r="M818" s="15" t="n">
        <f aca="false">ROUND(Annahmen!$K$38*(1+Annahmen!$B$20*D818/1000),0)</f>
        <v>1321</v>
      </c>
      <c r="N818" s="16" t="s">
        <v>86</v>
      </c>
    </row>
    <row r="819" customFormat="false" ht="15" hidden="false" customHeight="false" outlineLevel="0" collapsed="false">
      <c r="A819" s="13" t="s">
        <v>1699</v>
      </c>
      <c r="B819" s="14" t="s">
        <v>1700</v>
      </c>
      <c r="C819" s="15" t="n">
        <v>1622</v>
      </c>
      <c r="D819" s="15" t="n">
        <v>354</v>
      </c>
      <c r="E819" s="13" t="s">
        <v>82</v>
      </c>
      <c r="F819" s="15" t="str">
        <f aca="false">IF(C819&gt;=J819,"ja","nein")</f>
        <v>ja</v>
      </c>
      <c r="G819" s="15" t="str">
        <f aca="false">IF(C819&gt;=K819,"ja","nein")</f>
        <v>ja</v>
      </c>
      <c r="H819" s="15" t="str">
        <f aca="false">IF(C819&gt;=L819,"ja","nein")</f>
        <v>ja</v>
      </c>
      <c r="I819" s="15" t="str">
        <f aca="false">IF(C819&gt;=M819,"ja","nein")</f>
        <v>ja</v>
      </c>
      <c r="J819" s="15" t="n">
        <f aca="false">ROUND(Annahmen!$K$35*(1+Annahmen!$B$20*D819/1000),0)</f>
        <v>867</v>
      </c>
      <c r="K819" s="15" t="n">
        <f aca="false">ROUND(Annahmen!$K$36*(1+Annahmen!$B$20*D819/1000),0)</f>
        <v>1126</v>
      </c>
      <c r="L819" s="15" t="n">
        <f aca="false">ROUND(Annahmen!$K$37*(1+Annahmen!$B$20*D819/1000),0)</f>
        <v>1151</v>
      </c>
      <c r="M819" s="15" t="n">
        <f aca="false">ROUND(Annahmen!$K$38*(1+Annahmen!$B$20*D819/1000),0)</f>
        <v>1151</v>
      </c>
      <c r="N819" s="16" t="s">
        <v>102</v>
      </c>
    </row>
    <row r="820" customFormat="false" ht="15" hidden="false" customHeight="false" outlineLevel="0" collapsed="false">
      <c r="A820" s="13" t="s">
        <v>1701</v>
      </c>
      <c r="B820" s="14" t="s">
        <v>1702</v>
      </c>
      <c r="C820" s="15" t="n">
        <v>1408</v>
      </c>
      <c r="D820" s="15" t="n">
        <v>56</v>
      </c>
      <c r="E820" s="13" t="s">
        <v>82</v>
      </c>
      <c r="F820" s="15" t="str">
        <f aca="false">IF(C820&gt;=J820,"ja","nein")</f>
        <v>ja</v>
      </c>
      <c r="G820" s="15" t="str">
        <f aca="false">IF(C820&gt;=K820,"ja","nein")</f>
        <v>ja</v>
      </c>
      <c r="H820" s="15" t="str">
        <f aca="false">IF(C820&gt;=L820,"ja","nein")</f>
        <v>ja</v>
      </c>
      <c r="I820" s="15" t="str">
        <f aca="false">IF(C820&gt;=M820,"ja","nein")</f>
        <v>ja</v>
      </c>
      <c r="J820" s="15" t="n">
        <f aca="false">ROUND(Annahmen!$K$35*(1+Annahmen!$B$20*D820/1000),0)</f>
        <v>844</v>
      </c>
      <c r="K820" s="15" t="n">
        <f aca="false">ROUND(Annahmen!$K$36*(1+Annahmen!$B$20*D820/1000),0)</f>
        <v>1096</v>
      </c>
      <c r="L820" s="15" t="n">
        <f aca="false">ROUND(Annahmen!$K$37*(1+Annahmen!$B$20*D820/1000),0)</f>
        <v>1121</v>
      </c>
      <c r="M820" s="15" t="n">
        <f aca="false">ROUND(Annahmen!$K$38*(1+Annahmen!$B$20*D820/1000),0)</f>
        <v>1121</v>
      </c>
      <c r="N820" s="16" t="s">
        <v>86</v>
      </c>
    </row>
    <row r="821" customFormat="false" ht="15" hidden="false" customHeight="false" outlineLevel="0" collapsed="false">
      <c r="A821" s="13" t="s">
        <v>1703</v>
      </c>
      <c r="B821" s="14" t="s">
        <v>1704</v>
      </c>
      <c r="C821" s="15" t="n">
        <v>1401</v>
      </c>
      <c r="D821" s="15" t="n">
        <v>463</v>
      </c>
      <c r="E821" s="13" t="s">
        <v>82</v>
      </c>
      <c r="F821" s="15" t="str">
        <f aca="false">IF(C821&gt;=J821,"ja","nein")</f>
        <v>ja</v>
      </c>
      <c r="G821" s="15" t="str">
        <f aca="false">IF(C821&gt;=K821,"ja","nein")</f>
        <v>ja</v>
      </c>
      <c r="H821" s="15" t="str">
        <f aca="false">IF(C821&gt;=L821,"ja","nein")</f>
        <v>ja</v>
      </c>
      <c r="I821" s="15" t="str">
        <f aca="false">IF(C821&gt;=M821,"ja","nein")</f>
        <v>ja</v>
      </c>
      <c r="J821" s="15" t="n">
        <f aca="false">ROUND(Annahmen!$K$35*(1+Annahmen!$B$20*D821/1000),0)</f>
        <v>875</v>
      </c>
      <c r="K821" s="15" t="n">
        <f aca="false">ROUND(Annahmen!$K$36*(1+Annahmen!$B$20*D821/1000),0)</f>
        <v>1136</v>
      </c>
      <c r="L821" s="15" t="n">
        <f aca="false">ROUND(Annahmen!$K$37*(1+Annahmen!$B$20*D821/1000),0)</f>
        <v>1161</v>
      </c>
      <c r="M821" s="15" t="n">
        <f aca="false">ROUND(Annahmen!$K$38*(1+Annahmen!$B$20*D821/1000),0)</f>
        <v>1161</v>
      </c>
      <c r="N821" s="16" t="s">
        <v>86</v>
      </c>
    </row>
    <row r="822" customFormat="false" ht="15" hidden="false" customHeight="false" outlineLevel="0" collapsed="false">
      <c r="A822" s="13" t="s">
        <v>1705</v>
      </c>
      <c r="B822" s="14" t="s">
        <v>1706</v>
      </c>
      <c r="C822" s="15" t="n">
        <v>1263</v>
      </c>
      <c r="D822" s="15" t="n">
        <v>37</v>
      </c>
      <c r="E822" s="13" t="s">
        <v>82</v>
      </c>
      <c r="F822" s="15" t="str">
        <f aca="false">IF(C822&gt;=J822,"ja","nein")</f>
        <v>ja</v>
      </c>
      <c r="G822" s="15" t="str">
        <f aca="false">IF(C822&gt;=K822,"ja","nein")</f>
        <v>ja</v>
      </c>
      <c r="H822" s="15" t="str">
        <f aca="false">IF(C822&gt;=L822,"ja","nein")</f>
        <v>ja</v>
      </c>
      <c r="I822" s="15" t="str">
        <f aca="false">IF(C822&gt;=M822,"ja","nein")</f>
        <v>ja</v>
      </c>
      <c r="J822" s="15" t="n">
        <f aca="false">ROUND(Annahmen!$K$35*(1+Annahmen!$B$20*D822/1000),0)</f>
        <v>843</v>
      </c>
      <c r="K822" s="15" t="n">
        <f aca="false">ROUND(Annahmen!$K$36*(1+Annahmen!$B$20*D822/1000),0)</f>
        <v>1095</v>
      </c>
      <c r="L822" s="15" t="n">
        <f aca="false">ROUND(Annahmen!$K$37*(1+Annahmen!$B$20*D822/1000),0)</f>
        <v>1119</v>
      </c>
      <c r="M822" s="15" t="n">
        <f aca="false">ROUND(Annahmen!$K$38*(1+Annahmen!$B$20*D822/1000),0)</f>
        <v>1119</v>
      </c>
      <c r="N822" s="16" t="s">
        <v>86</v>
      </c>
    </row>
    <row r="823" customFormat="false" ht="15" hidden="false" customHeight="false" outlineLevel="0" collapsed="false">
      <c r="A823" s="13" t="s">
        <v>1707</v>
      </c>
      <c r="B823" s="14" t="s">
        <v>1708</v>
      </c>
      <c r="C823" s="15" t="n">
        <v>1200</v>
      </c>
      <c r="D823" s="15" t="n">
        <v>25</v>
      </c>
      <c r="E823" s="13" t="s">
        <v>82</v>
      </c>
      <c r="F823" s="15" t="str">
        <f aca="false">IF(C823&gt;=J823,"ja","nein")</f>
        <v>ja</v>
      </c>
      <c r="G823" s="15" t="str">
        <f aca="false">IF(C823&gt;=K823,"ja","nein")</f>
        <v>ja</v>
      </c>
      <c r="H823" s="15" t="str">
        <f aca="false">IF(C823&gt;=L823,"ja","nein")</f>
        <v>ja</v>
      </c>
      <c r="I823" s="15" t="str">
        <f aca="false">IF(C823&gt;=M823,"ja","nein")</f>
        <v>ja</v>
      </c>
      <c r="J823" s="15" t="n">
        <f aca="false">ROUND(Annahmen!$K$35*(1+Annahmen!$B$20*D823/1000),0)</f>
        <v>842</v>
      </c>
      <c r="K823" s="15" t="n">
        <f aca="false">ROUND(Annahmen!$K$36*(1+Annahmen!$B$20*D823/1000),0)</f>
        <v>1093</v>
      </c>
      <c r="L823" s="15" t="n">
        <f aca="false">ROUND(Annahmen!$K$37*(1+Annahmen!$B$20*D823/1000),0)</f>
        <v>1118</v>
      </c>
      <c r="M823" s="15" t="n">
        <f aca="false">ROUND(Annahmen!$K$38*(1+Annahmen!$B$20*D823/1000),0)</f>
        <v>1118</v>
      </c>
      <c r="N823" s="16" t="s">
        <v>86</v>
      </c>
    </row>
    <row r="824" customFormat="false" ht="15" hidden="false" customHeight="false" outlineLevel="0" collapsed="false">
      <c r="A824" s="13" t="s">
        <v>1709</v>
      </c>
      <c r="B824" s="14" t="s">
        <v>1710</v>
      </c>
      <c r="C824" s="15" t="n">
        <v>1200</v>
      </c>
      <c r="D824" s="15" t="n">
        <v>160</v>
      </c>
      <c r="E824" s="13" t="s">
        <v>82</v>
      </c>
      <c r="F824" s="15" t="str">
        <f aca="false">IF(C824&gt;=J824,"ja","nein")</f>
        <v>ja</v>
      </c>
      <c r="G824" s="15" t="str">
        <f aca="false">IF(C824&gt;=K824,"ja","nein")</f>
        <v>ja</v>
      </c>
      <c r="H824" s="15" t="str">
        <f aca="false">IF(C824&gt;=L824,"ja","nein")</f>
        <v>ja</v>
      </c>
      <c r="I824" s="15" t="str">
        <f aca="false">IF(C824&gt;=M824,"ja","nein")</f>
        <v>ja</v>
      </c>
      <c r="J824" s="15" t="n">
        <f aca="false">ROUND(Annahmen!$K$35*(1+Annahmen!$B$20*D824/1000),0)</f>
        <v>852</v>
      </c>
      <c r="K824" s="15" t="n">
        <f aca="false">ROUND(Annahmen!$K$36*(1+Annahmen!$B$20*D824/1000),0)</f>
        <v>1107</v>
      </c>
      <c r="L824" s="15" t="n">
        <f aca="false">ROUND(Annahmen!$K$37*(1+Annahmen!$B$20*D824/1000),0)</f>
        <v>1131</v>
      </c>
      <c r="M824" s="15" t="n">
        <f aca="false">ROUND(Annahmen!$K$38*(1+Annahmen!$B$20*D824/1000),0)</f>
        <v>1131</v>
      </c>
      <c r="N824" s="16" t="s">
        <v>86</v>
      </c>
    </row>
    <row r="825" customFormat="false" ht="15" hidden="false" customHeight="false" outlineLevel="0" collapsed="false">
      <c r="A825" s="13" t="s">
        <v>1711</v>
      </c>
      <c r="B825" s="14" t="s">
        <v>1712</v>
      </c>
      <c r="C825" s="15" t="n">
        <v>1200</v>
      </c>
      <c r="D825" s="15" t="n">
        <v>828</v>
      </c>
      <c r="E825" s="13" t="s">
        <v>82</v>
      </c>
      <c r="F825" s="15" t="str">
        <f aca="false">IF(C825&gt;=J825,"ja","nein")</f>
        <v>ja</v>
      </c>
      <c r="G825" s="15" t="str">
        <f aca="false">IF(C825&gt;=K825,"ja","nein")</f>
        <v>ja</v>
      </c>
      <c r="H825" s="15" t="str">
        <f aca="false">IF(C825&gt;=L825,"ja","nein")</f>
        <v>ja</v>
      </c>
      <c r="I825" s="15" t="str">
        <f aca="false">IF(C825&gt;=M825,"ja","nein")</f>
        <v>ja</v>
      </c>
      <c r="J825" s="15" t="n">
        <f aca="false">ROUND(Annahmen!$K$35*(1+Annahmen!$B$20*D825/1000),0)</f>
        <v>903</v>
      </c>
      <c r="K825" s="15" t="n">
        <f aca="false">ROUND(Annahmen!$K$36*(1+Annahmen!$B$20*D825/1000),0)</f>
        <v>1172</v>
      </c>
      <c r="L825" s="15" t="n">
        <f aca="false">ROUND(Annahmen!$K$37*(1+Annahmen!$B$20*D825/1000),0)</f>
        <v>1198</v>
      </c>
      <c r="M825" s="15" t="n">
        <f aca="false">ROUND(Annahmen!$K$38*(1+Annahmen!$B$20*D825/1000),0)</f>
        <v>1198</v>
      </c>
      <c r="N825" s="16" t="s">
        <v>102</v>
      </c>
    </row>
    <row r="826" customFormat="false" ht="15" hidden="false" customHeight="false" outlineLevel="0" collapsed="false">
      <c r="A826" s="13" t="s">
        <v>1713</v>
      </c>
      <c r="B826" s="14" t="s">
        <v>1714</v>
      </c>
      <c r="C826" s="15" t="n">
        <v>1130</v>
      </c>
      <c r="D826" s="15" t="n">
        <v>42</v>
      </c>
      <c r="E826" s="13" t="s">
        <v>82</v>
      </c>
      <c r="F826" s="15" t="str">
        <f aca="false">IF(C826&gt;=J826,"ja","nein")</f>
        <v>ja</v>
      </c>
      <c r="G826" s="15" t="str">
        <f aca="false">IF(C826&gt;=K826,"ja","nein")</f>
        <v>ja</v>
      </c>
      <c r="H826" s="15" t="str">
        <f aca="false">IF(C826&gt;=L826,"ja","nein")</f>
        <v>ja</v>
      </c>
      <c r="I826" s="15" t="str">
        <f aca="false">IF(C826&gt;=M826,"ja","nein")</f>
        <v>ja</v>
      </c>
      <c r="J826" s="15" t="n">
        <f aca="false">ROUND(Annahmen!$K$35*(1+Annahmen!$B$20*D826/1000),0)</f>
        <v>843</v>
      </c>
      <c r="K826" s="15" t="n">
        <f aca="false">ROUND(Annahmen!$K$36*(1+Annahmen!$B$20*D826/1000),0)</f>
        <v>1095</v>
      </c>
      <c r="L826" s="15" t="n">
        <f aca="false">ROUND(Annahmen!$K$37*(1+Annahmen!$B$20*D826/1000),0)</f>
        <v>1119</v>
      </c>
      <c r="M826" s="15" t="n">
        <f aca="false">ROUND(Annahmen!$K$38*(1+Annahmen!$B$20*D826/1000),0)</f>
        <v>1119</v>
      </c>
      <c r="N826" s="16" t="s">
        <v>86</v>
      </c>
    </row>
    <row r="827" customFormat="false" ht="15" hidden="false" customHeight="false" outlineLevel="0" collapsed="false">
      <c r="A827" s="13" t="s">
        <v>1715</v>
      </c>
      <c r="B827" s="14" t="s">
        <v>1716</v>
      </c>
      <c r="C827" s="15" t="n">
        <v>1120</v>
      </c>
      <c r="D827" s="15" t="n">
        <v>390</v>
      </c>
      <c r="E827" s="13" t="s">
        <v>82</v>
      </c>
      <c r="F827" s="15" t="str">
        <f aca="false">IF(C827&gt;=J827,"ja","nein")</f>
        <v>ja</v>
      </c>
      <c r="G827" s="15" t="str">
        <f aca="false">IF(C827&gt;=K827,"ja","nein")</f>
        <v>nein</v>
      </c>
      <c r="H827" s="15" t="str">
        <f aca="false">IF(C827&gt;=L827,"ja","nein")</f>
        <v>nein</v>
      </c>
      <c r="I827" s="15" t="str">
        <f aca="false">IF(C827&gt;=M827,"ja","nein")</f>
        <v>nein</v>
      </c>
      <c r="J827" s="15" t="n">
        <f aca="false">ROUND(Annahmen!$K$35*(1+Annahmen!$B$20*D827/1000),0)</f>
        <v>869</v>
      </c>
      <c r="K827" s="15" t="n">
        <f aca="false">ROUND(Annahmen!$K$36*(1+Annahmen!$B$20*D827/1000),0)</f>
        <v>1129</v>
      </c>
      <c r="L827" s="15" t="n">
        <f aca="false">ROUND(Annahmen!$K$37*(1+Annahmen!$B$20*D827/1000),0)</f>
        <v>1154</v>
      </c>
      <c r="M827" s="15" t="n">
        <f aca="false">ROUND(Annahmen!$K$38*(1+Annahmen!$B$20*D827/1000),0)</f>
        <v>1154</v>
      </c>
      <c r="N827" s="16" t="s">
        <v>102</v>
      </c>
    </row>
    <row r="828" customFormat="false" ht="15" hidden="false" customHeight="false" outlineLevel="0" collapsed="false">
      <c r="A828" s="13" t="s">
        <v>1717</v>
      </c>
      <c r="B828" s="14" t="s">
        <v>1718</v>
      </c>
      <c r="C828" s="15" t="n">
        <v>1080</v>
      </c>
      <c r="D828" s="15" t="n">
        <v>400</v>
      </c>
      <c r="E828" s="13" t="s">
        <v>82</v>
      </c>
      <c r="F828" s="15" t="str">
        <f aca="false">IF(C828&gt;=J828,"ja","nein")</f>
        <v>ja</v>
      </c>
      <c r="G828" s="15" t="str">
        <f aca="false">IF(C828&gt;=K828,"ja","nein")</f>
        <v>nein</v>
      </c>
      <c r="H828" s="15" t="str">
        <f aca="false">IF(C828&gt;=L828,"ja","nein")</f>
        <v>nein</v>
      </c>
      <c r="I828" s="15" t="str">
        <f aca="false">IF(C828&gt;=M828,"ja","nein")</f>
        <v>nein</v>
      </c>
      <c r="J828" s="15" t="n">
        <f aca="false">ROUND(Annahmen!$K$35*(1+Annahmen!$B$20*D828/1000),0)</f>
        <v>870</v>
      </c>
      <c r="K828" s="15" t="n">
        <f aca="false">ROUND(Annahmen!$K$36*(1+Annahmen!$B$20*D828/1000),0)</f>
        <v>1130</v>
      </c>
      <c r="L828" s="15" t="n">
        <f aca="false">ROUND(Annahmen!$K$37*(1+Annahmen!$B$20*D828/1000),0)</f>
        <v>1155</v>
      </c>
      <c r="M828" s="15" t="n">
        <f aca="false">ROUND(Annahmen!$K$38*(1+Annahmen!$B$20*D828/1000),0)</f>
        <v>1155</v>
      </c>
      <c r="N828" s="16" t="s">
        <v>102</v>
      </c>
    </row>
    <row r="829" customFormat="false" ht="15" hidden="false" customHeight="false" outlineLevel="0" collapsed="false">
      <c r="A829" s="13" t="s">
        <v>1719</v>
      </c>
      <c r="B829" s="14" t="s">
        <v>1720</v>
      </c>
      <c r="C829" s="15" t="n">
        <v>1070</v>
      </c>
      <c r="D829" s="15" t="n">
        <v>243</v>
      </c>
      <c r="E829" s="13" t="s">
        <v>82</v>
      </c>
      <c r="F829" s="15" t="str">
        <f aca="false">IF(C829&gt;=J829,"ja","nein")</f>
        <v>ja</v>
      </c>
      <c r="G829" s="15" t="str">
        <f aca="false">IF(C829&gt;=K829,"ja","nein")</f>
        <v>nein</v>
      </c>
      <c r="H829" s="15" t="str">
        <f aca="false">IF(C829&gt;=L829,"ja","nein")</f>
        <v>nein</v>
      </c>
      <c r="I829" s="15" t="str">
        <f aca="false">IF(C829&gt;=M829,"ja","nein")</f>
        <v>nein</v>
      </c>
      <c r="J829" s="15" t="n">
        <f aca="false">ROUND(Annahmen!$K$35*(1+Annahmen!$B$20*D829/1000),0)</f>
        <v>858</v>
      </c>
      <c r="K829" s="15" t="n">
        <f aca="false">ROUND(Annahmen!$K$36*(1+Annahmen!$B$20*D829/1000),0)</f>
        <v>1115</v>
      </c>
      <c r="L829" s="15" t="n">
        <f aca="false">ROUND(Annahmen!$K$37*(1+Annahmen!$B$20*D829/1000),0)</f>
        <v>1139</v>
      </c>
      <c r="M829" s="15" t="n">
        <f aca="false">ROUND(Annahmen!$K$38*(1+Annahmen!$B$20*D829/1000),0)</f>
        <v>1139</v>
      </c>
      <c r="N829" s="16" t="s">
        <v>86</v>
      </c>
    </row>
    <row r="830" customFormat="false" ht="15" hidden="false" customHeight="false" outlineLevel="0" collapsed="false">
      <c r="A830" s="13" t="s">
        <v>1721</v>
      </c>
      <c r="B830" s="14" t="s">
        <v>1722</v>
      </c>
      <c r="C830" s="15" t="n">
        <v>1032</v>
      </c>
      <c r="D830" s="15" t="n">
        <v>7</v>
      </c>
      <c r="E830" s="13" t="s">
        <v>82</v>
      </c>
      <c r="F830" s="15" t="str">
        <f aca="false">IF(C830&gt;=J830,"ja","nein")</f>
        <v>ja</v>
      </c>
      <c r="G830" s="15" t="str">
        <f aca="false">IF(C830&gt;=K830,"ja","nein")</f>
        <v>nein</v>
      </c>
      <c r="H830" s="15" t="str">
        <f aca="false">IF(C830&gt;=L830,"ja","nein")</f>
        <v>nein</v>
      </c>
      <c r="I830" s="15" t="str">
        <f aca="false">IF(C830&gt;=M830,"ja","nein")</f>
        <v>nein</v>
      </c>
      <c r="J830" s="15" t="n">
        <f aca="false">ROUND(Annahmen!$K$35*(1+Annahmen!$B$20*D830/1000),0)</f>
        <v>841</v>
      </c>
      <c r="K830" s="15" t="n">
        <f aca="false">ROUND(Annahmen!$K$36*(1+Annahmen!$B$20*D830/1000),0)</f>
        <v>1092</v>
      </c>
      <c r="L830" s="15" t="n">
        <f aca="false">ROUND(Annahmen!$K$37*(1+Annahmen!$B$20*D830/1000),0)</f>
        <v>1116</v>
      </c>
      <c r="M830" s="15" t="n">
        <f aca="false">ROUND(Annahmen!$K$38*(1+Annahmen!$B$20*D830/1000),0)</f>
        <v>1116</v>
      </c>
      <c r="N830" s="16" t="s">
        <v>102</v>
      </c>
    </row>
    <row r="831" customFormat="false" ht="15" hidden="false" customHeight="false" outlineLevel="0" collapsed="false">
      <c r="A831" s="13" t="s">
        <v>1723</v>
      </c>
      <c r="B831" s="14" t="s">
        <v>1724</v>
      </c>
      <c r="C831" s="15" t="n">
        <v>1028</v>
      </c>
      <c r="D831" s="15" t="n">
        <v>42</v>
      </c>
      <c r="E831" s="13" t="s">
        <v>82</v>
      </c>
      <c r="F831" s="15" t="str">
        <f aca="false">IF(C831&gt;=J831,"ja","nein")</f>
        <v>ja</v>
      </c>
      <c r="G831" s="15" t="str">
        <f aca="false">IF(C831&gt;=K831,"ja","nein")</f>
        <v>nein</v>
      </c>
      <c r="H831" s="15" t="str">
        <f aca="false">IF(C831&gt;=L831,"ja","nein")</f>
        <v>nein</v>
      </c>
      <c r="I831" s="15" t="str">
        <f aca="false">IF(C831&gt;=M831,"ja","nein")</f>
        <v>nein</v>
      </c>
      <c r="J831" s="15" t="n">
        <f aca="false">ROUND(Annahmen!$K$35*(1+Annahmen!$B$20*D831/1000),0)</f>
        <v>843</v>
      </c>
      <c r="K831" s="15" t="n">
        <f aca="false">ROUND(Annahmen!$K$36*(1+Annahmen!$B$20*D831/1000),0)</f>
        <v>1095</v>
      </c>
      <c r="L831" s="15" t="n">
        <f aca="false">ROUND(Annahmen!$K$37*(1+Annahmen!$B$20*D831/1000),0)</f>
        <v>1119</v>
      </c>
      <c r="M831" s="15" t="n">
        <f aca="false">ROUND(Annahmen!$K$38*(1+Annahmen!$B$20*D831/1000),0)</f>
        <v>1119</v>
      </c>
      <c r="N831" s="16" t="s">
        <v>86</v>
      </c>
    </row>
    <row r="832" customFormat="false" ht="15" hidden="false" customHeight="false" outlineLevel="0" collapsed="false">
      <c r="A832" s="13" t="s">
        <v>1725</v>
      </c>
      <c r="B832" s="14" t="s">
        <v>1726</v>
      </c>
      <c r="C832" s="15" t="n">
        <v>1000</v>
      </c>
      <c r="D832" s="15" t="n">
        <v>300</v>
      </c>
      <c r="E832" s="13" t="s">
        <v>82</v>
      </c>
      <c r="F832" s="15" t="str">
        <f aca="false">IF(C832&gt;=J832,"ja","nein")</f>
        <v>ja</v>
      </c>
      <c r="G832" s="15" t="str">
        <f aca="false">IF(C832&gt;=K832,"ja","nein")</f>
        <v>nein</v>
      </c>
      <c r="H832" s="15" t="str">
        <f aca="false">IF(C832&gt;=L832,"ja","nein")</f>
        <v>nein</v>
      </c>
      <c r="I832" s="15" t="str">
        <f aca="false">IF(C832&gt;=M832,"ja","nein")</f>
        <v>nein</v>
      </c>
      <c r="J832" s="15" t="n">
        <f aca="false">ROUND(Annahmen!$K$35*(1+Annahmen!$B$20*D832/1000),0)</f>
        <v>863</v>
      </c>
      <c r="K832" s="15" t="n">
        <f aca="false">ROUND(Annahmen!$K$36*(1+Annahmen!$B$20*D832/1000),0)</f>
        <v>1120</v>
      </c>
      <c r="L832" s="15" t="n">
        <f aca="false">ROUND(Annahmen!$K$37*(1+Annahmen!$B$20*D832/1000),0)</f>
        <v>1145</v>
      </c>
      <c r="M832" s="15" t="n">
        <f aca="false">ROUND(Annahmen!$K$38*(1+Annahmen!$B$20*D832/1000),0)</f>
        <v>1145</v>
      </c>
      <c r="N832" s="16" t="s">
        <v>102</v>
      </c>
    </row>
    <row r="833" customFormat="false" ht="15" hidden="false" customHeight="false" outlineLevel="0" collapsed="false">
      <c r="A833" s="13" t="s">
        <v>1727</v>
      </c>
      <c r="B833" s="14" t="s">
        <v>1728</v>
      </c>
      <c r="C833" s="15" t="n">
        <v>1000</v>
      </c>
      <c r="D833" s="15" t="n">
        <v>490</v>
      </c>
      <c r="E833" s="13" t="s">
        <v>82</v>
      </c>
      <c r="F833" s="15" t="str">
        <f aca="false">IF(C833&gt;=J833,"ja","nein")</f>
        <v>ja</v>
      </c>
      <c r="G833" s="15" t="str">
        <f aca="false">IF(C833&gt;=K833,"ja","nein")</f>
        <v>nein</v>
      </c>
      <c r="H833" s="15" t="str">
        <f aca="false">IF(C833&gt;=L833,"ja","nein")</f>
        <v>nein</v>
      </c>
      <c r="I833" s="15" t="str">
        <f aca="false">IF(C833&gt;=M833,"ja","nein")</f>
        <v>nein</v>
      </c>
      <c r="J833" s="15" t="n">
        <f aca="false">ROUND(Annahmen!$K$35*(1+Annahmen!$B$20*D833/1000),0)</f>
        <v>877</v>
      </c>
      <c r="K833" s="15" t="n">
        <f aca="false">ROUND(Annahmen!$K$36*(1+Annahmen!$B$20*D833/1000),0)</f>
        <v>1139</v>
      </c>
      <c r="L833" s="15" t="n">
        <f aca="false">ROUND(Annahmen!$K$37*(1+Annahmen!$B$20*D833/1000),0)</f>
        <v>1164</v>
      </c>
      <c r="M833" s="15" t="n">
        <f aca="false">ROUND(Annahmen!$K$38*(1+Annahmen!$B$20*D833/1000),0)</f>
        <v>1164</v>
      </c>
      <c r="N833" s="16" t="s">
        <v>86</v>
      </c>
    </row>
    <row r="834" customFormat="false" ht="15" hidden="false" customHeight="false" outlineLevel="0" collapsed="false">
      <c r="A834" s="13" t="s">
        <v>1729</v>
      </c>
      <c r="B834" s="14" t="s">
        <v>1730</v>
      </c>
      <c r="C834" s="15" t="n">
        <v>999</v>
      </c>
      <c r="D834" s="15" t="n">
        <v>127</v>
      </c>
      <c r="E834" s="13" t="s">
        <v>82</v>
      </c>
      <c r="F834" s="15" t="str">
        <f aca="false">IF(C834&gt;=J834,"ja","nein")</f>
        <v>ja</v>
      </c>
      <c r="G834" s="15" t="str">
        <f aca="false">IF(C834&gt;=K834,"ja","nein")</f>
        <v>nein</v>
      </c>
      <c r="H834" s="15" t="str">
        <f aca="false">IF(C834&gt;=L834,"ja","nein")</f>
        <v>nein</v>
      </c>
      <c r="I834" s="15" t="str">
        <f aca="false">IF(C834&gt;=M834,"ja","nein")</f>
        <v>nein</v>
      </c>
      <c r="J834" s="15" t="n">
        <f aca="false">ROUND(Annahmen!$K$35*(1+Annahmen!$B$20*D834/1000),0)</f>
        <v>850</v>
      </c>
      <c r="K834" s="15" t="n">
        <f aca="false">ROUND(Annahmen!$K$36*(1+Annahmen!$B$20*D834/1000),0)</f>
        <v>1103</v>
      </c>
      <c r="L834" s="15" t="n">
        <f aca="false">ROUND(Annahmen!$K$37*(1+Annahmen!$B$20*D834/1000),0)</f>
        <v>1128</v>
      </c>
      <c r="M834" s="15" t="n">
        <f aca="false">ROUND(Annahmen!$K$38*(1+Annahmen!$B$20*D834/1000),0)</f>
        <v>1128</v>
      </c>
      <c r="N834" s="16" t="s">
        <v>86</v>
      </c>
    </row>
    <row r="835" customFormat="false" ht="15" hidden="false" customHeight="false" outlineLevel="0" collapsed="false">
      <c r="A835" s="13" t="s">
        <v>1731</v>
      </c>
      <c r="B835" s="14" t="s">
        <v>1732</v>
      </c>
      <c r="C835" s="15" t="n">
        <v>970</v>
      </c>
      <c r="D835" s="15" t="n">
        <v>196</v>
      </c>
      <c r="E835" s="13" t="s">
        <v>82</v>
      </c>
      <c r="F835" s="15" t="str">
        <f aca="false">IF(C835&gt;=J835,"ja","nein")</f>
        <v>ja</v>
      </c>
      <c r="G835" s="15" t="str">
        <f aca="false">IF(C835&gt;=K835,"ja","nein")</f>
        <v>nein</v>
      </c>
      <c r="H835" s="15" t="str">
        <f aca="false">IF(C835&gt;=L835,"ja","nein")</f>
        <v>nein</v>
      </c>
      <c r="I835" s="15" t="str">
        <f aca="false">IF(C835&gt;=M835,"ja","nein")</f>
        <v>nein</v>
      </c>
      <c r="J835" s="15" t="n">
        <f aca="false">ROUND(Annahmen!$K$35*(1+Annahmen!$B$20*D835/1000),0)</f>
        <v>855</v>
      </c>
      <c r="K835" s="15" t="n">
        <f aca="false">ROUND(Annahmen!$K$36*(1+Annahmen!$B$20*D835/1000),0)</f>
        <v>1110</v>
      </c>
      <c r="L835" s="15" t="n">
        <f aca="false">ROUND(Annahmen!$K$37*(1+Annahmen!$B$20*D835/1000),0)</f>
        <v>1135</v>
      </c>
      <c r="M835" s="15" t="n">
        <f aca="false">ROUND(Annahmen!$K$38*(1+Annahmen!$B$20*D835/1000),0)</f>
        <v>1135</v>
      </c>
      <c r="N835" s="16" t="s">
        <v>102</v>
      </c>
    </row>
    <row r="836" customFormat="false" ht="15" hidden="false" customHeight="false" outlineLevel="0" collapsed="false">
      <c r="A836" s="13" t="s">
        <v>1733</v>
      </c>
      <c r="B836" s="14" t="s">
        <v>1734</v>
      </c>
      <c r="C836" s="15" t="n">
        <v>969</v>
      </c>
      <c r="D836" s="15" t="n">
        <v>21</v>
      </c>
      <c r="E836" s="13" t="s">
        <v>82</v>
      </c>
      <c r="F836" s="15" t="str">
        <f aca="false">IF(C836&gt;=J836,"ja","nein")</f>
        <v>ja</v>
      </c>
      <c r="G836" s="15" t="str">
        <f aca="false">IF(C836&gt;=K836,"ja","nein")</f>
        <v>nein</v>
      </c>
      <c r="H836" s="15" t="str">
        <f aca="false">IF(C836&gt;=L836,"ja","nein")</f>
        <v>nein</v>
      </c>
      <c r="I836" s="15" t="str">
        <f aca="false">IF(C836&gt;=M836,"ja","nein")</f>
        <v>nein</v>
      </c>
      <c r="J836" s="15" t="n">
        <f aca="false">ROUND(Annahmen!$K$35*(1+Annahmen!$B$20*D836/1000),0)</f>
        <v>842</v>
      </c>
      <c r="K836" s="15" t="n">
        <f aca="false">ROUND(Annahmen!$K$36*(1+Annahmen!$B$20*D836/1000),0)</f>
        <v>1093</v>
      </c>
      <c r="L836" s="15" t="n">
        <f aca="false">ROUND(Annahmen!$K$37*(1+Annahmen!$B$20*D836/1000),0)</f>
        <v>1117</v>
      </c>
      <c r="M836" s="15" t="n">
        <f aca="false">ROUND(Annahmen!$K$38*(1+Annahmen!$B$20*D836/1000),0)</f>
        <v>1117</v>
      </c>
      <c r="N836" s="16" t="s">
        <v>102</v>
      </c>
    </row>
    <row r="837" customFormat="false" ht="15" hidden="false" customHeight="false" outlineLevel="0" collapsed="false">
      <c r="A837" s="13" t="s">
        <v>1735</v>
      </c>
      <c r="B837" s="14" t="s">
        <v>1736</v>
      </c>
      <c r="C837" s="15" t="n">
        <v>960</v>
      </c>
      <c r="D837" s="15" t="n">
        <v>1633</v>
      </c>
      <c r="E837" s="13" t="s">
        <v>82</v>
      </c>
      <c r="F837" s="15" t="str">
        <f aca="false">IF(C837&gt;=J837,"ja","nein")</f>
        <v>nein</v>
      </c>
      <c r="G837" s="15" t="str">
        <f aca="false">IF(C837&gt;=K837,"ja","nein")</f>
        <v>nein</v>
      </c>
      <c r="H837" s="15" t="str">
        <f aca="false">IF(C837&gt;=L837,"ja","nein")</f>
        <v>nein</v>
      </c>
      <c r="I837" s="15" t="str">
        <f aca="false">IF(C837&gt;=M837,"ja","nein")</f>
        <v>nein</v>
      </c>
      <c r="J837" s="15" t="n">
        <f aca="false">ROUND(Annahmen!$K$35*(1+Annahmen!$B$20*D837/1000),0)</f>
        <v>963</v>
      </c>
      <c r="K837" s="15" t="n">
        <f aca="false">ROUND(Annahmen!$K$36*(1+Annahmen!$B$20*D837/1000),0)</f>
        <v>1251</v>
      </c>
      <c r="L837" s="15" t="n">
        <f aca="false">ROUND(Annahmen!$K$37*(1+Annahmen!$B$20*D837/1000),0)</f>
        <v>1279</v>
      </c>
      <c r="M837" s="15" t="n">
        <f aca="false">ROUND(Annahmen!$K$38*(1+Annahmen!$B$20*D837/1000),0)</f>
        <v>1279</v>
      </c>
      <c r="N837" s="16" t="s">
        <v>102</v>
      </c>
    </row>
    <row r="838" customFormat="false" ht="15" hidden="false" customHeight="false" outlineLevel="0" collapsed="false">
      <c r="A838" s="13" t="s">
        <v>1737</v>
      </c>
      <c r="B838" s="14" t="s">
        <v>1738</v>
      </c>
      <c r="C838" s="15" t="n">
        <v>946</v>
      </c>
      <c r="D838" s="15" t="n">
        <v>27</v>
      </c>
      <c r="E838" s="13" t="s">
        <v>82</v>
      </c>
      <c r="F838" s="15" t="str">
        <f aca="false">IF(C838&gt;=J838,"ja","nein")</f>
        <v>ja</v>
      </c>
      <c r="G838" s="15" t="str">
        <f aca="false">IF(C838&gt;=K838,"ja","nein")</f>
        <v>nein</v>
      </c>
      <c r="H838" s="15" t="str">
        <f aca="false">IF(C838&gt;=L838,"ja","nein")</f>
        <v>nein</v>
      </c>
      <c r="I838" s="15" t="str">
        <f aca="false">IF(C838&gt;=M838,"ja","nein")</f>
        <v>nein</v>
      </c>
      <c r="J838" s="15" t="n">
        <f aca="false">ROUND(Annahmen!$K$35*(1+Annahmen!$B$20*D838/1000),0)</f>
        <v>842</v>
      </c>
      <c r="K838" s="15" t="n">
        <f aca="false">ROUND(Annahmen!$K$36*(1+Annahmen!$B$20*D838/1000),0)</f>
        <v>1094</v>
      </c>
      <c r="L838" s="15" t="n">
        <f aca="false">ROUND(Annahmen!$K$37*(1+Annahmen!$B$20*D838/1000),0)</f>
        <v>1118</v>
      </c>
      <c r="M838" s="15" t="n">
        <f aca="false">ROUND(Annahmen!$K$38*(1+Annahmen!$B$20*D838/1000),0)</f>
        <v>1118</v>
      </c>
      <c r="N838" s="16" t="s">
        <v>86</v>
      </c>
    </row>
    <row r="839" customFormat="false" ht="15" hidden="false" customHeight="false" outlineLevel="0" collapsed="false">
      <c r="A839" s="13" t="s">
        <v>1739</v>
      </c>
      <c r="B839" s="14" t="s">
        <v>1740</v>
      </c>
      <c r="C839" s="15" t="n">
        <v>940</v>
      </c>
      <c r="D839" s="15" t="n">
        <v>1046</v>
      </c>
      <c r="E839" s="13" t="s">
        <v>82</v>
      </c>
      <c r="F839" s="15" t="str">
        <f aca="false">IF(C839&gt;=J839,"ja","nein")</f>
        <v>ja</v>
      </c>
      <c r="G839" s="15" t="str">
        <f aca="false">IF(C839&gt;=K839,"ja","nein")</f>
        <v>nein</v>
      </c>
      <c r="H839" s="15" t="str">
        <f aca="false">IF(C839&gt;=L839,"ja","nein")</f>
        <v>nein</v>
      </c>
      <c r="I839" s="15" t="str">
        <f aca="false">IF(C839&gt;=M839,"ja","nein")</f>
        <v>nein</v>
      </c>
      <c r="J839" s="15" t="n">
        <f aca="false">ROUND(Annahmen!$K$35*(1+Annahmen!$B$20*D839/1000),0)</f>
        <v>919</v>
      </c>
      <c r="K839" s="15" t="n">
        <f aca="false">ROUND(Annahmen!$K$36*(1+Annahmen!$B$20*D839/1000),0)</f>
        <v>1194</v>
      </c>
      <c r="L839" s="15" t="n">
        <f aca="false">ROUND(Annahmen!$K$37*(1+Annahmen!$B$20*D839/1000),0)</f>
        <v>1220</v>
      </c>
      <c r="M839" s="15" t="n">
        <f aca="false">ROUND(Annahmen!$K$38*(1+Annahmen!$B$20*D839/1000),0)</f>
        <v>1220</v>
      </c>
      <c r="N839" s="16" t="s">
        <v>102</v>
      </c>
    </row>
    <row r="840" customFormat="false" ht="15" hidden="false" customHeight="false" outlineLevel="0" collapsed="false">
      <c r="A840" s="13" t="s">
        <v>1741</v>
      </c>
      <c r="B840" s="14" t="s">
        <v>1742</v>
      </c>
      <c r="C840" s="15" t="n">
        <v>936</v>
      </c>
      <c r="D840" s="15" t="n">
        <v>1830</v>
      </c>
      <c r="E840" s="13" t="s">
        <v>82</v>
      </c>
      <c r="F840" s="15" t="str">
        <f aca="false">IF(C840&gt;=J840,"ja","nein")</f>
        <v>nein</v>
      </c>
      <c r="G840" s="15" t="str">
        <f aca="false">IF(C840&gt;=K840,"ja","nein")</f>
        <v>nein</v>
      </c>
      <c r="H840" s="15" t="str">
        <f aca="false">IF(C840&gt;=L840,"ja","nein")</f>
        <v>nein</v>
      </c>
      <c r="I840" s="15" t="str">
        <f aca="false">IF(C840&gt;=M840,"ja","nein")</f>
        <v>nein</v>
      </c>
      <c r="J840" s="15" t="n">
        <f aca="false">ROUND(Annahmen!$K$35*(1+Annahmen!$B$20*D840/1000),0)</f>
        <v>978</v>
      </c>
      <c r="K840" s="15" t="n">
        <f aca="false">ROUND(Annahmen!$K$36*(1+Annahmen!$B$20*D840/1000),0)</f>
        <v>1271</v>
      </c>
      <c r="L840" s="15" t="n">
        <f aca="false">ROUND(Annahmen!$K$37*(1+Annahmen!$B$20*D840/1000),0)</f>
        <v>1299</v>
      </c>
      <c r="M840" s="15" t="n">
        <f aca="false">ROUND(Annahmen!$K$38*(1+Annahmen!$B$20*D840/1000),0)</f>
        <v>1299</v>
      </c>
      <c r="N840" s="16" t="s">
        <v>102</v>
      </c>
    </row>
    <row r="841" customFormat="false" ht="15" hidden="false" customHeight="false" outlineLevel="0" collapsed="false">
      <c r="A841" s="13" t="s">
        <v>1743</v>
      </c>
      <c r="B841" s="14" t="s">
        <v>1744</v>
      </c>
      <c r="C841" s="15" t="n">
        <v>933</v>
      </c>
      <c r="D841" s="15" t="n">
        <v>266</v>
      </c>
      <c r="E841" s="13" t="s">
        <v>82</v>
      </c>
      <c r="F841" s="15" t="str">
        <f aca="false">IF(C841&gt;=J841,"ja","nein")</f>
        <v>ja</v>
      </c>
      <c r="G841" s="15" t="str">
        <f aca="false">IF(C841&gt;=K841,"ja","nein")</f>
        <v>nein</v>
      </c>
      <c r="H841" s="15" t="str">
        <f aca="false">IF(C841&gt;=L841,"ja","nein")</f>
        <v>nein</v>
      </c>
      <c r="I841" s="15" t="str">
        <f aca="false">IF(C841&gt;=M841,"ja","nein")</f>
        <v>nein</v>
      </c>
      <c r="J841" s="15" t="n">
        <f aca="false">ROUND(Annahmen!$K$35*(1+Annahmen!$B$20*D841/1000),0)</f>
        <v>860</v>
      </c>
      <c r="K841" s="15" t="n">
        <f aca="false">ROUND(Annahmen!$K$36*(1+Annahmen!$B$20*D841/1000),0)</f>
        <v>1117</v>
      </c>
      <c r="L841" s="15" t="n">
        <f aca="false">ROUND(Annahmen!$K$37*(1+Annahmen!$B$20*D841/1000),0)</f>
        <v>1142</v>
      </c>
      <c r="M841" s="15" t="n">
        <f aca="false">ROUND(Annahmen!$K$38*(1+Annahmen!$B$20*D841/1000),0)</f>
        <v>1142</v>
      </c>
      <c r="N841" s="16" t="s">
        <v>86</v>
      </c>
    </row>
    <row r="842" customFormat="false" ht="15" hidden="false" customHeight="false" outlineLevel="0" collapsed="false">
      <c r="A842" s="13" t="s">
        <v>1745</v>
      </c>
      <c r="B842" s="14" t="s">
        <v>1746</v>
      </c>
      <c r="C842" s="15" t="n">
        <v>927</v>
      </c>
      <c r="D842" s="15" t="n">
        <v>50</v>
      </c>
      <c r="E842" s="13" t="s">
        <v>82</v>
      </c>
      <c r="F842" s="15" t="str">
        <f aca="false">IF(C842&gt;=J842,"ja","nein")</f>
        <v>ja</v>
      </c>
      <c r="G842" s="15" t="str">
        <f aca="false">IF(C842&gt;=K842,"ja","nein")</f>
        <v>nein</v>
      </c>
      <c r="H842" s="15" t="str">
        <f aca="false">IF(C842&gt;=L842,"ja","nein")</f>
        <v>nein</v>
      </c>
      <c r="I842" s="15" t="str">
        <f aca="false">IF(C842&gt;=M842,"ja","nein")</f>
        <v>nein</v>
      </c>
      <c r="J842" s="15" t="n">
        <f aca="false">ROUND(Annahmen!$K$35*(1+Annahmen!$B$20*D842/1000),0)</f>
        <v>844</v>
      </c>
      <c r="K842" s="15" t="n">
        <f aca="false">ROUND(Annahmen!$K$36*(1+Annahmen!$B$20*D842/1000),0)</f>
        <v>1096</v>
      </c>
      <c r="L842" s="15" t="n">
        <f aca="false">ROUND(Annahmen!$K$37*(1+Annahmen!$B$20*D842/1000),0)</f>
        <v>1120</v>
      </c>
      <c r="M842" s="15" t="n">
        <f aca="false">ROUND(Annahmen!$K$38*(1+Annahmen!$B$20*D842/1000),0)</f>
        <v>1120</v>
      </c>
      <c r="N842" s="16" t="s">
        <v>102</v>
      </c>
    </row>
    <row r="843" customFormat="false" ht="15" hidden="false" customHeight="false" outlineLevel="0" collapsed="false">
      <c r="A843" s="13" t="s">
        <v>1747</v>
      </c>
      <c r="B843" s="14" t="s">
        <v>1748</v>
      </c>
      <c r="C843" s="15" t="n">
        <v>924</v>
      </c>
      <c r="D843" s="15" t="n">
        <v>11</v>
      </c>
      <c r="E843" s="13" t="s">
        <v>82</v>
      </c>
      <c r="F843" s="15" t="str">
        <f aca="false">IF(C843&gt;=J843,"ja","nein")</f>
        <v>ja</v>
      </c>
      <c r="G843" s="15" t="str">
        <f aca="false">IF(C843&gt;=K843,"ja","nein")</f>
        <v>nein</v>
      </c>
      <c r="H843" s="15" t="str">
        <f aca="false">IF(C843&gt;=L843,"ja","nein")</f>
        <v>nein</v>
      </c>
      <c r="I843" s="15" t="str">
        <f aca="false">IF(C843&gt;=M843,"ja","nein")</f>
        <v>nein</v>
      </c>
      <c r="J843" s="15" t="n">
        <f aca="false">ROUND(Annahmen!$K$35*(1+Annahmen!$B$20*D843/1000),0)</f>
        <v>841</v>
      </c>
      <c r="K843" s="15" t="n">
        <f aca="false">ROUND(Annahmen!$K$36*(1+Annahmen!$B$20*D843/1000),0)</f>
        <v>1092</v>
      </c>
      <c r="L843" s="15" t="n">
        <f aca="false">ROUND(Annahmen!$K$37*(1+Annahmen!$B$20*D843/1000),0)</f>
        <v>1116</v>
      </c>
      <c r="M843" s="15" t="n">
        <f aca="false">ROUND(Annahmen!$K$38*(1+Annahmen!$B$20*D843/1000),0)</f>
        <v>1116</v>
      </c>
      <c r="N843" s="16" t="s">
        <v>86</v>
      </c>
    </row>
    <row r="844" customFormat="false" ht="15" hidden="false" customHeight="false" outlineLevel="0" collapsed="false">
      <c r="A844" s="13" t="s">
        <v>1749</v>
      </c>
      <c r="B844" s="14" t="s">
        <v>1750</v>
      </c>
      <c r="C844" s="15" t="n">
        <v>919</v>
      </c>
      <c r="D844" s="15" t="n">
        <v>237</v>
      </c>
      <c r="E844" s="13" t="s">
        <v>82</v>
      </c>
      <c r="F844" s="15" t="str">
        <f aca="false">IF(C844&gt;=J844,"ja","nein")</f>
        <v>ja</v>
      </c>
      <c r="G844" s="15" t="str">
        <f aca="false">IF(C844&gt;=K844,"ja","nein")</f>
        <v>nein</v>
      </c>
      <c r="H844" s="15" t="str">
        <f aca="false">IF(C844&gt;=L844,"ja","nein")</f>
        <v>nein</v>
      </c>
      <c r="I844" s="15" t="str">
        <f aca="false">IF(C844&gt;=M844,"ja","nein")</f>
        <v>nein</v>
      </c>
      <c r="J844" s="15" t="n">
        <f aca="false">ROUND(Annahmen!$K$35*(1+Annahmen!$B$20*D844/1000),0)</f>
        <v>858</v>
      </c>
      <c r="K844" s="15" t="n">
        <f aca="false">ROUND(Annahmen!$K$36*(1+Annahmen!$B$20*D844/1000),0)</f>
        <v>1114</v>
      </c>
      <c r="L844" s="15" t="n">
        <f aca="false">ROUND(Annahmen!$K$37*(1+Annahmen!$B$20*D844/1000),0)</f>
        <v>1139</v>
      </c>
      <c r="M844" s="15" t="n">
        <f aca="false">ROUND(Annahmen!$K$38*(1+Annahmen!$B$20*D844/1000),0)</f>
        <v>1139</v>
      </c>
      <c r="N844" s="16" t="s">
        <v>86</v>
      </c>
    </row>
    <row r="845" customFormat="false" ht="15" hidden="false" customHeight="false" outlineLevel="0" collapsed="false">
      <c r="A845" s="13" t="s">
        <v>1751</v>
      </c>
      <c r="B845" s="14" t="s">
        <v>1752</v>
      </c>
      <c r="C845" s="15" t="n">
        <v>919</v>
      </c>
      <c r="D845" s="15" t="n">
        <v>16</v>
      </c>
      <c r="E845" s="13" t="s">
        <v>82</v>
      </c>
      <c r="F845" s="15" t="str">
        <f aca="false">IF(C845&gt;=J845,"ja","nein")</f>
        <v>ja</v>
      </c>
      <c r="G845" s="15" t="str">
        <f aca="false">IF(C845&gt;=K845,"ja","nein")</f>
        <v>nein</v>
      </c>
      <c r="H845" s="15" t="str">
        <f aca="false">IF(C845&gt;=L845,"ja","nein")</f>
        <v>nein</v>
      </c>
      <c r="I845" s="15" t="str">
        <f aca="false">IF(C845&gt;=M845,"ja","nein")</f>
        <v>nein</v>
      </c>
      <c r="J845" s="15" t="n">
        <f aca="false">ROUND(Annahmen!$K$35*(1+Annahmen!$B$20*D845/1000),0)</f>
        <v>841</v>
      </c>
      <c r="K845" s="15" t="n">
        <f aca="false">ROUND(Annahmen!$K$36*(1+Annahmen!$B$20*D845/1000),0)</f>
        <v>1093</v>
      </c>
      <c r="L845" s="15" t="n">
        <f aca="false">ROUND(Annahmen!$K$37*(1+Annahmen!$B$20*D845/1000),0)</f>
        <v>1117</v>
      </c>
      <c r="M845" s="15" t="n">
        <f aca="false">ROUND(Annahmen!$K$38*(1+Annahmen!$B$20*D845/1000),0)</f>
        <v>1117</v>
      </c>
      <c r="N845" s="16" t="s">
        <v>86</v>
      </c>
    </row>
    <row r="846" customFormat="false" ht="15" hidden="false" customHeight="false" outlineLevel="0" collapsed="false">
      <c r="A846" s="13" t="s">
        <v>1753</v>
      </c>
      <c r="B846" s="14" t="s">
        <v>1754</v>
      </c>
      <c r="C846" s="15" t="n">
        <v>886</v>
      </c>
      <c r="D846" s="15" t="n">
        <v>710</v>
      </c>
      <c r="E846" s="13" t="s">
        <v>82</v>
      </c>
      <c r="F846" s="15" t="str">
        <f aca="false">IF(C846&gt;=J846,"ja","nein")</f>
        <v>nein</v>
      </c>
      <c r="G846" s="15" t="str">
        <f aca="false">IF(C846&gt;=K846,"ja","nein")</f>
        <v>nein</v>
      </c>
      <c r="H846" s="15" t="str">
        <f aca="false">IF(C846&gt;=L846,"ja","nein")</f>
        <v>nein</v>
      </c>
      <c r="I846" s="15" t="str">
        <f aca="false">IF(C846&gt;=M846,"ja","nein")</f>
        <v>nein</v>
      </c>
      <c r="J846" s="15" t="n">
        <f aca="false">ROUND(Annahmen!$K$35*(1+Annahmen!$B$20*D846/1000),0)</f>
        <v>894</v>
      </c>
      <c r="K846" s="15" t="n">
        <f aca="false">ROUND(Annahmen!$K$36*(1+Annahmen!$B$20*D846/1000),0)</f>
        <v>1161</v>
      </c>
      <c r="L846" s="15" t="n">
        <f aca="false">ROUND(Annahmen!$K$37*(1+Annahmen!$B$20*D846/1000),0)</f>
        <v>1186</v>
      </c>
      <c r="M846" s="15" t="n">
        <f aca="false">ROUND(Annahmen!$K$38*(1+Annahmen!$B$20*D846/1000),0)</f>
        <v>1186</v>
      </c>
      <c r="N846" s="16" t="s">
        <v>102</v>
      </c>
    </row>
    <row r="847" customFormat="false" ht="15" hidden="false" customHeight="false" outlineLevel="0" collapsed="false">
      <c r="A847" s="13" t="s">
        <v>1755</v>
      </c>
      <c r="B847" s="14" t="s">
        <v>1756</v>
      </c>
      <c r="C847" s="15" t="n">
        <v>880</v>
      </c>
      <c r="D847" s="15" t="n">
        <v>44</v>
      </c>
      <c r="E847" s="13" t="s">
        <v>82</v>
      </c>
      <c r="F847" s="15" t="str">
        <f aca="false">IF(C847&gt;=J847,"ja","nein")</f>
        <v>ja</v>
      </c>
      <c r="G847" s="15" t="str">
        <f aca="false">IF(C847&gt;=K847,"ja","nein")</f>
        <v>nein</v>
      </c>
      <c r="H847" s="15" t="str">
        <f aca="false">IF(C847&gt;=L847,"ja","nein")</f>
        <v>nein</v>
      </c>
      <c r="I847" s="15" t="str">
        <f aca="false">IF(C847&gt;=M847,"ja","nein")</f>
        <v>nein</v>
      </c>
      <c r="J847" s="15" t="n">
        <f aca="false">ROUND(Annahmen!$K$35*(1+Annahmen!$B$20*D847/1000),0)</f>
        <v>843</v>
      </c>
      <c r="K847" s="15" t="n">
        <f aca="false">ROUND(Annahmen!$K$36*(1+Annahmen!$B$20*D847/1000),0)</f>
        <v>1095</v>
      </c>
      <c r="L847" s="15" t="n">
        <f aca="false">ROUND(Annahmen!$K$37*(1+Annahmen!$B$20*D847/1000),0)</f>
        <v>1119</v>
      </c>
      <c r="M847" s="15" t="n">
        <f aca="false">ROUND(Annahmen!$K$38*(1+Annahmen!$B$20*D847/1000),0)</f>
        <v>1119</v>
      </c>
      <c r="N847" s="16" t="s">
        <v>86</v>
      </c>
    </row>
    <row r="848" customFormat="false" ht="15" hidden="false" customHeight="false" outlineLevel="0" collapsed="false">
      <c r="A848" s="13" t="s">
        <v>1757</v>
      </c>
      <c r="B848" s="14" t="s">
        <v>1758</v>
      </c>
      <c r="C848" s="15" t="n">
        <v>880</v>
      </c>
      <c r="D848" s="15" t="n">
        <v>39</v>
      </c>
      <c r="E848" s="13" t="s">
        <v>82</v>
      </c>
      <c r="F848" s="15" t="str">
        <f aca="false">IF(C848&gt;=J848,"ja","nein")</f>
        <v>ja</v>
      </c>
      <c r="G848" s="15" t="str">
        <f aca="false">IF(C848&gt;=K848,"ja","nein")</f>
        <v>nein</v>
      </c>
      <c r="H848" s="15" t="str">
        <f aca="false">IF(C848&gt;=L848,"ja","nein")</f>
        <v>nein</v>
      </c>
      <c r="I848" s="15" t="str">
        <f aca="false">IF(C848&gt;=M848,"ja","nein")</f>
        <v>nein</v>
      </c>
      <c r="J848" s="15" t="n">
        <f aca="false">ROUND(Annahmen!$K$35*(1+Annahmen!$B$20*D848/1000),0)</f>
        <v>843</v>
      </c>
      <c r="K848" s="15" t="n">
        <f aca="false">ROUND(Annahmen!$K$36*(1+Annahmen!$B$20*D848/1000),0)</f>
        <v>1095</v>
      </c>
      <c r="L848" s="15" t="n">
        <f aca="false">ROUND(Annahmen!$K$37*(1+Annahmen!$B$20*D848/1000),0)</f>
        <v>1119</v>
      </c>
      <c r="M848" s="15" t="n">
        <f aca="false">ROUND(Annahmen!$K$38*(1+Annahmen!$B$20*D848/1000),0)</f>
        <v>1119</v>
      </c>
      <c r="N848" s="16" t="s">
        <v>86</v>
      </c>
    </row>
    <row r="849" customFormat="false" ht="15" hidden="false" customHeight="false" outlineLevel="0" collapsed="false">
      <c r="A849" s="13" t="s">
        <v>1759</v>
      </c>
      <c r="B849" s="14" t="s">
        <v>1760</v>
      </c>
      <c r="C849" s="15" t="n">
        <v>880</v>
      </c>
      <c r="D849" s="15" t="n">
        <v>14</v>
      </c>
      <c r="E849" s="13" t="s">
        <v>82</v>
      </c>
      <c r="F849" s="15" t="str">
        <f aca="false">IF(C849&gt;=J849,"ja","nein")</f>
        <v>ja</v>
      </c>
      <c r="G849" s="15" t="str">
        <f aca="false">IF(C849&gt;=K849,"ja","nein")</f>
        <v>nein</v>
      </c>
      <c r="H849" s="15" t="str">
        <f aca="false">IF(C849&gt;=L849,"ja","nein")</f>
        <v>nein</v>
      </c>
      <c r="I849" s="15" t="str">
        <f aca="false">IF(C849&gt;=M849,"ja","nein")</f>
        <v>nein</v>
      </c>
      <c r="J849" s="15" t="n">
        <f aca="false">ROUND(Annahmen!$K$35*(1+Annahmen!$B$20*D849/1000),0)</f>
        <v>841</v>
      </c>
      <c r="K849" s="15" t="n">
        <f aca="false">ROUND(Annahmen!$K$36*(1+Annahmen!$B$20*D849/1000),0)</f>
        <v>1092</v>
      </c>
      <c r="L849" s="15" t="n">
        <f aca="false">ROUND(Annahmen!$K$37*(1+Annahmen!$B$20*D849/1000),0)</f>
        <v>1116</v>
      </c>
      <c r="M849" s="15" t="n">
        <f aca="false">ROUND(Annahmen!$K$38*(1+Annahmen!$B$20*D849/1000),0)</f>
        <v>1116</v>
      </c>
      <c r="N849" s="16" t="s">
        <v>86</v>
      </c>
    </row>
    <row r="850" customFormat="false" ht="15" hidden="false" customHeight="false" outlineLevel="0" collapsed="false">
      <c r="A850" s="13" t="s">
        <v>1761</v>
      </c>
      <c r="B850" s="14" t="s">
        <v>1762</v>
      </c>
      <c r="C850" s="15" t="n">
        <v>878</v>
      </c>
      <c r="D850" s="15" t="n">
        <v>78</v>
      </c>
      <c r="E850" s="13" t="s">
        <v>82</v>
      </c>
      <c r="F850" s="15" t="str">
        <f aca="false">IF(C850&gt;=J850,"ja","nein")</f>
        <v>ja</v>
      </c>
      <c r="G850" s="15" t="str">
        <f aca="false">IF(C850&gt;=K850,"ja","nein")</f>
        <v>nein</v>
      </c>
      <c r="H850" s="15" t="str">
        <f aca="false">IF(C850&gt;=L850,"ja","nein")</f>
        <v>nein</v>
      </c>
      <c r="I850" s="15" t="str">
        <f aca="false">IF(C850&gt;=M850,"ja","nein")</f>
        <v>nein</v>
      </c>
      <c r="J850" s="15" t="n">
        <f aca="false">ROUND(Annahmen!$K$35*(1+Annahmen!$B$20*D850/1000),0)</f>
        <v>846</v>
      </c>
      <c r="K850" s="15" t="n">
        <f aca="false">ROUND(Annahmen!$K$36*(1+Annahmen!$B$20*D850/1000),0)</f>
        <v>1099</v>
      </c>
      <c r="L850" s="15" t="n">
        <f aca="false">ROUND(Annahmen!$K$37*(1+Annahmen!$B$20*D850/1000),0)</f>
        <v>1123</v>
      </c>
      <c r="M850" s="15" t="n">
        <f aca="false">ROUND(Annahmen!$K$38*(1+Annahmen!$B$20*D850/1000),0)</f>
        <v>1123</v>
      </c>
      <c r="N850" s="16" t="s">
        <v>86</v>
      </c>
    </row>
    <row r="851" customFormat="false" ht="15" hidden="false" customHeight="false" outlineLevel="0" collapsed="false">
      <c r="A851" s="13" t="s">
        <v>1763</v>
      </c>
      <c r="B851" s="14" t="s">
        <v>1764</v>
      </c>
      <c r="C851" s="15" t="n">
        <v>841</v>
      </c>
      <c r="D851" s="15" t="n">
        <v>229</v>
      </c>
      <c r="E851" s="13" t="s">
        <v>82</v>
      </c>
      <c r="F851" s="15" t="str">
        <f aca="false">IF(C851&gt;=J851,"ja","nein")</f>
        <v>nein</v>
      </c>
      <c r="G851" s="15" t="str">
        <f aca="false">IF(C851&gt;=K851,"ja","nein")</f>
        <v>nein</v>
      </c>
      <c r="H851" s="15" t="str">
        <f aca="false">IF(C851&gt;=L851,"ja","nein")</f>
        <v>nein</v>
      </c>
      <c r="I851" s="15" t="str">
        <f aca="false">IF(C851&gt;=M851,"ja","nein")</f>
        <v>nein</v>
      </c>
      <c r="J851" s="15" t="n">
        <f aca="false">ROUND(Annahmen!$K$35*(1+Annahmen!$B$20*D851/1000),0)</f>
        <v>857</v>
      </c>
      <c r="K851" s="15" t="n">
        <f aca="false">ROUND(Annahmen!$K$36*(1+Annahmen!$B$20*D851/1000),0)</f>
        <v>1113</v>
      </c>
      <c r="L851" s="15" t="n">
        <f aca="false">ROUND(Annahmen!$K$37*(1+Annahmen!$B$20*D851/1000),0)</f>
        <v>1138</v>
      </c>
      <c r="M851" s="15" t="n">
        <f aca="false">ROUND(Annahmen!$K$38*(1+Annahmen!$B$20*D851/1000),0)</f>
        <v>1138</v>
      </c>
      <c r="N851" s="16" t="s">
        <v>86</v>
      </c>
    </row>
    <row r="852" customFormat="false" ht="15" hidden="false" customHeight="false" outlineLevel="0" collapsed="false">
      <c r="A852" s="13" t="s">
        <v>1765</v>
      </c>
      <c r="B852" s="14" t="s">
        <v>1766</v>
      </c>
      <c r="C852" s="15" t="n">
        <v>838</v>
      </c>
      <c r="D852" s="15" t="n">
        <v>7</v>
      </c>
      <c r="E852" s="13" t="s">
        <v>82</v>
      </c>
      <c r="F852" s="15" t="str">
        <f aca="false">IF(C852&gt;=J852,"ja","nein")</f>
        <v>nein</v>
      </c>
      <c r="G852" s="15" t="str">
        <f aca="false">IF(C852&gt;=K852,"ja","nein")</f>
        <v>nein</v>
      </c>
      <c r="H852" s="15" t="str">
        <f aca="false">IF(C852&gt;=L852,"ja","nein")</f>
        <v>nein</v>
      </c>
      <c r="I852" s="15" t="str">
        <f aca="false">IF(C852&gt;=M852,"ja","nein")</f>
        <v>nein</v>
      </c>
      <c r="J852" s="15" t="n">
        <f aca="false">ROUND(Annahmen!$K$35*(1+Annahmen!$B$20*D852/1000),0)</f>
        <v>841</v>
      </c>
      <c r="K852" s="15" t="n">
        <f aca="false">ROUND(Annahmen!$K$36*(1+Annahmen!$B$20*D852/1000),0)</f>
        <v>1092</v>
      </c>
      <c r="L852" s="15" t="n">
        <f aca="false">ROUND(Annahmen!$K$37*(1+Annahmen!$B$20*D852/1000),0)</f>
        <v>1116</v>
      </c>
      <c r="M852" s="15" t="n">
        <f aca="false">ROUND(Annahmen!$K$38*(1+Annahmen!$B$20*D852/1000),0)</f>
        <v>1116</v>
      </c>
      <c r="N852" s="16" t="s">
        <v>102</v>
      </c>
    </row>
    <row r="853" customFormat="false" ht="15" hidden="false" customHeight="false" outlineLevel="0" collapsed="false">
      <c r="A853" s="13" t="s">
        <v>1767</v>
      </c>
      <c r="B853" s="14" t="s">
        <v>1768</v>
      </c>
      <c r="C853" s="15" t="n">
        <v>835</v>
      </c>
      <c r="D853" s="15" t="n">
        <v>1915</v>
      </c>
      <c r="E853" s="13" t="s">
        <v>82</v>
      </c>
      <c r="F853" s="15" t="str">
        <f aca="false">IF(C853&gt;=J853,"ja","nein")</f>
        <v>nein</v>
      </c>
      <c r="G853" s="15" t="str">
        <f aca="false">IF(C853&gt;=K853,"ja","nein")</f>
        <v>nein</v>
      </c>
      <c r="H853" s="15" t="str">
        <f aca="false">IF(C853&gt;=L853,"ja","nein")</f>
        <v>nein</v>
      </c>
      <c r="I853" s="15" t="str">
        <f aca="false">IF(C853&gt;=M853,"ja","nein")</f>
        <v>nein</v>
      </c>
      <c r="J853" s="15" t="n">
        <f aca="false">ROUND(Annahmen!$K$35*(1+Annahmen!$B$20*D853/1000),0)</f>
        <v>985</v>
      </c>
      <c r="K853" s="15" t="n">
        <f aca="false">ROUND(Annahmen!$K$36*(1+Annahmen!$B$20*D853/1000),0)</f>
        <v>1279</v>
      </c>
      <c r="L853" s="15" t="n">
        <f aca="false">ROUND(Annahmen!$K$37*(1+Annahmen!$B$20*D853/1000),0)</f>
        <v>1307</v>
      </c>
      <c r="M853" s="15" t="n">
        <f aca="false">ROUND(Annahmen!$K$38*(1+Annahmen!$B$20*D853/1000),0)</f>
        <v>1307</v>
      </c>
      <c r="N853" s="16" t="s">
        <v>102</v>
      </c>
    </row>
    <row r="854" customFormat="false" ht="15" hidden="false" customHeight="false" outlineLevel="0" collapsed="false">
      <c r="A854" s="13" t="s">
        <v>1769</v>
      </c>
      <c r="B854" s="14" t="s">
        <v>1770</v>
      </c>
      <c r="C854" s="15" t="n">
        <v>800</v>
      </c>
      <c r="D854" s="15" t="n">
        <v>152</v>
      </c>
      <c r="E854" s="13" t="s">
        <v>82</v>
      </c>
      <c r="F854" s="15" t="str">
        <f aca="false">IF(C854&gt;=J854,"ja","nein")</f>
        <v>nein</v>
      </c>
      <c r="G854" s="15" t="str">
        <f aca="false">IF(C854&gt;=K854,"ja","nein")</f>
        <v>nein</v>
      </c>
      <c r="H854" s="15" t="str">
        <f aca="false">IF(C854&gt;=L854,"ja","nein")</f>
        <v>nein</v>
      </c>
      <c r="I854" s="15" t="str">
        <f aca="false">IF(C854&gt;=M854,"ja","nein")</f>
        <v>nein</v>
      </c>
      <c r="J854" s="15" t="n">
        <f aca="false">ROUND(Annahmen!$K$35*(1+Annahmen!$B$20*D854/1000),0)</f>
        <v>851</v>
      </c>
      <c r="K854" s="15" t="n">
        <f aca="false">ROUND(Annahmen!$K$36*(1+Annahmen!$B$20*D854/1000),0)</f>
        <v>1106</v>
      </c>
      <c r="L854" s="15" t="n">
        <f aca="false">ROUND(Annahmen!$K$37*(1+Annahmen!$B$20*D854/1000),0)</f>
        <v>1130</v>
      </c>
      <c r="M854" s="15" t="n">
        <f aca="false">ROUND(Annahmen!$K$38*(1+Annahmen!$B$20*D854/1000),0)</f>
        <v>1130</v>
      </c>
      <c r="N854" s="16" t="s">
        <v>102</v>
      </c>
    </row>
    <row r="855" customFormat="false" ht="15" hidden="false" customHeight="false" outlineLevel="0" collapsed="false">
      <c r="A855" s="13" t="s">
        <v>1771</v>
      </c>
      <c r="B855" s="14" t="s">
        <v>1772</v>
      </c>
      <c r="C855" s="15" t="n">
        <v>800</v>
      </c>
      <c r="D855" s="15" t="n">
        <v>986</v>
      </c>
      <c r="E855" s="13" t="s">
        <v>82</v>
      </c>
      <c r="F855" s="15" t="str">
        <f aca="false">IF(C855&gt;=J855,"ja","nein")</f>
        <v>nein</v>
      </c>
      <c r="G855" s="15" t="str">
        <f aca="false">IF(C855&gt;=K855,"ja","nein")</f>
        <v>nein</v>
      </c>
      <c r="H855" s="15" t="str">
        <f aca="false">IF(C855&gt;=L855,"ja","nein")</f>
        <v>nein</v>
      </c>
      <c r="I855" s="15" t="str">
        <f aca="false">IF(C855&gt;=M855,"ja","nein")</f>
        <v>nein</v>
      </c>
      <c r="J855" s="15" t="n">
        <f aca="false">ROUND(Annahmen!$K$35*(1+Annahmen!$B$20*D855/1000),0)</f>
        <v>915</v>
      </c>
      <c r="K855" s="15" t="n">
        <f aca="false">ROUND(Annahmen!$K$36*(1+Annahmen!$B$20*D855/1000),0)</f>
        <v>1188</v>
      </c>
      <c r="L855" s="15" t="n">
        <f aca="false">ROUND(Annahmen!$K$37*(1+Annahmen!$B$20*D855/1000),0)</f>
        <v>1214</v>
      </c>
      <c r="M855" s="15" t="n">
        <f aca="false">ROUND(Annahmen!$K$38*(1+Annahmen!$B$20*D855/1000),0)</f>
        <v>1214</v>
      </c>
      <c r="N855" s="16" t="s">
        <v>102</v>
      </c>
    </row>
    <row r="856" customFormat="false" ht="15" hidden="false" customHeight="false" outlineLevel="0" collapsed="false">
      <c r="A856" s="13" t="s">
        <v>1773</v>
      </c>
      <c r="B856" s="14" t="s">
        <v>1774</v>
      </c>
      <c r="C856" s="15" t="n">
        <v>800</v>
      </c>
      <c r="D856" s="15" t="n">
        <v>729</v>
      </c>
      <c r="E856" s="13" t="s">
        <v>82</v>
      </c>
      <c r="F856" s="15" t="str">
        <f aca="false">IF(C856&gt;=J856,"ja","nein")</f>
        <v>nein</v>
      </c>
      <c r="G856" s="15" t="str">
        <f aca="false">IF(C856&gt;=K856,"ja","nein")</f>
        <v>nein</v>
      </c>
      <c r="H856" s="15" t="str">
        <f aca="false">IF(C856&gt;=L856,"ja","nein")</f>
        <v>nein</v>
      </c>
      <c r="I856" s="15" t="str">
        <f aca="false">IF(C856&gt;=M856,"ja","nein")</f>
        <v>nein</v>
      </c>
      <c r="J856" s="15" t="n">
        <f aca="false">ROUND(Annahmen!$K$35*(1+Annahmen!$B$20*D856/1000),0)</f>
        <v>895</v>
      </c>
      <c r="K856" s="15" t="n">
        <f aca="false">ROUND(Annahmen!$K$36*(1+Annahmen!$B$20*D856/1000),0)</f>
        <v>1163</v>
      </c>
      <c r="L856" s="15" t="n">
        <f aca="false">ROUND(Annahmen!$K$37*(1+Annahmen!$B$20*D856/1000),0)</f>
        <v>1188</v>
      </c>
      <c r="M856" s="15" t="n">
        <f aca="false">ROUND(Annahmen!$K$38*(1+Annahmen!$B$20*D856/1000),0)</f>
        <v>1188</v>
      </c>
      <c r="N856" s="16" t="s">
        <v>102</v>
      </c>
    </row>
    <row r="857" customFormat="false" ht="15" hidden="false" customHeight="false" outlineLevel="0" collapsed="false">
      <c r="A857" s="13" t="s">
        <v>1775</v>
      </c>
      <c r="B857" s="14" t="s">
        <v>1776</v>
      </c>
      <c r="C857" s="15" t="n">
        <v>800</v>
      </c>
      <c r="D857" s="15" t="n">
        <v>92</v>
      </c>
      <c r="E857" s="13" t="s">
        <v>82</v>
      </c>
      <c r="F857" s="15" t="str">
        <f aca="false">IF(C857&gt;=J857,"ja","nein")</f>
        <v>nein</v>
      </c>
      <c r="G857" s="15" t="str">
        <f aca="false">IF(C857&gt;=K857,"ja","nein")</f>
        <v>nein</v>
      </c>
      <c r="H857" s="15" t="str">
        <f aca="false">IF(C857&gt;=L857,"ja","nein")</f>
        <v>nein</v>
      </c>
      <c r="I857" s="15" t="str">
        <f aca="false">IF(C857&gt;=M857,"ja","nein")</f>
        <v>nein</v>
      </c>
      <c r="J857" s="15" t="n">
        <f aca="false">ROUND(Annahmen!$K$35*(1+Annahmen!$B$20*D857/1000),0)</f>
        <v>847</v>
      </c>
      <c r="K857" s="15" t="n">
        <f aca="false">ROUND(Annahmen!$K$36*(1+Annahmen!$B$20*D857/1000),0)</f>
        <v>1100</v>
      </c>
      <c r="L857" s="15" t="n">
        <f aca="false">ROUND(Annahmen!$K$37*(1+Annahmen!$B$20*D857/1000),0)</f>
        <v>1124</v>
      </c>
      <c r="M857" s="15" t="n">
        <f aca="false">ROUND(Annahmen!$K$38*(1+Annahmen!$B$20*D857/1000),0)</f>
        <v>1124</v>
      </c>
      <c r="N857" s="16" t="s">
        <v>102</v>
      </c>
    </row>
    <row r="858" customFormat="false" ht="15" hidden="false" customHeight="false" outlineLevel="0" collapsed="false">
      <c r="A858" s="13" t="s">
        <v>1777</v>
      </c>
      <c r="B858" s="14" t="s">
        <v>1778</v>
      </c>
      <c r="C858" s="15" t="n">
        <v>800</v>
      </c>
      <c r="D858" s="15" t="n">
        <v>571</v>
      </c>
      <c r="E858" s="13" t="s">
        <v>82</v>
      </c>
      <c r="F858" s="15" t="str">
        <f aca="false">IF(C858&gt;=J858,"ja","nein")</f>
        <v>nein</v>
      </c>
      <c r="G858" s="15" t="str">
        <f aca="false">IF(C858&gt;=K858,"ja","nein")</f>
        <v>nein</v>
      </c>
      <c r="H858" s="15" t="str">
        <f aca="false">IF(C858&gt;=L858,"ja","nein")</f>
        <v>nein</v>
      </c>
      <c r="I858" s="15" t="str">
        <f aca="false">IF(C858&gt;=M858,"ja","nein")</f>
        <v>nein</v>
      </c>
      <c r="J858" s="15" t="n">
        <f aca="false">ROUND(Annahmen!$K$35*(1+Annahmen!$B$20*D858/1000),0)</f>
        <v>883</v>
      </c>
      <c r="K858" s="15" t="n">
        <f aca="false">ROUND(Annahmen!$K$36*(1+Annahmen!$B$20*D858/1000),0)</f>
        <v>1147</v>
      </c>
      <c r="L858" s="15" t="n">
        <f aca="false">ROUND(Annahmen!$K$37*(1+Annahmen!$B$20*D858/1000),0)</f>
        <v>1172</v>
      </c>
      <c r="M858" s="15" t="n">
        <f aca="false">ROUND(Annahmen!$K$38*(1+Annahmen!$B$20*D858/1000),0)</f>
        <v>1172</v>
      </c>
      <c r="N858" s="16" t="s">
        <v>102</v>
      </c>
    </row>
    <row r="859" customFormat="false" ht="15" hidden="false" customHeight="false" outlineLevel="0" collapsed="false">
      <c r="A859" s="13" t="s">
        <v>1779</v>
      </c>
      <c r="B859" s="14" t="s">
        <v>1780</v>
      </c>
      <c r="C859" s="15" t="n">
        <v>800</v>
      </c>
      <c r="D859" s="15" t="n">
        <v>771</v>
      </c>
      <c r="E859" s="13" t="s">
        <v>82</v>
      </c>
      <c r="F859" s="15" t="str">
        <f aca="false">IF(C859&gt;=J859,"ja","nein")</f>
        <v>nein</v>
      </c>
      <c r="G859" s="15" t="str">
        <f aca="false">IF(C859&gt;=K859,"ja","nein")</f>
        <v>nein</v>
      </c>
      <c r="H859" s="15" t="str">
        <f aca="false">IF(C859&gt;=L859,"ja","nein")</f>
        <v>nein</v>
      </c>
      <c r="I859" s="15" t="str">
        <f aca="false">IF(C859&gt;=M859,"ja","nein")</f>
        <v>nein</v>
      </c>
      <c r="J859" s="15" t="n">
        <f aca="false">ROUND(Annahmen!$K$35*(1+Annahmen!$B$20*D859/1000),0)</f>
        <v>898</v>
      </c>
      <c r="K859" s="15" t="n">
        <f aca="false">ROUND(Annahmen!$K$36*(1+Annahmen!$B$20*D859/1000),0)</f>
        <v>1167</v>
      </c>
      <c r="L859" s="15" t="n">
        <f aca="false">ROUND(Annahmen!$K$37*(1+Annahmen!$B$20*D859/1000),0)</f>
        <v>1192</v>
      </c>
      <c r="M859" s="15" t="n">
        <f aca="false">ROUND(Annahmen!$K$38*(1+Annahmen!$B$20*D859/1000),0)</f>
        <v>1192</v>
      </c>
      <c r="N859" s="16" t="s">
        <v>102</v>
      </c>
    </row>
    <row r="860" customFormat="false" ht="15" hidden="false" customHeight="false" outlineLevel="0" collapsed="false">
      <c r="A860" s="13" t="s">
        <v>1781</v>
      </c>
      <c r="B860" s="14" t="s">
        <v>1782</v>
      </c>
      <c r="C860" s="15" t="n">
        <v>715</v>
      </c>
      <c r="D860" s="15" t="n">
        <v>689</v>
      </c>
      <c r="E860" s="13" t="s">
        <v>82</v>
      </c>
      <c r="F860" s="15" t="str">
        <f aca="false">IF(C860&gt;=J860,"ja","nein")</f>
        <v>nein</v>
      </c>
      <c r="G860" s="15" t="str">
        <f aca="false">IF(C860&gt;=K860,"ja","nein")</f>
        <v>nein</v>
      </c>
      <c r="H860" s="15" t="str">
        <f aca="false">IF(C860&gt;=L860,"ja","nein")</f>
        <v>nein</v>
      </c>
      <c r="I860" s="15" t="str">
        <f aca="false">IF(C860&gt;=M860,"ja","nein")</f>
        <v>nein</v>
      </c>
      <c r="J860" s="15" t="n">
        <f aca="false">ROUND(Annahmen!$K$35*(1+Annahmen!$B$20*D860/1000),0)</f>
        <v>892</v>
      </c>
      <c r="K860" s="15" t="n">
        <f aca="false">ROUND(Annahmen!$K$36*(1+Annahmen!$B$20*D860/1000),0)</f>
        <v>1159</v>
      </c>
      <c r="L860" s="15" t="n">
        <f aca="false">ROUND(Annahmen!$K$37*(1+Annahmen!$B$20*D860/1000),0)</f>
        <v>1184</v>
      </c>
      <c r="M860" s="15" t="n">
        <f aca="false">ROUND(Annahmen!$K$38*(1+Annahmen!$B$20*D860/1000),0)</f>
        <v>1184</v>
      </c>
      <c r="N860" s="16" t="s">
        <v>102</v>
      </c>
    </row>
    <row r="861" customFormat="false" ht="15" hidden="false" customHeight="false" outlineLevel="0" collapsed="false">
      <c r="A861" s="13" t="s">
        <v>1783</v>
      </c>
      <c r="B861" s="14" t="s">
        <v>1784</v>
      </c>
      <c r="C861" s="15" t="n">
        <v>600</v>
      </c>
      <c r="D861" s="15" t="n">
        <v>1621</v>
      </c>
      <c r="E861" s="13" t="s">
        <v>82</v>
      </c>
      <c r="F861" s="15" t="str">
        <f aca="false">IF(C861&gt;=J861,"ja","nein")</f>
        <v>nein</v>
      </c>
      <c r="G861" s="15" t="str">
        <f aca="false">IF(C861&gt;=K861,"ja","nein")</f>
        <v>nein</v>
      </c>
      <c r="H861" s="15" t="str">
        <f aca="false">IF(C861&gt;=L861,"ja","nein")</f>
        <v>nein</v>
      </c>
      <c r="I861" s="15" t="str">
        <f aca="false">IF(C861&gt;=M861,"ja","nein")</f>
        <v>nein</v>
      </c>
      <c r="J861" s="15" t="n">
        <f aca="false">ROUND(Annahmen!$K$35*(1+Annahmen!$B$20*D861/1000),0)</f>
        <v>963</v>
      </c>
      <c r="K861" s="15" t="n">
        <f aca="false">ROUND(Annahmen!$K$36*(1+Annahmen!$B$20*D861/1000),0)</f>
        <v>1250</v>
      </c>
      <c r="L861" s="15" t="n">
        <f aca="false">ROUND(Annahmen!$K$37*(1+Annahmen!$B$20*D861/1000),0)</f>
        <v>1278</v>
      </c>
      <c r="M861" s="15" t="n">
        <f aca="false">ROUND(Annahmen!$K$38*(1+Annahmen!$B$20*D861/1000),0)</f>
        <v>1278</v>
      </c>
      <c r="N861" s="16" t="s">
        <v>102</v>
      </c>
    </row>
    <row r="862" customFormat="false" ht="15" hidden="false" customHeight="false" outlineLevel="0" collapsed="false">
      <c r="A862" s="13" t="s">
        <v>1785</v>
      </c>
      <c r="B862" s="14" t="s">
        <v>1786</v>
      </c>
      <c r="C862" s="15" t="n">
        <v>600</v>
      </c>
      <c r="D862" s="15" t="n">
        <v>2770</v>
      </c>
      <c r="E862" s="13" t="s">
        <v>82</v>
      </c>
      <c r="F862" s="15" t="str">
        <f aca="false">IF(C862&gt;=J862,"ja","nein")</f>
        <v>nein</v>
      </c>
      <c r="G862" s="15" t="str">
        <f aca="false">IF(C862&gt;=K862,"ja","nein")</f>
        <v>nein</v>
      </c>
      <c r="H862" s="15" t="str">
        <f aca="false">IF(C862&gt;=L862,"ja","nein")</f>
        <v>nein</v>
      </c>
      <c r="I862" s="15" t="str">
        <f aca="false">IF(C862&gt;=M862,"ja","nein")</f>
        <v>nein</v>
      </c>
      <c r="J862" s="15" t="n">
        <f aca="false">ROUND(Annahmen!$K$35*(1+Annahmen!$B$20*D862/1000),0)</f>
        <v>1049</v>
      </c>
      <c r="K862" s="15" t="n">
        <f aca="false">ROUND(Annahmen!$K$36*(1+Annahmen!$B$20*D862/1000),0)</f>
        <v>1363</v>
      </c>
      <c r="L862" s="15" t="n">
        <f aca="false">ROUND(Annahmen!$K$37*(1+Annahmen!$B$20*D862/1000),0)</f>
        <v>1393</v>
      </c>
      <c r="M862" s="15" t="n">
        <f aca="false">ROUND(Annahmen!$K$38*(1+Annahmen!$B$20*D862/1000),0)</f>
        <v>1393</v>
      </c>
      <c r="N862" s="16" t="s">
        <v>102</v>
      </c>
    </row>
    <row r="863" customFormat="false" ht="15" hidden="false" customHeight="false" outlineLevel="0" collapsed="false">
      <c r="A863" s="11" t="s">
        <v>1787</v>
      </c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</row>
    <row r="864" customFormat="false" ht="15" hidden="false" customHeight="false" outlineLevel="0" collapsed="false">
      <c r="A864" s="13" t="s">
        <v>1788</v>
      </c>
      <c r="B864" s="14" t="s">
        <v>1789</v>
      </c>
      <c r="C864" s="15" t="n">
        <v>3690</v>
      </c>
      <c r="D864" s="15" t="n">
        <v>362</v>
      </c>
      <c r="E864" s="13" t="s">
        <v>82</v>
      </c>
      <c r="F864" s="15" t="str">
        <f aca="false">IF(C864&gt;=J864,"ja","nein")</f>
        <v>ja</v>
      </c>
      <c r="G864" s="15" t="str">
        <f aca="false">IF(C864&gt;=K864,"ja","nein")</f>
        <v>ja</v>
      </c>
      <c r="H864" s="15" t="str">
        <f aca="false">IF(C864&gt;=L864,"ja","nein")</f>
        <v>ja</v>
      </c>
      <c r="I864" s="15" t="str">
        <f aca="false">IF(C864&gt;=M864,"ja","nein")</f>
        <v>ja</v>
      </c>
      <c r="J864" s="15" t="n">
        <f aca="false">ROUND(Annahmen!$K$35*(1+Annahmen!$B$20*D864/1000),0)</f>
        <v>867</v>
      </c>
      <c r="K864" s="15" t="n">
        <f aca="false">ROUND(Annahmen!$K$36*(1+Annahmen!$B$20*D864/1000),0)</f>
        <v>1127</v>
      </c>
      <c r="L864" s="15" t="n">
        <f aca="false">ROUND(Annahmen!$K$37*(1+Annahmen!$B$20*D864/1000),0)</f>
        <v>1151</v>
      </c>
      <c r="M864" s="15" t="n">
        <f aca="false">ROUND(Annahmen!$K$38*(1+Annahmen!$B$20*D864/1000),0)</f>
        <v>1151</v>
      </c>
      <c r="N864" s="16" t="s">
        <v>83</v>
      </c>
    </row>
    <row r="865" customFormat="false" ht="15" hidden="false" customHeight="false" outlineLevel="0" collapsed="false">
      <c r="A865" s="13" t="s">
        <v>1790</v>
      </c>
      <c r="B865" s="14" t="s">
        <v>1791</v>
      </c>
      <c r="C865" s="15" t="n">
        <v>3200</v>
      </c>
      <c r="D865" s="15" t="n">
        <v>995</v>
      </c>
      <c r="E865" s="13" t="s">
        <v>82</v>
      </c>
      <c r="F865" s="15" t="str">
        <f aca="false">IF(C865&gt;=J865,"ja","nein")</f>
        <v>ja</v>
      </c>
      <c r="G865" s="15" t="str">
        <f aca="false">IF(C865&gt;=K865,"ja","nein")</f>
        <v>ja</v>
      </c>
      <c r="H865" s="15" t="str">
        <f aca="false">IF(C865&gt;=L865,"ja","nein")</f>
        <v>ja</v>
      </c>
      <c r="I865" s="15" t="str">
        <f aca="false">IF(C865&gt;=M865,"ja","nein")</f>
        <v>ja</v>
      </c>
      <c r="J865" s="15" t="n">
        <f aca="false">ROUND(Annahmen!$K$35*(1+Annahmen!$B$20*D865/1000),0)</f>
        <v>915</v>
      </c>
      <c r="K865" s="15" t="n">
        <f aca="false">ROUND(Annahmen!$K$36*(1+Annahmen!$B$20*D865/1000),0)</f>
        <v>1189</v>
      </c>
      <c r="L865" s="15" t="n">
        <f aca="false">ROUND(Annahmen!$K$37*(1+Annahmen!$B$20*D865/1000),0)</f>
        <v>1215</v>
      </c>
      <c r="M865" s="15" t="n">
        <f aca="false">ROUND(Annahmen!$K$38*(1+Annahmen!$B$20*D865/1000),0)</f>
        <v>1215</v>
      </c>
      <c r="N865" s="16" t="s">
        <v>83</v>
      </c>
    </row>
    <row r="866" customFormat="false" ht="15" hidden="false" customHeight="false" outlineLevel="0" collapsed="false">
      <c r="A866" s="13" t="s">
        <v>1792</v>
      </c>
      <c r="B866" s="14" t="s">
        <v>1793</v>
      </c>
      <c r="C866" s="15" t="n">
        <v>3200</v>
      </c>
      <c r="D866" s="15" t="n">
        <v>693</v>
      </c>
      <c r="E866" s="13" t="s">
        <v>82</v>
      </c>
      <c r="F866" s="15" t="str">
        <f aca="false">IF(C866&gt;=J866,"ja","nein")</f>
        <v>ja</v>
      </c>
      <c r="G866" s="15" t="str">
        <f aca="false">IF(C866&gt;=K866,"ja","nein")</f>
        <v>ja</v>
      </c>
      <c r="H866" s="15" t="str">
        <f aca="false">IF(C866&gt;=L866,"ja","nein")</f>
        <v>ja</v>
      </c>
      <c r="I866" s="15" t="str">
        <f aca="false">IF(C866&gt;=M866,"ja","nein")</f>
        <v>ja</v>
      </c>
      <c r="J866" s="15" t="n">
        <f aca="false">ROUND(Annahmen!$K$35*(1+Annahmen!$B$20*D866/1000),0)</f>
        <v>892</v>
      </c>
      <c r="K866" s="15" t="n">
        <f aca="false">ROUND(Annahmen!$K$36*(1+Annahmen!$B$20*D866/1000),0)</f>
        <v>1159</v>
      </c>
      <c r="L866" s="15" t="n">
        <f aca="false">ROUND(Annahmen!$K$37*(1+Annahmen!$B$20*D866/1000),0)</f>
        <v>1185</v>
      </c>
      <c r="M866" s="15" t="n">
        <f aca="false">ROUND(Annahmen!$K$38*(1+Annahmen!$B$20*D866/1000),0)</f>
        <v>1185</v>
      </c>
      <c r="N866" s="16" t="s">
        <v>83</v>
      </c>
    </row>
    <row r="867" customFormat="false" ht="15" hidden="false" customHeight="false" outlineLevel="0" collapsed="false">
      <c r="A867" s="13" t="s">
        <v>1794</v>
      </c>
      <c r="B867" s="14" t="s">
        <v>1795</v>
      </c>
      <c r="C867" s="15" t="n">
        <v>2800</v>
      </c>
      <c r="D867" s="15" t="n">
        <v>489</v>
      </c>
      <c r="E867" s="13" t="s">
        <v>82</v>
      </c>
      <c r="F867" s="15" t="str">
        <f aca="false">IF(C867&gt;=J867,"ja","nein")</f>
        <v>ja</v>
      </c>
      <c r="G867" s="15" t="str">
        <f aca="false">IF(C867&gt;=K867,"ja","nein")</f>
        <v>ja</v>
      </c>
      <c r="H867" s="15" t="str">
        <f aca="false">IF(C867&gt;=L867,"ja","nein")</f>
        <v>ja</v>
      </c>
      <c r="I867" s="15" t="str">
        <f aca="false">IF(C867&gt;=M867,"ja","nein")</f>
        <v>ja</v>
      </c>
      <c r="J867" s="15" t="n">
        <f aca="false">ROUND(Annahmen!$K$35*(1+Annahmen!$B$20*D867/1000),0)</f>
        <v>877</v>
      </c>
      <c r="K867" s="15" t="n">
        <f aca="false">ROUND(Annahmen!$K$36*(1+Annahmen!$B$20*D867/1000),0)</f>
        <v>1139</v>
      </c>
      <c r="L867" s="15" t="n">
        <f aca="false">ROUND(Annahmen!$K$37*(1+Annahmen!$B$20*D867/1000),0)</f>
        <v>1164</v>
      </c>
      <c r="M867" s="15" t="n">
        <f aca="false">ROUND(Annahmen!$K$38*(1+Annahmen!$B$20*D867/1000),0)</f>
        <v>1164</v>
      </c>
      <c r="N867" s="16" t="s">
        <v>83</v>
      </c>
    </row>
    <row r="868" customFormat="false" ht="15" hidden="false" customHeight="false" outlineLevel="0" collapsed="false">
      <c r="A868" s="13" t="s">
        <v>1796</v>
      </c>
      <c r="B868" s="14" t="s">
        <v>1797</v>
      </c>
      <c r="C868" s="15" t="n">
        <v>2550</v>
      </c>
      <c r="D868" s="15" t="n">
        <v>791</v>
      </c>
      <c r="E868" s="13" t="s">
        <v>82</v>
      </c>
      <c r="F868" s="15" t="str">
        <f aca="false">IF(C868&gt;=J868,"ja","nein")</f>
        <v>ja</v>
      </c>
      <c r="G868" s="15" t="str">
        <f aca="false">IF(C868&gt;=K868,"ja","nein")</f>
        <v>ja</v>
      </c>
      <c r="H868" s="15" t="str">
        <f aca="false">IF(C868&gt;=L868,"ja","nein")</f>
        <v>ja</v>
      </c>
      <c r="I868" s="15" t="str">
        <f aca="false">IF(C868&gt;=M868,"ja","nein")</f>
        <v>ja</v>
      </c>
      <c r="J868" s="15" t="n">
        <f aca="false">ROUND(Annahmen!$K$35*(1+Annahmen!$B$20*D868/1000),0)</f>
        <v>900</v>
      </c>
      <c r="K868" s="15" t="n">
        <f aca="false">ROUND(Annahmen!$K$36*(1+Annahmen!$B$20*D868/1000),0)</f>
        <v>1169</v>
      </c>
      <c r="L868" s="15" t="n">
        <f aca="false">ROUND(Annahmen!$K$37*(1+Annahmen!$B$20*D868/1000),0)</f>
        <v>1194</v>
      </c>
      <c r="M868" s="15" t="n">
        <f aca="false">ROUND(Annahmen!$K$38*(1+Annahmen!$B$20*D868/1000),0)</f>
        <v>1194</v>
      </c>
      <c r="N868" s="16" t="s">
        <v>83</v>
      </c>
    </row>
    <row r="869" customFormat="false" ht="15" hidden="false" customHeight="false" outlineLevel="0" collapsed="false">
      <c r="A869" s="13" t="s">
        <v>1798</v>
      </c>
      <c r="B869" s="14" t="s">
        <v>1799</v>
      </c>
      <c r="C869" s="15" t="n">
        <v>2520</v>
      </c>
      <c r="D869" s="15" t="n">
        <v>633</v>
      </c>
      <c r="E869" s="13" t="s">
        <v>82</v>
      </c>
      <c r="F869" s="15" t="str">
        <f aca="false">IF(C869&gt;=J869,"ja","nein")</f>
        <v>ja</v>
      </c>
      <c r="G869" s="15" t="str">
        <f aca="false">IF(C869&gt;=K869,"ja","nein")</f>
        <v>ja</v>
      </c>
      <c r="H869" s="15" t="str">
        <f aca="false">IF(C869&gt;=L869,"ja","nein")</f>
        <v>ja</v>
      </c>
      <c r="I869" s="15" t="str">
        <f aca="false">IF(C869&gt;=M869,"ja","nein")</f>
        <v>ja</v>
      </c>
      <c r="J869" s="15" t="n">
        <f aca="false">ROUND(Annahmen!$K$35*(1+Annahmen!$B$20*D869/1000),0)</f>
        <v>888</v>
      </c>
      <c r="K869" s="15" t="n">
        <f aca="false">ROUND(Annahmen!$K$36*(1+Annahmen!$B$20*D869/1000),0)</f>
        <v>1153</v>
      </c>
      <c r="L869" s="15" t="n">
        <f aca="false">ROUND(Annahmen!$K$37*(1+Annahmen!$B$20*D869/1000),0)</f>
        <v>1179</v>
      </c>
      <c r="M869" s="15" t="n">
        <f aca="false">ROUND(Annahmen!$K$38*(1+Annahmen!$B$20*D869/1000),0)</f>
        <v>1179</v>
      </c>
      <c r="N869" s="16" t="s">
        <v>83</v>
      </c>
    </row>
    <row r="870" customFormat="false" ht="15" hidden="false" customHeight="false" outlineLevel="0" collapsed="false">
      <c r="A870" s="13" t="s">
        <v>1800</v>
      </c>
      <c r="B870" s="14" t="s">
        <v>1801</v>
      </c>
      <c r="C870" s="15" t="n">
        <v>2520</v>
      </c>
      <c r="D870" s="15" t="n">
        <v>659</v>
      </c>
      <c r="E870" s="13" t="s">
        <v>82</v>
      </c>
      <c r="F870" s="15" t="str">
        <f aca="false">IF(C870&gt;=J870,"ja","nein")</f>
        <v>ja</v>
      </c>
      <c r="G870" s="15" t="str">
        <f aca="false">IF(C870&gt;=K870,"ja","nein")</f>
        <v>ja</v>
      </c>
      <c r="H870" s="15" t="str">
        <f aca="false">IF(C870&gt;=L870,"ja","nein")</f>
        <v>ja</v>
      </c>
      <c r="I870" s="15" t="str">
        <f aca="false">IF(C870&gt;=M870,"ja","nein")</f>
        <v>ja</v>
      </c>
      <c r="J870" s="15" t="n">
        <f aca="false">ROUND(Annahmen!$K$35*(1+Annahmen!$B$20*D870/1000),0)</f>
        <v>890</v>
      </c>
      <c r="K870" s="15" t="n">
        <f aca="false">ROUND(Annahmen!$K$36*(1+Annahmen!$B$20*D870/1000),0)</f>
        <v>1156</v>
      </c>
      <c r="L870" s="15" t="n">
        <f aca="false">ROUND(Annahmen!$K$37*(1+Annahmen!$B$20*D870/1000),0)</f>
        <v>1181</v>
      </c>
      <c r="M870" s="15" t="n">
        <f aca="false">ROUND(Annahmen!$K$38*(1+Annahmen!$B$20*D870/1000),0)</f>
        <v>1181</v>
      </c>
      <c r="N870" s="16" t="s">
        <v>102</v>
      </c>
    </row>
    <row r="871" customFormat="false" ht="15" hidden="false" customHeight="false" outlineLevel="0" collapsed="false">
      <c r="A871" s="13" t="s">
        <v>1802</v>
      </c>
      <c r="B871" s="14" t="s">
        <v>1803</v>
      </c>
      <c r="C871" s="15" t="n">
        <v>2504</v>
      </c>
      <c r="D871" s="15" t="n">
        <v>308</v>
      </c>
      <c r="E871" s="13" t="s">
        <v>82</v>
      </c>
      <c r="F871" s="15" t="str">
        <f aca="false">IF(C871&gt;=J871,"ja","nein")</f>
        <v>ja</v>
      </c>
      <c r="G871" s="15" t="str">
        <f aca="false">IF(C871&gt;=K871,"ja","nein")</f>
        <v>ja</v>
      </c>
      <c r="H871" s="15" t="str">
        <f aca="false">IF(C871&gt;=L871,"ja","nein")</f>
        <v>ja</v>
      </c>
      <c r="I871" s="15" t="str">
        <f aca="false">IF(C871&gt;=M871,"ja","nein")</f>
        <v>ja</v>
      </c>
      <c r="J871" s="15" t="n">
        <f aca="false">ROUND(Annahmen!$K$35*(1+Annahmen!$B$20*D871/1000),0)</f>
        <v>863</v>
      </c>
      <c r="K871" s="15" t="n">
        <f aca="false">ROUND(Annahmen!$K$36*(1+Annahmen!$B$20*D871/1000),0)</f>
        <v>1121</v>
      </c>
      <c r="L871" s="15" t="n">
        <f aca="false">ROUND(Annahmen!$K$37*(1+Annahmen!$B$20*D871/1000),0)</f>
        <v>1146</v>
      </c>
      <c r="M871" s="15" t="n">
        <f aca="false">ROUND(Annahmen!$K$38*(1+Annahmen!$B$20*D871/1000),0)</f>
        <v>1146</v>
      </c>
      <c r="N871" s="16" t="s">
        <v>83</v>
      </c>
    </row>
    <row r="872" customFormat="false" ht="15" hidden="false" customHeight="false" outlineLevel="0" collapsed="false">
      <c r="A872" s="13" t="s">
        <v>1804</v>
      </c>
      <c r="B872" s="14" t="s">
        <v>1805</v>
      </c>
      <c r="C872" s="15" t="n">
        <v>2503</v>
      </c>
      <c r="D872" s="15" t="n">
        <v>404</v>
      </c>
      <c r="E872" s="13" t="s">
        <v>82</v>
      </c>
      <c r="F872" s="15" t="str">
        <f aca="false">IF(C872&gt;=J872,"ja","nein")</f>
        <v>ja</v>
      </c>
      <c r="G872" s="15" t="str">
        <f aca="false">IF(C872&gt;=K872,"ja","nein")</f>
        <v>ja</v>
      </c>
      <c r="H872" s="15" t="str">
        <f aca="false">IF(C872&gt;=L872,"ja","nein")</f>
        <v>ja</v>
      </c>
      <c r="I872" s="15" t="str">
        <f aca="false">IF(C872&gt;=M872,"ja","nein")</f>
        <v>ja</v>
      </c>
      <c r="J872" s="15" t="n">
        <f aca="false">ROUND(Annahmen!$K$35*(1+Annahmen!$B$20*D872/1000),0)</f>
        <v>871</v>
      </c>
      <c r="K872" s="15" t="n">
        <f aca="false">ROUND(Annahmen!$K$36*(1+Annahmen!$B$20*D872/1000),0)</f>
        <v>1131</v>
      </c>
      <c r="L872" s="15" t="n">
        <f aca="false">ROUND(Annahmen!$K$37*(1+Annahmen!$B$20*D872/1000),0)</f>
        <v>1156</v>
      </c>
      <c r="M872" s="15" t="n">
        <f aca="false">ROUND(Annahmen!$K$38*(1+Annahmen!$B$20*D872/1000),0)</f>
        <v>1156</v>
      </c>
      <c r="N872" s="16" t="s">
        <v>83</v>
      </c>
    </row>
    <row r="873" customFormat="false" ht="15" hidden="false" customHeight="false" outlineLevel="0" collapsed="false">
      <c r="A873" s="13" t="s">
        <v>1806</v>
      </c>
      <c r="B873" s="14" t="s">
        <v>1807</v>
      </c>
      <c r="C873" s="15" t="n">
        <v>2500</v>
      </c>
      <c r="D873" s="15" t="n">
        <v>235</v>
      </c>
      <c r="E873" s="13" t="s">
        <v>82</v>
      </c>
      <c r="F873" s="15" t="str">
        <f aca="false">IF(C873&gt;=J873,"ja","nein")</f>
        <v>ja</v>
      </c>
      <c r="G873" s="15" t="str">
        <f aca="false">IF(C873&gt;=K873,"ja","nein")</f>
        <v>ja</v>
      </c>
      <c r="H873" s="15" t="str">
        <f aca="false">IF(C873&gt;=L873,"ja","nein")</f>
        <v>ja</v>
      </c>
      <c r="I873" s="15" t="str">
        <f aca="false">IF(C873&gt;=M873,"ja","nein")</f>
        <v>ja</v>
      </c>
      <c r="J873" s="15" t="n">
        <f aca="false">ROUND(Annahmen!$K$35*(1+Annahmen!$B$20*D873/1000),0)</f>
        <v>858</v>
      </c>
      <c r="K873" s="15" t="n">
        <f aca="false">ROUND(Annahmen!$K$36*(1+Annahmen!$B$20*D873/1000),0)</f>
        <v>1114</v>
      </c>
      <c r="L873" s="15" t="n">
        <f aca="false">ROUND(Annahmen!$K$37*(1+Annahmen!$B$20*D873/1000),0)</f>
        <v>1139</v>
      </c>
      <c r="M873" s="15" t="n">
        <f aca="false">ROUND(Annahmen!$K$38*(1+Annahmen!$B$20*D873/1000),0)</f>
        <v>1139</v>
      </c>
      <c r="N873" s="16" t="s">
        <v>86</v>
      </c>
    </row>
    <row r="874" customFormat="false" ht="15" hidden="false" customHeight="false" outlineLevel="0" collapsed="false">
      <c r="A874" s="13" t="s">
        <v>1808</v>
      </c>
      <c r="B874" s="14" t="s">
        <v>1809</v>
      </c>
      <c r="C874" s="15" t="n">
        <v>2500</v>
      </c>
      <c r="D874" s="15" t="n">
        <v>604</v>
      </c>
      <c r="E874" s="13" t="s">
        <v>82</v>
      </c>
      <c r="F874" s="15" t="str">
        <f aca="false">IF(C874&gt;=J874,"ja","nein")</f>
        <v>ja</v>
      </c>
      <c r="G874" s="15" t="str">
        <f aca="false">IF(C874&gt;=K874,"ja","nein")</f>
        <v>ja</v>
      </c>
      <c r="H874" s="15" t="str">
        <f aca="false">IF(C874&gt;=L874,"ja","nein")</f>
        <v>ja</v>
      </c>
      <c r="I874" s="15" t="str">
        <f aca="false">IF(C874&gt;=M874,"ja","nein")</f>
        <v>ja</v>
      </c>
      <c r="J874" s="15" t="n">
        <f aca="false">ROUND(Annahmen!$K$35*(1+Annahmen!$B$20*D874/1000),0)</f>
        <v>886</v>
      </c>
      <c r="K874" s="15" t="n">
        <f aca="false">ROUND(Annahmen!$K$36*(1+Annahmen!$B$20*D874/1000),0)</f>
        <v>1150</v>
      </c>
      <c r="L874" s="15" t="n">
        <f aca="false">ROUND(Annahmen!$K$37*(1+Annahmen!$B$20*D874/1000),0)</f>
        <v>1176</v>
      </c>
      <c r="M874" s="15" t="n">
        <f aca="false">ROUND(Annahmen!$K$38*(1+Annahmen!$B$20*D874/1000),0)</f>
        <v>1176</v>
      </c>
      <c r="N874" s="16" t="s">
        <v>83</v>
      </c>
    </row>
    <row r="875" customFormat="false" ht="15" hidden="false" customHeight="false" outlineLevel="0" collapsed="false">
      <c r="A875" s="13" t="s">
        <v>1810</v>
      </c>
      <c r="B875" s="14" t="s">
        <v>1811</v>
      </c>
      <c r="C875" s="15" t="n">
        <v>2500</v>
      </c>
      <c r="D875" s="15" t="n">
        <v>341</v>
      </c>
      <c r="E875" s="13" t="s">
        <v>82</v>
      </c>
      <c r="F875" s="15" t="str">
        <f aca="false">IF(C875&gt;=J875,"ja","nein")</f>
        <v>ja</v>
      </c>
      <c r="G875" s="15" t="str">
        <f aca="false">IF(C875&gt;=K875,"ja","nein")</f>
        <v>ja</v>
      </c>
      <c r="H875" s="15" t="str">
        <f aca="false">IF(C875&gt;=L875,"ja","nein")</f>
        <v>ja</v>
      </c>
      <c r="I875" s="15" t="str">
        <f aca="false">IF(C875&gt;=M875,"ja","nein")</f>
        <v>ja</v>
      </c>
      <c r="J875" s="15" t="n">
        <f aca="false">ROUND(Annahmen!$K$35*(1+Annahmen!$B$20*D875/1000),0)</f>
        <v>866</v>
      </c>
      <c r="K875" s="15" t="n">
        <f aca="false">ROUND(Annahmen!$K$36*(1+Annahmen!$B$20*D875/1000),0)</f>
        <v>1124</v>
      </c>
      <c r="L875" s="15" t="n">
        <f aca="false">ROUND(Annahmen!$K$37*(1+Annahmen!$B$20*D875/1000),0)</f>
        <v>1149</v>
      </c>
      <c r="M875" s="15" t="n">
        <f aca="false">ROUND(Annahmen!$K$38*(1+Annahmen!$B$20*D875/1000),0)</f>
        <v>1149</v>
      </c>
      <c r="N875" s="16" t="s">
        <v>83</v>
      </c>
    </row>
    <row r="876" customFormat="false" ht="15" hidden="false" customHeight="false" outlineLevel="0" collapsed="false">
      <c r="A876" s="13" t="s">
        <v>1812</v>
      </c>
      <c r="B876" s="14" t="s">
        <v>1813</v>
      </c>
      <c r="C876" s="15" t="n">
        <v>2500</v>
      </c>
      <c r="D876" s="15" t="n">
        <v>610</v>
      </c>
      <c r="E876" s="13" t="s">
        <v>82</v>
      </c>
      <c r="F876" s="15" t="str">
        <f aca="false">IF(C876&gt;=J876,"ja","nein")</f>
        <v>ja</v>
      </c>
      <c r="G876" s="15" t="str">
        <f aca="false">IF(C876&gt;=K876,"ja","nein")</f>
        <v>ja</v>
      </c>
      <c r="H876" s="15" t="str">
        <f aca="false">IF(C876&gt;=L876,"ja","nein")</f>
        <v>ja</v>
      </c>
      <c r="I876" s="15" t="str">
        <f aca="false">IF(C876&gt;=M876,"ja","nein")</f>
        <v>ja</v>
      </c>
      <c r="J876" s="15" t="n">
        <f aca="false">ROUND(Annahmen!$K$35*(1+Annahmen!$B$20*D876/1000),0)</f>
        <v>886</v>
      </c>
      <c r="K876" s="15" t="n">
        <f aca="false">ROUND(Annahmen!$K$36*(1+Annahmen!$B$20*D876/1000),0)</f>
        <v>1151</v>
      </c>
      <c r="L876" s="15" t="n">
        <f aca="false">ROUND(Annahmen!$K$37*(1+Annahmen!$B$20*D876/1000),0)</f>
        <v>1176</v>
      </c>
      <c r="M876" s="15" t="n">
        <f aca="false">ROUND(Annahmen!$K$38*(1+Annahmen!$B$20*D876/1000),0)</f>
        <v>1176</v>
      </c>
      <c r="N876" s="16" t="s">
        <v>86</v>
      </c>
    </row>
    <row r="877" customFormat="false" ht="15" hidden="false" customHeight="false" outlineLevel="0" collapsed="false">
      <c r="A877" s="13" t="s">
        <v>1814</v>
      </c>
      <c r="B877" s="14" t="s">
        <v>1815</v>
      </c>
      <c r="C877" s="15" t="n">
        <v>2500</v>
      </c>
      <c r="D877" s="15" t="n">
        <v>154</v>
      </c>
      <c r="E877" s="13" t="s">
        <v>82</v>
      </c>
      <c r="F877" s="15" t="str">
        <f aca="false">IF(C877&gt;=J877,"ja","nein")</f>
        <v>ja</v>
      </c>
      <c r="G877" s="15" t="str">
        <f aca="false">IF(C877&gt;=K877,"ja","nein")</f>
        <v>ja</v>
      </c>
      <c r="H877" s="15" t="str">
        <f aca="false">IF(C877&gt;=L877,"ja","nein")</f>
        <v>ja</v>
      </c>
      <c r="I877" s="15" t="str">
        <f aca="false">IF(C877&gt;=M877,"ja","nein")</f>
        <v>ja</v>
      </c>
      <c r="J877" s="15" t="n">
        <f aca="false">ROUND(Annahmen!$K$35*(1+Annahmen!$B$20*D877/1000),0)</f>
        <v>852</v>
      </c>
      <c r="K877" s="15" t="n">
        <f aca="false">ROUND(Annahmen!$K$36*(1+Annahmen!$B$20*D877/1000),0)</f>
        <v>1106</v>
      </c>
      <c r="L877" s="15" t="n">
        <f aca="false">ROUND(Annahmen!$K$37*(1+Annahmen!$B$20*D877/1000),0)</f>
        <v>1130</v>
      </c>
      <c r="M877" s="15" t="n">
        <f aca="false">ROUND(Annahmen!$K$38*(1+Annahmen!$B$20*D877/1000),0)</f>
        <v>1130</v>
      </c>
      <c r="N877" s="16" t="s">
        <v>83</v>
      </c>
    </row>
    <row r="878" customFormat="false" ht="15" hidden="false" customHeight="false" outlineLevel="0" collapsed="false">
      <c r="A878" s="13" t="s">
        <v>1816</v>
      </c>
      <c r="B878" s="14" t="s">
        <v>1817</v>
      </c>
      <c r="C878" s="15" t="n">
        <v>2500</v>
      </c>
      <c r="D878" s="15" t="n">
        <v>463</v>
      </c>
      <c r="E878" s="13" t="s">
        <v>82</v>
      </c>
      <c r="F878" s="15" t="str">
        <f aca="false">IF(C878&gt;=J878,"ja","nein")</f>
        <v>ja</v>
      </c>
      <c r="G878" s="15" t="str">
        <f aca="false">IF(C878&gt;=K878,"ja","nein")</f>
        <v>ja</v>
      </c>
      <c r="H878" s="15" t="str">
        <f aca="false">IF(C878&gt;=L878,"ja","nein")</f>
        <v>ja</v>
      </c>
      <c r="I878" s="15" t="str">
        <f aca="false">IF(C878&gt;=M878,"ja","nein")</f>
        <v>ja</v>
      </c>
      <c r="J878" s="15" t="n">
        <f aca="false">ROUND(Annahmen!$K$35*(1+Annahmen!$B$20*D878/1000),0)</f>
        <v>875</v>
      </c>
      <c r="K878" s="15" t="n">
        <f aca="false">ROUND(Annahmen!$K$36*(1+Annahmen!$B$20*D878/1000),0)</f>
        <v>1136</v>
      </c>
      <c r="L878" s="15" t="n">
        <f aca="false">ROUND(Annahmen!$K$37*(1+Annahmen!$B$20*D878/1000),0)</f>
        <v>1161</v>
      </c>
      <c r="M878" s="15" t="n">
        <f aca="false">ROUND(Annahmen!$K$38*(1+Annahmen!$B$20*D878/1000),0)</f>
        <v>1161</v>
      </c>
      <c r="N878" s="16" t="s">
        <v>86</v>
      </c>
    </row>
    <row r="879" customFormat="false" ht="15" hidden="false" customHeight="false" outlineLevel="0" collapsed="false">
      <c r="A879" s="13" t="s">
        <v>1818</v>
      </c>
      <c r="B879" s="14" t="s">
        <v>1819</v>
      </c>
      <c r="C879" s="15" t="n">
        <v>2500</v>
      </c>
      <c r="D879" s="15" t="n">
        <v>194</v>
      </c>
      <c r="E879" s="13" t="s">
        <v>82</v>
      </c>
      <c r="F879" s="15" t="str">
        <f aca="false">IF(C879&gt;=J879,"ja","nein")</f>
        <v>ja</v>
      </c>
      <c r="G879" s="15" t="str">
        <f aca="false">IF(C879&gt;=K879,"ja","nein")</f>
        <v>ja</v>
      </c>
      <c r="H879" s="15" t="str">
        <f aca="false">IF(C879&gt;=L879,"ja","nein")</f>
        <v>ja</v>
      </c>
      <c r="I879" s="15" t="str">
        <f aca="false">IF(C879&gt;=M879,"ja","nein")</f>
        <v>ja</v>
      </c>
      <c r="J879" s="15" t="n">
        <f aca="false">ROUND(Annahmen!$K$35*(1+Annahmen!$B$20*D879/1000),0)</f>
        <v>855</v>
      </c>
      <c r="K879" s="15" t="n">
        <f aca="false">ROUND(Annahmen!$K$36*(1+Annahmen!$B$20*D879/1000),0)</f>
        <v>1110</v>
      </c>
      <c r="L879" s="15" t="n">
        <f aca="false">ROUND(Annahmen!$K$37*(1+Annahmen!$B$20*D879/1000),0)</f>
        <v>1134</v>
      </c>
      <c r="M879" s="15" t="n">
        <f aca="false">ROUND(Annahmen!$K$38*(1+Annahmen!$B$20*D879/1000),0)</f>
        <v>1134</v>
      </c>
      <c r="N879" s="16" t="s">
        <v>86</v>
      </c>
    </row>
    <row r="880" customFormat="false" ht="15" hidden="false" customHeight="false" outlineLevel="0" collapsed="false">
      <c r="A880" s="13" t="s">
        <v>1820</v>
      </c>
      <c r="B880" s="14" t="s">
        <v>1821</v>
      </c>
      <c r="C880" s="15" t="n">
        <v>2492</v>
      </c>
      <c r="D880" s="15" t="n">
        <v>548</v>
      </c>
      <c r="E880" s="13" t="s">
        <v>82</v>
      </c>
      <c r="F880" s="15" t="str">
        <f aca="false">IF(C880&gt;=J880,"ja","nein")</f>
        <v>ja</v>
      </c>
      <c r="G880" s="15" t="str">
        <f aca="false">IF(C880&gt;=K880,"ja","nein")</f>
        <v>ja</v>
      </c>
      <c r="H880" s="15" t="str">
        <f aca="false">IF(C880&gt;=L880,"ja","nein")</f>
        <v>ja</v>
      </c>
      <c r="I880" s="15" t="str">
        <f aca="false">IF(C880&gt;=M880,"ja","nein")</f>
        <v>ja</v>
      </c>
      <c r="J880" s="15" t="n">
        <f aca="false">ROUND(Annahmen!$K$35*(1+Annahmen!$B$20*D880/1000),0)</f>
        <v>881</v>
      </c>
      <c r="K880" s="15" t="n">
        <f aca="false">ROUND(Annahmen!$K$36*(1+Annahmen!$B$20*D880/1000),0)</f>
        <v>1145</v>
      </c>
      <c r="L880" s="15" t="n">
        <f aca="false">ROUND(Annahmen!$K$37*(1+Annahmen!$B$20*D880/1000),0)</f>
        <v>1170</v>
      </c>
      <c r="M880" s="15" t="n">
        <f aca="false">ROUND(Annahmen!$K$38*(1+Annahmen!$B$20*D880/1000),0)</f>
        <v>1170</v>
      </c>
      <c r="N880" s="16" t="s">
        <v>102</v>
      </c>
    </row>
    <row r="881" customFormat="false" ht="15" hidden="false" customHeight="false" outlineLevel="0" collapsed="false">
      <c r="A881" s="13" t="s">
        <v>1822</v>
      </c>
      <c r="B881" s="14" t="s">
        <v>1823</v>
      </c>
      <c r="C881" s="15" t="n">
        <v>2401</v>
      </c>
      <c r="D881" s="15" t="n">
        <v>259</v>
      </c>
      <c r="E881" s="13" t="s">
        <v>82</v>
      </c>
      <c r="F881" s="15" t="str">
        <f aca="false">IF(C881&gt;=J881,"ja","nein")</f>
        <v>ja</v>
      </c>
      <c r="G881" s="15" t="str">
        <f aca="false">IF(C881&gt;=K881,"ja","nein")</f>
        <v>ja</v>
      </c>
      <c r="H881" s="15" t="str">
        <f aca="false">IF(C881&gt;=L881,"ja","nein")</f>
        <v>ja</v>
      </c>
      <c r="I881" s="15" t="str">
        <f aca="false">IF(C881&gt;=M881,"ja","nein")</f>
        <v>ja</v>
      </c>
      <c r="J881" s="15" t="n">
        <f aca="false">ROUND(Annahmen!$K$35*(1+Annahmen!$B$20*D881/1000),0)</f>
        <v>860</v>
      </c>
      <c r="K881" s="15" t="n">
        <f aca="false">ROUND(Annahmen!$K$36*(1+Annahmen!$B$20*D881/1000),0)</f>
        <v>1116</v>
      </c>
      <c r="L881" s="15" t="n">
        <f aca="false">ROUND(Annahmen!$K$37*(1+Annahmen!$B$20*D881/1000),0)</f>
        <v>1141</v>
      </c>
      <c r="M881" s="15" t="n">
        <f aca="false">ROUND(Annahmen!$K$38*(1+Annahmen!$B$20*D881/1000),0)</f>
        <v>1141</v>
      </c>
      <c r="N881" s="16" t="s">
        <v>102</v>
      </c>
    </row>
    <row r="882" customFormat="false" ht="15" hidden="false" customHeight="false" outlineLevel="0" collapsed="false">
      <c r="A882" s="13" t="s">
        <v>1824</v>
      </c>
      <c r="B882" s="14" t="s">
        <v>1825</v>
      </c>
      <c r="C882" s="15" t="n">
        <v>2000</v>
      </c>
      <c r="D882" s="15" t="n">
        <v>860</v>
      </c>
      <c r="E882" s="13" t="s">
        <v>82</v>
      </c>
      <c r="F882" s="15" t="str">
        <f aca="false">IF(C882&gt;=J882,"ja","nein")</f>
        <v>ja</v>
      </c>
      <c r="G882" s="15" t="str">
        <f aca="false">IF(C882&gt;=K882,"ja","nein")</f>
        <v>ja</v>
      </c>
      <c r="H882" s="15" t="str">
        <f aca="false">IF(C882&gt;=L882,"ja","nein")</f>
        <v>ja</v>
      </c>
      <c r="I882" s="15" t="str">
        <f aca="false">IF(C882&gt;=M882,"ja","nein")</f>
        <v>ja</v>
      </c>
      <c r="J882" s="15" t="n">
        <f aca="false">ROUND(Annahmen!$K$35*(1+Annahmen!$B$20*D882/1000),0)</f>
        <v>905</v>
      </c>
      <c r="K882" s="15" t="n">
        <f aca="false">ROUND(Annahmen!$K$36*(1+Annahmen!$B$20*D882/1000),0)</f>
        <v>1175</v>
      </c>
      <c r="L882" s="15" t="n">
        <f aca="false">ROUND(Annahmen!$K$37*(1+Annahmen!$B$20*D882/1000),0)</f>
        <v>1201</v>
      </c>
      <c r="M882" s="15" t="n">
        <f aca="false">ROUND(Annahmen!$K$38*(1+Annahmen!$B$20*D882/1000),0)</f>
        <v>1201</v>
      </c>
      <c r="N882" s="16" t="s">
        <v>102</v>
      </c>
    </row>
    <row r="883" customFormat="false" ht="15" hidden="false" customHeight="false" outlineLevel="0" collapsed="false">
      <c r="A883" s="13" t="s">
        <v>1826</v>
      </c>
      <c r="B883" s="14" t="s">
        <v>1827</v>
      </c>
      <c r="C883" s="15" t="n">
        <v>1900</v>
      </c>
      <c r="D883" s="15" t="n">
        <v>341</v>
      </c>
      <c r="E883" s="13" t="s">
        <v>82</v>
      </c>
      <c r="F883" s="15" t="str">
        <f aca="false">IF(C883&gt;=J883,"ja","nein")</f>
        <v>ja</v>
      </c>
      <c r="G883" s="15" t="str">
        <f aca="false">IF(C883&gt;=K883,"ja","nein")</f>
        <v>ja</v>
      </c>
      <c r="H883" s="15" t="str">
        <f aca="false">IF(C883&gt;=L883,"ja","nein")</f>
        <v>ja</v>
      </c>
      <c r="I883" s="15" t="str">
        <f aca="false">IF(C883&gt;=M883,"ja","nein")</f>
        <v>ja</v>
      </c>
      <c r="J883" s="15" t="n">
        <f aca="false">ROUND(Annahmen!$K$35*(1+Annahmen!$B$20*D883/1000),0)</f>
        <v>866</v>
      </c>
      <c r="K883" s="15" t="n">
        <f aca="false">ROUND(Annahmen!$K$36*(1+Annahmen!$B$20*D883/1000),0)</f>
        <v>1124</v>
      </c>
      <c r="L883" s="15" t="n">
        <f aca="false">ROUND(Annahmen!$K$37*(1+Annahmen!$B$20*D883/1000),0)</f>
        <v>1149</v>
      </c>
      <c r="M883" s="15" t="n">
        <f aca="false">ROUND(Annahmen!$K$38*(1+Annahmen!$B$20*D883/1000),0)</f>
        <v>1149</v>
      </c>
      <c r="N883" s="16" t="s">
        <v>102</v>
      </c>
    </row>
    <row r="884" customFormat="false" ht="15" hidden="false" customHeight="false" outlineLevel="0" collapsed="false">
      <c r="A884" s="13" t="s">
        <v>1828</v>
      </c>
      <c r="B884" s="14" t="s">
        <v>1829</v>
      </c>
      <c r="C884" s="15" t="n">
        <v>1319</v>
      </c>
      <c r="D884" s="15" t="n">
        <v>581</v>
      </c>
      <c r="E884" s="13" t="s">
        <v>82</v>
      </c>
      <c r="F884" s="15" t="str">
        <f aca="false">IF(C884&gt;=J884,"ja","nein")</f>
        <v>ja</v>
      </c>
      <c r="G884" s="15" t="str">
        <f aca="false">IF(C884&gt;=K884,"ja","nein")</f>
        <v>ja</v>
      </c>
      <c r="H884" s="15" t="str">
        <f aca="false">IF(C884&gt;=L884,"ja","nein")</f>
        <v>ja</v>
      </c>
      <c r="I884" s="15" t="str">
        <f aca="false">IF(C884&gt;=M884,"ja","nein")</f>
        <v>ja</v>
      </c>
      <c r="J884" s="15" t="n">
        <f aca="false">ROUND(Annahmen!$K$35*(1+Annahmen!$B$20*D884/1000),0)</f>
        <v>884</v>
      </c>
      <c r="K884" s="15" t="n">
        <f aca="false">ROUND(Annahmen!$K$36*(1+Annahmen!$B$20*D884/1000),0)</f>
        <v>1148</v>
      </c>
      <c r="L884" s="15" t="n">
        <f aca="false">ROUND(Annahmen!$K$37*(1+Annahmen!$B$20*D884/1000),0)</f>
        <v>1173</v>
      </c>
      <c r="M884" s="15" t="n">
        <f aca="false">ROUND(Annahmen!$K$38*(1+Annahmen!$B$20*D884/1000),0)</f>
        <v>1173</v>
      </c>
      <c r="N884" s="16" t="s">
        <v>102</v>
      </c>
    </row>
    <row r="885" customFormat="false" ht="15" hidden="false" customHeight="false" outlineLevel="0" collapsed="false">
      <c r="A885" s="13" t="s">
        <v>1830</v>
      </c>
      <c r="B885" s="14" t="s">
        <v>1831</v>
      </c>
      <c r="C885" s="15" t="n">
        <v>1300</v>
      </c>
      <c r="D885" s="15" t="n">
        <v>352</v>
      </c>
      <c r="E885" s="13" t="s">
        <v>82</v>
      </c>
      <c r="F885" s="15" t="str">
        <f aca="false">IF(C885&gt;=J885,"ja","nein")</f>
        <v>ja</v>
      </c>
      <c r="G885" s="15" t="str">
        <f aca="false">IF(C885&gt;=K885,"ja","nein")</f>
        <v>ja</v>
      </c>
      <c r="H885" s="15" t="str">
        <f aca="false">IF(C885&gt;=L885,"ja","nein")</f>
        <v>ja</v>
      </c>
      <c r="I885" s="15" t="str">
        <f aca="false">IF(C885&gt;=M885,"ja","nein")</f>
        <v>ja</v>
      </c>
      <c r="J885" s="15" t="n">
        <f aca="false">ROUND(Annahmen!$K$35*(1+Annahmen!$B$20*D885/1000),0)</f>
        <v>867</v>
      </c>
      <c r="K885" s="15" t="n">
        <f aca="false">ROUND(Annahmen!$K$36*(1+Annahmen!$B$20*D885/1000),0)</f>
        <v>1126</v>
      </c>
      <c r="L885" s="15" t="n">
        <f aca="false">ROUND(Annahmen!$K$37*(1+Annahmen!$B$20*D885/1000),0)</f>
        <v>1150</v>
      </c>
      <c r="M885" s="15" t="n">
        <f aca="false">ROUND(Annahmen!$K$38*(1+Annahmen!$B$20*D885/1000),0)</f>
        <v>1150</v>
      </c>
      <c r="N885" s="16" t="s">
        <v>102</v>
      </c>
    </row>
    <row r="886" customFormat="false" ht="15" hidden="false" customHeight="false" outlineLevel="0" collapsed="false">
      <c r="A886" s="13" t="s">
        <v>1832</v>
      </c>
      <c r="B886" s="14" t="s">
        <v>1833</v>
      </c>
      <c r="C886" s="15" t="n">
        <v>1269</v>
      </c>
      <c r="D886" s="15" t="n">
        <v>164</v>
      </c>
      <c r="E886" s="13" t="s">
        <v>82</v>
      </c>
      <c r="F886" s="15" t="str">
        <f aca="false">IF(C886&gt;=J886,"ja","nein")</f>
        <v>ja</v>
      </c>
      <c r="G886" s="15" t="str">
        <f aca="false">IF(C886&gt;=K886,"ja","nein")</f>
        <v>ja</v>
      </c>
      <c r="H886" s="15" t="str">
        <f aca="false">IF(C886&gt;=L886,"ja","nein")</f>
        <v>ja</v>
      </c>
      <c r="I886" s="15" t="str">
        <f aca="false">IF(C886&gt;=M886,"ja","nein")</f>
        <v>ja</v>
      </c>
      <c r="J886" s="15" t="n">
        <f aca="false">ROUND(Annahmen!$K$35*(1+Annahmen!$B$20*D886/1000),0)</f>
        <v>852</v>
      </c>
      <c r="K886" s="15" t="n">
        <f aca="false">ROUND(Annahmen!$K$36*(1+Annahmen!$B$20*D886/1000),0)</f>
        <v>1107</v>
      </c>
      <c r="L886" s="15" t="n">
        <f aca="false">ROUND(Annahmen!$K$37*(1+Annahmen!$B$20*D886/1000),0)</f>
        <v>1131</v>
      </c>
      <c r="M886" s="15" t="n">
        <f aca="false">ROUND(Annahmen!$K$38*(1+Annahmen!$B$20*D886/1000),0)</f>
        <v>1131</v>
      </c>
      <c r="N886" s="16" t="s">
        <v>102</v>
      </c>
    </row>
    <row r="887" customFormat="false" ht="15" hidden="false" customHeight="false" outlineLevel="0" collapsed="false">
      <c r="A887" s="13" t="s">
        <v>1834</v>
      </c>
      <c r="B887" s="14" t="s">
        <v>1835</v>
      </c>
      <c r="C887" s="15" t="n">
        <v>1200</v>
      </c>
      <c r="D887" s="15" t="n">
        <v>683</v>
      </c>
      <c r="E887" s="13" t="s">
        <v>82</v>
      </c>
      <c r="F887" s="15" t="str">
        <f aca="false">IF(C887&gt;=J887,"ja","nein")</f>
        <v>ja</v>
      </c>
      <c r="G887" s="15" t="str">
        <f aca="false">IF(C887&gt;=K887,"ja","nein")</f>
        <v>ja</v>
      </c>
      <c r="H887" s="15" t="str">
        <f aca="false">IF(C887&gt;=L887,"ja","nein")</f>
        <v>ja</v>
      </c>
      <c r="I887" s="15" t="str">
        <f aca="false">IF(C887&gt;=M887,"ja","nein")</f>
        <v>ja</v>
      </c>
      <c r="J887" s="15" t="n">
        <f aca="false">ROUND(Annahmen!$K$35*(1+Annahmen!$B$20*D887/1000),0)</f>
        <v>892</v>
      </c>
      <c r="K887" s="15" t="n">
        <f aca="false">ROUND(Annahmen!$K$36*(1+Annahmen!$B$20*D887/1000),0)</f>
        <v>1158</v>
      </c>
      <c r="L887" s="15" t="n">
        <f aca="false">ROUND(Annahmen!$K$37*(1+Annahmen!$B$20*D887/1000),0)</f>
        <v>1184</v>
      </c>
      <c r="M887" s="15" t="n">
        <f aca="false">ROUND(Annahmen!$K$38*(1+Annahmen!$B$20*D887/1000),0)</f>
        <v>1184</v>
      </c>
      <c r="N887" s="16" t="s">
        <v>102</v>
      </c>
    </row>
    <row r="888" customFormat="false" ht="15" hidden="false" customHeight="false" outlineLevel="0" collapsed="false">
      <c r="A888" s="13" t="s">
        <v>1836</v>
      </c>
      <c r="B888" s="14" t="s">
        <v>1837</v>
      </c>
      <c r="C888" s="15" t="n">
        <v>1193</v>
      </c>
      <c r="D888" s="15" t="n">
        <v>1455</v>
      </c>
      <c r="E888" s="13" t="s">
        <v>82</v>
      </c>
      <c r="F888" s="15" t="str">
        <f aca="false">IF(C888&gt;=J888,"ja","nein")</f>
        <v>ja</v>
      </c>
      <c r="G888" s="15" t="str">
        <f aca="false">IF(C888&gt;=K888,"ja","nein")</f>
        <v>nein</v>
      </c>
      <c r="H888" s="15" t="str">
        <f aca="false">IF(C888&gt;=L888,"ja","nein")</f>
        <v>nein</v>
      </c>
      <c r="I888" s="15" t="str">
        <f aca="false">IF(C888&gt;=M888,"ja","nein")</f>
        <v>nein</v>
      </c>
      <c r="J888" s="15" t="n">
        <f aca="false">ROUND(Annahmen!$K$35*(1+Annahmen!$B$20*D888/1000),0)</f>
        <v>950</v>
      </c>
      <c r="K888" s="15" t="n">
        <f aca="false">ROUND(Annahmen!$K$36*(1+Annahmen!$B$20*D888/1000),0)</f>
        <v>1234</v>
      </c>
      <c r="L888" s="15" t="n">
        <f aca="false">ROUND(Annahmen!$K$37*(1+Annahmen!$B$20*D888/1000),0)</f>
        <v>1261</v>
      </c>
      <c r="M888" s="15" t="n">
        <f aca="false">ROUND(Annahmen!$K$38*(1+Annahmen!$B$20*D888/1000),0)</f>
        <v>1261</v>
      </c>
      <c r="N888" s="16" t="s">
        <v>102</v>
      </c>
    </row>
    <row r="889" customFormat="false" ht="15" hidden="false" customHeight="false" outlineLevel="0" collapsed="false">
      <c r="A889" s="13" t="s">
        <v>1838</v>
      </c>
      <c r="B889" s="14" t="s">
        <v>1839</v>
      </c>
      <c r="C889" s="15" t="n">
        <v>1155</v>
      </c>
      <c r="D889" s="15" t="n">
        <v>1010</v>
      </c>
      <c r="E889" s="13" t="s">
        <v>82</v>
      </c>
      <c r="F889" s="15" t="str">
        <f aca="false">IF(C889&gt;=J889,"ja","nein")</f>
        <v>ja</v>
      </c>
      <c r="G889" s="15" t="str">
        <f aca="false">IF(C889&gt;=K889,"ja","nein")</f>
        <v>nein</v>
      </c>
      <c r="H889" s="15" t="str">
        <f aca="false">IF(C889&gt;=L889,"ja","nein")</f>
        <v>nein</v>
      </c>
      <c r="I889" s="15" t="str">
        <f aca="false">IF(C889&gt;=M889,"ja","nein")</f>
        <v>nein</v>
      </c>
      <c r="J889" s="15" t="n">
        <f aca="false">ROUND(Annahmen!$K$35*(1+Annahmen!$B$20*D889/1000),0)</f>
        <v>916</v>
      </c>
      <c r="K889" s="15" t="n">
        <f aca="false">ROUND(Annahmen!$K$36*(1+Annahmen!$B$20*D889/1000),0)</f>
        <v>1190</v>
      </c>
      <c r="L889" s="15" t="n">
        <f aca="false">ROUND(Annahmen!$K$37*(1+Annahmen!$B$20*D889/1000),0)</f>
        <v>1216</v>
      </c>
      <c r="M889" s="15" t="n">
        <f aca="false">ROUND(Annahmen!$K$38*(1+Annahmen!$B$20*D889/1000),0)</f>
        <v>1216</v>
      </c>
      <c r="N889" s="16" t="s">
        <v>102</v>
      </c>
    </row>
    <row r="890" customFormat="false" ht="15" hidden="false" customHeight="false" outlineLevel="0" collapsed="false">
      <c r="A890" s="13" t="s">
        <v>1840</v>
      </c>
      <c r="B890" s="14" t="s">
        <v>1841</v>
      </c>
      <c r="C890" s="15" t="n">
        <v>1109</v>
      </c>
      <c r="D890" s="15" t="n">
        <v>909</v>
      </c>
      <c r="E890" s="13" t="s">
        <v>82</v>
      </c>
      <c r="F890" s="15" t="str">
        <f aca="false">IF(C890&gt;=J890,"ja","nein")</f>
        <v>ja</v>
      </c>
      <c r="G890" s="15" t="str">
        <f aca="false">IF(C890&gt;=K890,"ja","nein")</f>
        <v>nein</v>
      </c>
      <c r="H890" s="15" t="str">
        <f aca="false">IF(C890&gt;=L890,"ja","nein")</f>
        <v>nein</v>
      </c>
      <c r="I890" s="15" t="str">
        <f aca="false">IF(C890&gt;=M890,"ja","nein")</f>
        <v>nein</v>
      </c>
      <c r="J890" s="15" t="n">
        <f aca="false">ROUND(Annahmen!$K$35*(1+Annahmen!$B$20*D890/1000),0)</f>
        <v>909</v>
      </c>
      <c r="K890" s="15" t="n">
        <f aca="false">ROUND(Annahmen!$K$36*(1+Annahmen!$B$20*D890/1000),0)</f>
        <v>1180</v>
      </c>
      <c r="L890" s="15" t="n">
        <f aca="false">ROUND(Annahmen!$K$37*(1+Annahmen!$B$20*D890/1000),0)</f>
        <v>1206</v>
      </c>
      <c r="M890" s="15" t="n">
        <f aca="false">ROUND(Annahmen!$K$38*(1+Annahmen!$B$20*D890/1000),0)</f>
        <v>1206</v>
      </c>
      <c r="N890" s="16" t="s">
        <v>102</v>
      </c>
    </row>
    <row r="891" customFormat="false" ht="15" hidden="false" customHeight="false" outlineLevel="0" collapsed="false">
      <c r="A891" s="13" t="s">
        <v>1842</v>
      </c>
      <c r="B891" s="14" t="s">
        <v>1843</v>
      </c>
      <c r="C891" s="15" t="n">
        <v>1100</v>
      </c>
      <c r="D891" s="15" t="n">
        <v>922</v>
      </c>
      <c r="E891" s="13" t="s">
        <v>82</v>
      </c>
      <c r="F891" s="15" t="str">
        <f aca="false">IF(C891&gt;=J891,"ja","nein")</f>
        <v>ja</v>
      </c>
      <c r="G891" s="15" t="str">
        <f aca="false">IF(C891&gt;=K891,"ja","nein")</f>
        <v>nein</v>
      </c>
      <c r="H891" s="15" t="str">
        <f aca="false">IF(C891&gt;=L891,"ja","nein")</f>
        <v>nein</v>
      </c>
      <c r="I891" s="15" t="str">
        <f aca="false">IF(C891&gt;=M891,"ja","nein")</f>
        <v>nein</v>
      </c>
      <c r="J891" s="15" t="n">
        <f aca="false">ROUND(Annahmen!$K$35*(1+Annahmen!$B$20*D891/1000),0)</f>
        <v>910</v>
      </c>
      <c r="K891" s="15" t="n">
        <f aca="false">ROUND(Annahmen!$K$36*(1+Annahmen!$B$20*D891/1000),0)</f>
        <v>1182</v>
      </c>
      <c r="L891" s="15" t="n">
        <f aca="false">ROUND(Annahmen!$K$37*(1+Annahmen!$B$20*D891/1000),0)</f>
        <v>1208</v>
      </c>
      <c r="M891" s="15" t="n">
        <f aca="false">ROUND(Annahmen!$K$38*(1+Annahmen!$B$20*D891/1000),0)</f>
        <v>1208</v>
      </c>
      <c r="N891" s="16" t="s">
        <v>102</v>
      </c>
    </row>
    <row r="892" customFormat="false" ht="15" hidden="false" customHeight="false" outlineLevel="0" collapsed="false">
      <c r="A892" s="13" t="s">
        <v>1844</v>
      </c>
      <c r="B892" s="14" t="s">
        <v>1845</v>
      </c>
      <c r="C892" s="15" t="n">
        <v>1020</v>
      </c>
      <c r="D892" s="15" t="n">
        <v>712</v>
      </c>
      <c r="E892" s="13" t="s">
        <v>82</v>
      </c>
      <c r="F892" s="15" t="str">
        <f aca="false">IF(C892&gt;=J892,"ja","nein")</f>
        <v>ja</v>
      </c>
      <c r="G892" s="15" t="str">
        <f aca="false">IF(C892&gt;=K892,"ja","nein")</f>
        <v>nein</v>
      </c>
      <c r="H892" s="15" t="str">
        <f aca="false">IF(C892&gt;=L892,"ja","nein")</f>
        <v>nein</v>
      </c>
      <c r="I892" s="15" t="str">
        <f aca="false">IF(C892&gt;=M892,"ja","nein")</f>
        <v>nein</v>
      </c>
      <c r="J892" s="15" t="n">
        <f aca="false">ROUND(Annahmen!$K$35*(1+Annahmen!$B$20*D892/1000),0)</f>
        <v>894</v>
      </c>
      <c r="K892" s="15" t="n">
        <f aca="false">ROUND(Annahmen!$K$36*(1+Annahmen!$B$20*D892/1000),0)</f>
        <v>1161</v>
      </c>
      <c r="L892" s="15" t="n">
        <f aca="false">ROUND(Annahmen!$K$37*(1+Annahmen!$B$20*D892/1000),0)</f>
        <v>1186</v>
      </c>
      <c r="M892" s="15" t="n">
        <f aca="false">ROUND(Annahmen!$K$38*(1+Annahmen!$B$20*D892/1000),0)</f>
        <v>1186</v>
      </c>
      <c r="N892" s="16" t="s">
        <v>102</v>
      </c>
    </row>
    <row r="893" customFormat="false" ht="15" hidden="false" customHeight="false" outlineLevel="0" collapsed="false">
      <c r="A893" s="13" t="s">
        <v>1846</v>
      </c>
      <c r="B893" s="14" t="s">
        <v>1847</v>
      </c>
      <c r="C893" s="15" t="n">
        <v>1000</v>
      </c>
      <c r="D893" s="15" t="n">
        <v>512</v>
      </c>
      <c r="E893" s="13" t="s">
        <v>82</v>
      </c>
      <c r="F893" s="15" t="str">
        <f aca="false">IF(C893&gt;=J893,"ja","nein")</f>
        <v>ja</v>
      </c>
      <c r="G893" s="15" t="str">
        <f aca="false">IF(C893&gt;=K893,"ja","nein")</f>
        <v>nein</v>
      </c>
      <c r="H893" s="15" t="str">
        <f aca="false">IF(C893&gt;=L893,"ja","nein")</f>
        <v>nein</v>
      </c>
      <c r="I893" s="15" t="str">
        <f aca="false">IF(C893&gt;=M893,"ja","nein")</f>
        <v>nein</v>
      </c>
      <c r="J893" s="15" t="n">
        <f aca="false">ROUND(Annahmen!$K$35*(1+Annahmen!$B$20*D893/1000),0)</f>
        <v>879</v>
      </c>
      <c r="K893" s="15" t="n">
        <f aca="false">ROUND(Annahmen!$K$36*(1+Annahmen!$B$20*D893/1000),0)</f>
        <v>1141</v>
      </c>
      <c r="L893" s="15" t="n">
        <f aca="false">ROUND(Annahmen!$K$37*(1+Annahmen!$B$20*D893/1000),0)</f>
        <v>1166</v>
      </c>
      <c r="M893" s="15" t="n">
        <f aca="false">ROUND(Annahmen!$K$38*(1+Annahmen!$B$20*D893/1000),0)</f>
        <v>1166</v>
      </c>
      <c r="N893" s="16" t="s">
        <v>102</v>
      </c>
    </row>
    <row r="894" customFormat="false" ht="15" hidden="false" customHeight="false" outlineLevel="0" collapsed="false">
      <c r="A894" s="13" t="s">
        <v>1848</v>
      </c>
      <c r="B894" s="14" t="s">
        <v>1849</v>
      </c>
      <c r="C894" s="15" t="n">
        <v>995</v>
      </c>
      <c r="D894" s="15" t="n">
        <v>839</v>
      </c>
      <c r="E894" s="13" t="s">
        <v>82</v>
      </c>
      <c r="F894" s="15" t="str">
        <f aca="false">IF(C894&gt;=J894,"ja","nein")</f>
        <v>ja</v>
      </c>
      <c r="G894" s="15" t="str">
        <f aca="false">IF(C894&gt;=K894,"ja","nein")</f>
        <v>nein</v>
      </c>
      <c r="H894" s="15" t="str">
        <f aca="false">IF(C894&gt;=L894,"ja","nein")</f>
        <v>nein</v>
      </c>
      <c r="I894" s="15" t="str">
        <f aca="false">IF(C894&gt;=M894,"ja","nein")</f>
        <v>nein</v>
      </c>
      <c r="J894" s="15" t="n">
        <f aca="false">ROUND(Annahmen!$K$35*(1+Annahmen!$B$20*D894/1000),0)</f>
        <v>903</v>
      </c>
      <c r="K894" s="15" t="n">
        <f aca="false">ROUND(Annahmen!$K$36*(1+Annahmen!$B$20*D894/1000),0)</f>
        <v>1173</v>
      </c>
      <c r="L894" s="15" t="n">
        <f aca="false">ROUND(Annahmen!$K$37*(1+Annahmen!$B$20*D894/1000),0)</f>
        <v>1199</v>
      </c>
      <c r="M894" s="15" t="n">
        <f aca="false">ROUND(Annahmen!$K$38*(1+Annahmen!$B$20*D894/1000),0)</f>
        <v>1199</v>
      </c>
      <c r="N894" s="16" t="s">
        <v>102</v>
      </c>
    </row>
    <row r="895" customFormat="false" ht="15" hidden="false" customHeight="false" outlineLevel="0" collapsed="false">
      <c r="A895" s="13" t="s">
        <v>1850</v>
      </c>
      <c r="B895" s="14" t="s">
        <v>1851</v>
      </c>
      <c r="C895" s="15" t="n">
        <v>950</v>
      </c>
      <c r="D895" s="15" t="n">
        <v>673</v>
      </c>
      <c r="E895" s="13" t="s">
        <v>82</v>
      </c>
      <c r="F895" s="15" t="str">
        <f aca="false">IF(C895&gt;=J895,"ja","nein")</f>
        <v>ja</v>
      </c>
      <c r="G895" s="15" t="str">
        <f aca="false">IF(C895&gt;=K895,"ja","nein")</f>
        <v>nein</v>
      </c>
      <c r="H895" s="15" t="str">
        <f aca="false">IF(C895&gt;=L895,"ja","nein")</f>
        <v>nein</v>
      </c>
      <c r="I895" s="15" t="str">
        <f aca="false">IF(C895&gt;=M895,"ja","nein")</f>
        <v>nein</v>
      </c>
      <c r="J895" s="15" t="n">
        <f aca="false">ROUND(Annahmen!$K$35*(1+Annahmen!$B$20*D895/1000),0)</f>
        <v>891</v>
      </c>
      <c r="K895" s="15" t="n">
        <f aca="false">ROUND(Annahmen!$K$36*(1+Annahmen!$B$20*D895/1000),0)</f>
        <v>1157</v>
      </c>
      <c r="L895" s="15" t="n">
        <f aca="false">ROUND(Annahmen!$K$37*(1+Annahmen!$B$20*D895/1000),0)</f>
        <v>1183</v>
      </c>
      <c r="M895" s="15" t="n">
        <f aca="false">ROUND(Annahmen!$K$38*(1+Annahmen!$B$20*D895/1000),0)</f>
        <v>1183</v>
      </c>
      <c r="N895" s="16" t="s">
        <v>102</v>
      </c>
    </row>
    <row r="896" customFormat="false" ht="15" hidden="false" customHeight="false" outlineLevel="0" collapsed="false">
      <c r="A896" s="13" t="s">
        <v>1852</v>
      </c>
      <c r="B896" s="14" t="s">
        <v>1853</v>
      </c>
      <c r="C896" s="15" t="n">
        <v>900</v>
      </c>
      <c r="D896" s="15" t="n">
        <v>830</v>
      </c>
      <c r="E896" s="13" t="s">
        <v>82</v>
      </c>
      <c r="F896" s="15" t="str">
        <f aca="false">IF(C896&gt;=J896,"ja","nein")</f>
        <v>nein</v>
      </c>
      <c r="G896" s="15" t="str">
        <f aca="false">IF(C896&gt;=K896,"ja","nein")</f>
        <v>nein</v>
      </c>
      <c r="H896" s="15" t="str">
        <f aca="false">IF(C896&gt;=L896,"ja","nein")</f>
        <v>nein</v>
      </c>
      <c r="I896" s="15" t="str">
        <f aca="false">IF(C896&gt;=M896,"ja","nein")</f>
        <v>nein</v>
      </c>
      <c r="J896" s="15" t="n">
        <f aca="false">ROUND(Annahmen!$K$35*(1+Annahmen!$B$20*D896/1000),0)</f>
        <v>903</v>
      </c>
      <c r="K896" s="15" t="n">
        <f aca="false">ROUND(Annahmen!$K$36*(1+Annahmen!$B$20*D896/1000),0)</f>
        <v>1172</v>
      </c>
      <c r="L896" s="15" t="n">
        <f aca="false">ROUND(Annahmen!$K$37*(1+Annahmen!$B$20*D896/1000),0)</f>
        <v>1198</v>
      </c>
      <c r="M896" s="15" t="n">
        <f aca="false">ROUND(Annahmen!$K$38*(1+Annahmen!$B$20*D896/1000),0)</f>
        <v>1198</v>
      </c>
      <c r="N896" s="16" t="s">
        <v>102</v>
      </c>
    </row>
    <row r="897" customFormat="false" ht="15" hidden="false" customHeight="false" outlineLevel="0" collapsed="false">
      <c r="A897" s="13" t="s">
        <v>1854</v>
      </c>
      <c r="B897" s="14" t="s">
        <v>1855</v>
      </c>
      <c r="C897" s="15" t="n">
        <v>900</v>
      </c>
      <c r="D897" s="15" t="n">
        <v>655</v>
      </c>
      <c r="E897" s="13" t="s">
        <v>82</v>
      </c>
      <c r="F897" s="15" t="str">
        <f aca="false">IF(C897&gt;=J897,"ja","nein")</f>
        <v>ja</v>
      </c>
      <c r="G897" s="15" t="str">
        <f aca="false">IF(C897&gt;=K897,"ja","nein")</f>
        <v>nein</v>
      </c>
      <c r="H897" s="15" t="str">
        <f aca="false">IF(C897&gt;=L897,"ja","nein")</f>
        <v>nein</v>
      </c>
      <c r="I897" s="15" t="str">
        <f aca="false">IF(C897&gt;=M897,"ja","nein")</f>
        <v>nein</v>
      </c>
      <c r="J897" s="15" t="n">
        <f aca="false">ROUND(Annahmen!$K$35*(1+Annahmen!$B$20*D897/1000),0)</f>
        <v>890</v>
      </c>
      <c r="K897" s="15" t="n">
        <f aca="false">ROUND(Annahmen!$K$36*(1+Annahmen!$B$20*D897/1000),0)</f>
        <v>1155</v>
      </c>
      <c r="L897" s="15" t="n">
        <f aca="false">ROUND(Annahmen!$K$37*(1+Annahmen!$B$20*D897/1000),0)</f>
        <v>1181</v>
      </c>
      <c r="M897" s="15" t="n">
        <f aca="false">ROUND(Annahmen!$K$38*(1+Annahmen!$B$20*D897/1000),0)</f>
        <v>1181</v>
      </c>
      <c r="N897" s="16" t="s">
        <v>102</v>
      </c>
    </row>
    <row r="898" customFormat="false" ht="15" hidden="false" customHeight="false" outlineLevel="0" collapsed="false">
      <c r="A898" s="13" t="s">
        <v>1856</v>
      </c>
      <c r="B898" s="14" t="s">
        <v>1857</v>
      </c>
      <c r="C898" s="15" t="n">
        <v>892</v>
      </c>
      <c r="D898" s="15" t="n">
        <v>20</v>
      </c>
      <c r="E898" s="13" t="s">
        <v>82</v>
      </c>
      <c r="F898" s="15" t="str">
        <f aca="false">IF(C898&gt;=J898,"ja","nein")</f>
        <v>ja</v>
      </c>
      <c r="G898" s="15" t="str">
        <f aca="false">IF(C898&gt;=K898,"ja","nein")</f>
        <v>nein</v>
      </c>
      <c r="H898" s="15" t="str">
        <f aca="false">IF(C898&gt;=L898,"ja","nein")</f>
        <v>nein</v>
      </c>
      <c r="I898" s="15" t="str">
        <f aca="false">IF(C898&gt;=M898,"ja","nein")</f>
        <v>nein</v>
      </c>
      <c r="J898" s="15" t="n">
        <f aca="false">ROUND(Annahmen!$K$35*(1+Annahmen!$B$20*D898/1000),0)</f>
        <v>842</v>
      </c>
      <c r="K898" s="15" t="n">
        <f aca="false">ROUND(Annahmen!$K$36*(1+Annahmen!$B$20*D898/1000),0)</f>
        <v>1093</v>
      </c>
      <c r="L898" s="15" t="n">
        <f aca="false">ROUND(Annahmen!$K$37*(1+Annahmen!$B$20*D898/1000),0)</f>
        <v>1117</v>
      </c>
      <c r="M898" s="15" t="n">
        <f aca="false">ROUND(Annahmen!$K$38*(1+Annahmen!$B$20*D898/1000),0)</f>
        <v>1117</v>
      </c>
      <c r="N898" s="16" t="s">
        <v>102</v>
      </c>
    </row>
    <row r="899" customFormat="false" ht="15" hidden="false" customHeight="false" outlineLevel="0" collapsed="false">
      <c r="A899" s="13" t="s">
        <v>1858</v>
      </c>
      <c r="B899" s="14" t="s">
        <v>1859</v>
      </c>
      <c r="C899" s="15" t="n">
        <v>850</v>
      </c>
      <c r="D899" s="15" t="n">
        <v>440</v>
      </c>
      <c r="E899" s="13" t="s">
        <v>82</v>
      </c>
      <c r="F899" s="15" t="str">
        <f aca="false">IF(C899&gt;=J899,"ja","nein")</f>
        <v>nein</v>
      </c>
      <c r="G899" s="15" t="str">
        <f aca="false">IF(C899&gt;=K899,"ja","nein")</f>
        <v>nein</v>
      </c>
      <c r="H899" s="15" t="str">
        <f aca="false">IF(C899&gt;=L899,"ja","nein")</f>
        <v>nein</v>
      </c>
      <c r="I899" s="15" t="str">
        <f aca="false">IF(C899&gt;=M899,"ja","nein")</f>
        <v>nein</v>
      </c>
      <c r="J899" s="15" t="n">
        <f aca="false">ROUND(Annahmen!$K$35*(1+Annahmen!$B$20*D899/1000),0)</f>
        <v>873</v>
      </c>
      <c r="K899" s="15" t="n">
        <f aca="false">ROUND(Annahmen!$K$36*(1+Annahmen!$B$20*D899/1000),0)</f>
        <v>1134</v>
      </c>
      <c r="L899" s="15" t="n">
        <f aca="false">ROUND(Annahmen!$K$37*(1+Annahmen!$B$20*D899/1000),0)</f>
        <v>1159</v>
      </c>
      <c r="M899" s="15" t="n">
        <f aca="false">ROUND(Annahmen!$K$38*(1+Annahmen!$B$20*D899/1000),0)</f>
        <v>1159</v>
      </c>
      <c r="N899" s="16" t="s">
        <v>102</v>
      </c>
    </row>
    <row r="900" customFormat="false" ht="15" hidden="false" customHeight="false" outlineLevel="0" collapsed="false">
      <c r="A900" s="13" t="s">
        <v>1860</v>
      </c>
      <c r="B900" s="14" t="s">
        <v>1861</v>
      </c>
      <c r="C900" s="15" t="n">
        <v>739</v>
      </c>
      <c r="D900" s="15" t="n">
        <v>732</v>
      </c>
      <c r="E900" s="13" t="s">
        <v>82</v>
      </c>
      <c r="F900" s="15" t="str">
        <f aca="false">IF(C900&gt;=J900,"ja","nein")</f>
        <v>nein</v>
      </c>
      <c r="G900" s="15" t="str">
        <f aca="false">IF(C900&gt;=K900,"ja","nein")</f>
        <v>nein</v>
      </c>
      <c r="H900" s="15" t="str">
        <f aca="false">IF(C900&gt;=L900,"ja","nein")</f>
        <v>nein</v>
      </c>
      <c r="I900" s="15" t="str">
        <f aca="false">IF(C900&gt;=M900,"ja","nein")</f>
        <v>nein</v>
      </c>
      <c r="J900" s="15" t="n">
        <f aca="false">ROUND(Annahmen!$K$35*(1+Annahmen!$B$20*D900/1000),0)</f>
        <v>895</v>
      </c>
      <c r="K900" s="15" t="n">
        <f aca="false">ROUND(Annahmen!$K$36*(1+Annahmen!$B$20*D900/1000),0)</f>
        <v>1163</v>
      </c>
      <c r="L900" s="15" t="n">
        <f aca="false">ROUND(Annahmen!$K$37*(1+Annahmen!$B$20*D900/1000),0)</f>
        <v>1188</v>
      </c>
      <c r="M900" s="15" t="n">
        <f aca="false">ROUND(Annahmen!$K$38*(1+Annahmen!$B$20*D900/1000),0)</f>
        <v>1188</v>
      </c>
      <c r="N900" s="16" t="s">
        <v>102</v>
      </c>
    </row>
    <row r="901" customFormat="false" ht="15" hidden="false" customHeight="false" outlineLevel="0" collapsed="false">
      <c r="A901" s="11" t="s">
        <v>1862</v>
      </c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</row>
    <row r="902" customFormat="false" ht="15" hidden="false" customHeight="false" outlineLevel="0" collapsed="false">
      <c r="A902" s="13" t="s">
        <v>1863</v>
      </c>
      <c r="B902" s="14" t="s">
        <v>1864</v>
      </c>
      <c r="C902" s="15" t="n">
        <v>3810</v>
      </c>
      <c r="D902" s="15" t="n">
        <v>374</v>
      </c>
      <c r="E902" s="13" t="s">
        <v>82</v>
      </c>
      <c r="F902" s="15" t="str">
        <f aca="false">IF(C902&gt;=J902,"ja","nein")</f>
        <v>ja</v>
      </c>
      <c r="G902" s="15" t="str">
        <f aca="false">IF(C902&gt;=K902,"ja","nein")</f>
        <v>ja</v>
      </c>
      <c r="H902" s="15" t="str">
        <f aca="false">IF(C902&gt;=L902,"ja","nein")</f>
        <v>ja</v>
      </c>
      <c r="I902" s="15" t="str">
        <f aca="false">IF(C902&gt;=M902,"ja","nein")</f>
        <v>ja</v>
      </c>
      <c r="J902" s="15" t="n">
        <f aca="false">ROUND(Annahmen!$K$35*(1+Annahmen!$B$20*D902/1000),0)</f>
        <v>868</v>
      </c>
      <c r="K902" s="15" t="n">
        <f aca="false">ROUND(Annahmen!$K$36*(1+Annahmen!$B$20*D902/1000),0)</f>
        <v>1128</v>
      </c>
      <c r="L902" s="15" t="n">
        <f aca="false">ROUND(Annahmen!$K$37*(1+Annahmen!$B$20*D902/1000),0)</f>
        <v>1153</v>
      </c>
      <c r="M902" s="15" t="n">
        <f aca="false">ROUND(Annahmen!$K$38*(1+Annahmen!$B$20*D902/1000),0)</f>
        <v>1153</v>
      </c>
      <c r="N902" s="16" t="s">
        <v>83</v>
      </c>
    </row>
    <row r="903" customFormat="false" ht="15" hidden="false" customHeight="false" outlineLevel="0" collapsed="false">
      <c r="A903" s="13" t="s">
        <v>1865</v>
      </c>
      <c r="B903" s="14" t="s">
        <v>1866</v>
      </c>
      <c r="C903" s="15" t="n">
        <v>3480</v>
      </c>
      <c r="D903" s="15" t="n">
        <v>228</v>
      </c>
      <c r="E903" s="13" t="s">
        <v>82</v>
      </c>
      <c r="F903" s="15" t="str">
        <f aca="false">IF(C903&gt;=J903,"ja","nein")</f>
        <v>ja</v>
      </c>
      <c r="G903" s="15" t="str">
        <f aca="false">IF(C903&gt;=K903,"ja","nein")</f>
        <v>ja</v>
      </c>
      <c r="H903" s="15" t="str">
        <f aca="false">IF(C903&gt;=L903,"ja","nein")</f>
        <v>ja</v>
      </c>
      <c r="I903" s="15" t="str">
        <f aca="false">IF(C903&gt;=M903,"ja","nein")</f>
        <v>ja</v>
      </c>
      <c r="J903" s="15" t="n">
        <f aca="false">ROUND(Annahmen!$K$35*(1+Annahmen!$B$20*D903/1000),0)</f>
        <v>857</v>
      </c>
      <c r="K903" s="15" t="n">
        <f aca="false">ROUND(Annahmen!$K$36*(1+Annahmen!$B$20*D903/1000),0)</f>
        <v>1113</v>
      </c>
      <c r="L903" s="15" t="n">
        <f aca="false">ROUND(Annahmen!$K$37*(1+Annahmen!$B$20*D903/1000),0)</f>
        <v>1138</v>
      </c>
      <c r="M903" s="15" t="n">
        <f aca="false">ROUND(Annahmen!$K$38*(1+Annahmen!$B$20*D903/1000),0)</f>
        <v>1138</v>
      </c>
      <c r="N903" s="16" t="s">
        <v>83</v>
      </c>
    </row>
    <row r="904" customFormat="false" ht="15" hidden="false" customHeight="false" outlineLevel="0" collapsed="false">
      <c r="A904" s="13" t="s">
        <v>1867</v>
      </c>
      <c r="B904" s="14" t="s">
        <v>1868</v>
      </c>
      <c r="C904" s="15" t="n">
        <v>3313</v>
      </c>
      <c r="D904" s="15" t="n">
        <v>180</v>
      </c>
      <c r="E904" s="13" t="s">
        <v>82</v>
      </c>
      <c r="F904" s="15" t="str">
        <f aca="false">IF(C904&gt;=J904,"ja","nein")</f>
        <v>ja</v>
      </c>
      <c r="G904" s="15" t="str">
        <f aca="false">IF(C904&gt;=K904,"ja","nein")</f>
        <v>ja</v>
      </c>
      <c r="H904" s="15" t="str">
        <f aca="false">IF(C904&gt;=L904,"ja","nein")</f>
        <v>ja</v>
      </c>
      <c r="I904" s="15" t="str">
        <f aca="false">IF(C904&gt;=M904,"ja","nein")</f>
        <v>ja</v>
      </c>
      <c r="J904" s="15" t="n">
        <f aca="false">ROUND(Annahmen!$K$35*(1+Annahmen!$B$20*D904/1000),0)</f>
        <v>854</v>
      </c>
      <c r="K904" s="15" t="n">
        <f aca="false">ROUND(Annahmen!$K$36*(1+Annahmen!$B$20*D904/1000),0)</f>
        <v>1109</v>
      </c>
      <c r="L904" s="15" t="n">
        <f aca="false">ROUND(Annahmen!$K$37*(1+Annahmen!$B$20*D904/1000),0)</f>
        <v>1133</v>
      </c>
      <c r="M904" s="15" t="n">
        <f aca="false">ROUND(Annahmen!$K$38*(1+Annahmen!$B$20*D904/1000),0)</f>
        <v>1133</v>
      </c>
      <c r="N904" s="16" t="s">
        <v>86</v>
      </c>
    </row>
    <row r="905" customFormat="false" ht="15" hidden="false" customHeight="false" outlineLevel="0" collapsed="false">
      <c r="A905" s="13" t="s">
        <v>1869</v>
      </c>
      <c r="B905" s="14" t="s">
        <v>1870</v>
      </c>
      <c r="C905" s="15" t="n">
        <v>3048</v>
      </c>
      <c r="D905" s="15" t="n">
        <v>308</v>
      </c>
      <c r="E905" s="13" t="s">
        <v>82</v>
      </c>
      <c r="F905" s="15" t="str">
        <f aca="false">IF(C905&gt;=J905,"ja","nein")</f>
        <v>ja</v>
      </c>
      <c r="G905" s="15" t="str">
        <f aca="false">IF(C905&gt;=K905,"ja","nein")</f>
        <v>ja</v>
      </c>
      <c r="H905" s="15" t="str">
        <f aca="false">IF(C905&gt;=L905,"ja","nein")</f>
        <v>ja</v>
      </c>
      <c r="I905" s="15" t="str">
        <f aca="false">IF(C905&gt;=M905,"ja","nein")</f>
        <v>ja</v>
      </c>
      <c r="J905" s="15" t="n">
        <f aca="false">ROUND(Annahmen!$K$35*(1+Annahmen!$B$20*D905/1000),0)</f>
        <v>863</v>
      </c>
      <c r="K905" s="15" t="n">
        <f aca="false">ROUND(Annahmen!$K$36*(1+Annahmen!$B$20*D905/1000),0)</f>
        <v>1121</v>
      </c>
      <c r="L905" s="15" t="n">
        <f aca="false">ROUND(Annahmen!$K$37*(1+Annahmen!$B$20*D905/1000),0)</f>
        <v>1146</v>
      </c>
      <c r="M905" s="15" t="n">
        <f aca="false">ROUND(Annahmen!$K$38*(1+Annahmen!$B$20*D905/1000),0)</f>
        <v>1146</v>
      </c>
      <c r="N905" s="16" t="s">
        <v>86</v>
      </c>
    </row>
    <row r="906" customFormat="false" ht="15" hidden="false" customHeight="false" outlineLevel="0" collapsed="false">
      <c r="A906" s="13" t="s">
        <v>1871</v>
      </c>
      <c r="B906" s="14" t="s">
        <v>1872</v>
      </c>
      <c r="C906" s="15" t="n">
        <v>3006</v>
      </c>
      <c r="D906" s="15" t="n">
        <v>341</v>
      </c>
      <c r="E906" s="13" t="s">
        <v>82</v>
      </c>
      <c r="F906" s="15" t="str">
        <f aca="false">IF(C906&gt;=J906,"ja","nein")</f>
        <v>ja</v>
      </c>
      <c r="G906" s="15" t="str">
        <f aca="false">IF(C906&gt;=K906,"ja","nein")</f>
        <v>ja</v>
      </c>
      <c r="H906" s="15" t="str">
        <f aca="false">IF(C906&gt;=L906,"ja","nein")</f>
        <v>ja</v>
      </c>
      <c r="I906" s="15" t="str">
        <f aca="false">IF(C906&gt;=M906,"ja","nein")</f>
        <v>ja</v>
      </c>
      <c r="J906" s="15" t="n">
        <f aca="false">ROUND(Annahmen!$K$35*(1+Annahmen!$B$20*D906/1000),0)</f>
        <v>866</v>
      </c>
      <c r="K906" s="15" t="n">
        <f aca="false">ROUND(Annahmen!$K$36*(1+Annahmen!$B$20*D906/1000),0)</f>
        <v>1124</v>
      </c>
      <c r="L906" s="15" t="n">
        <f aca="false">ROUND(Annahmen!$K$37*(1+Annahmen!$B$20*D906/1000),0)</f>
        <v>1149</v>
      </c>
      <c r="M906" s="15" t="n">
        <f aca="false">ROUND(Annahmen!$K$38*(1+Annahmen!$B$20*D906/1000),0)</f>
        <v>1149</v>
      </c>
      <c r="N906" s="16" t="s">
        <v>86</v>
      </c>
    </row>
    <row r="907" customFormat="false" ht="15" hidden="false" customHeight="false" outlineLevel="0" collapsed="false">
      <c r="A907" s="13" t="s">
        <v>1873</v>
      </c>
      <c r="B907" s="14" t="s">
        <v>1874</v>
      </c>
      <c r="C907" s="15" t="n">
        <v>2777</v>
      </c>
      <c r="D907" s="15" t="n">
        <v>192</v>
      </c>
      <c r="E907" s="13" t="s">
        <v>82</v>
      </c>
      <c r="F907" s="15" t="str">
        <f aca="false">IF(C907&gt;=J907,"ja","nein")</f>
        <v>ja</v>
      </c>
      <c r="G907" s="15" t="str">
        <f aca="false">IF(C907&gt;=K907,"ja","nein")</f>
        <v>ja</v>
      </c>
      <c r="H907" s="15" t="str">
        <f aca="false">IF(C907&gt;=L907,"ja","nein")</f>
        <v>ja</v>
      </c>
      <c r="I907" s="15" t="str">
        <f aca="false">IF(C907&gt;=M907,"ja","nein")</f>
        <v>ja</v>
      </c>
      <c r="J907" s="15" t="n">
        <f aca="false">ROUND(Annahmen!$K$35*(1+Annahmen!$B$20*D907/1000),0)</f>
        <v>855</v>
      </c>
      <c r="K907" s="15" t="n">
        <f aca="false">ROUND(Annahmen!$K$36*(1+Annahmen!$B$20*D907/1000),0)</f>
        <v>1110</v>
      </c>
      <c r="L907" s="15" t="n">
        <f aca="false">ROUND(Annahmen!$K$37*(1+Annahmen!$B$20*D907/1000),0)</f>
        <v>1134</v>
      </c>
      <c r="M907" s="15" t="n">
        <f aca="false">ROUND(Annahmen!$K$38*(1+Annahmen!$B$20*D907/1000),0)</f>
        <v>1134</v>
      </c>
      <c r="N907" s="16" t="s">
        <v>83</v>
      </c>
    </row>
    <row r="908" customFormat="false" ht="15" hidden="false" customHeight="false" outlineLevel="0" collapsed="false">
      <c r="A908" s="13" t="s">
        <v>1875</v>
      </c>
      <c r="B908" s="14" t="s">
        <v>1876</v>
      </c>
      <c r="C908" s="15" t="n">
        <v>2497</v>
      </c>
      <c r="D908" s="15" t="n">
        <v>259</v>
      </c>
      <c r="E908" s="13" t="s">
        <v>82</v>
      </c>
      <c r="F908" s="15" t="str">
        <f aca="false">IF(C908&gt;=J908,"ja","nein")</f>
        <v>ja</v>
      </c>
      <c r="G908" s="15" t="str">
        <f aca="false">IF(C908&gt;=K908,"ja","nein")</f>
        <v>ja</v>
      </c>
      <c r="H908" s="15" t="str">
        <f aca="false">IF(C908&gt;=L908,"ja","nein")</f>
        <v>ja</v>
      </c>
      <c r="I908" s="15" t="str">
        <f aca="false">IF(C908&gt;=M908,"ja","nein")</f>
        <v>ja</v>
      </c>
      <c r="J908" s="15" t="n">
        <f aca="false">ROUND(Annahmen!$K$35*(1+Annahmen!$B$20*D908/1000),0)</f>
        <v>860</v>
      </c>
      <c r="K908" s="15" t="n">
        <f aca="false">ROUND(Annahmen!$K$36*(1+Annahmen!$B$20*D908/1000),0)</f>
        <v>1116</v>
      </c>
      <c r="L908" s="15" t="n">
        <f aca="false">ROUND(Annahmen!$K$37*(1+Annahmen!$B$20*D908/1000),0)</f>
        <v>1141</v>
      </c>
      <c r="M908" s="15" t="n">
        <f aca="false">ROUND(Annahmen!$K$38*(1+Annahmen!$B$20*D908/1000),0)</f>
        <v>1141</v>
      </c>
      <c r="N908" s="16" t="s">
        <v>83</v>
      </c>
    </row>
    <row r="909" customFormat="false" ht="15" hidden="false" customHeight="false" outlineLevel="0" collapsed="false">
      <c r="A909" s="13" t="s">
        <v>1877</v>
      </c>
      <c r="B909" s="14" t="s">
        <v>1878</v>
      </c>
      <c r="C909" s="15" t="n">
        <v>2490</v>
      </c>
      <c r="D909" s="15" t="n">
        <v>24</v>
      </c>
      <c r="E909" s="13" t="s">
        <v>82</v>
      </c>
      <c r="F909" s="15" t="str">
        <f aca="false">IF(C909&gt;=J909,"ja","nein")</f>
        <v>ja</v>
      </c>
      <c r="G909" s="15" t="str">
        <f aca="false">IF(C909&gt;=K909,"ja","nein")</f>
        <v>ja</v>
      </c>
      <c r="H909" s="15" t="str">
        <f aca="false">IF(C909&gt;=L909,"ja","nein")</f>
        <v>ja</v>
      </c>
      <c r="I909" s="15" t="str">
        <f aca="false">IF(C909&gt;=M909,"ja","nein")</f>
        <v>ja</v>
      </c>
      <c r="J909" s="15" t="n">
        <f aca="false">ROUND(Annahmen!$K$35*(1+Annahmen!$B$20*D909/1000),0)</f>
        <v>842</v>
      </c>
      <c r="K909" s="15" t="n">
        <f aca="false">ROUND(Annahmen!$K$36*(1+Annahmen!$B$20*D909/1000),0)</f>
        <v>1093</v>
      </c>
      <c r="L909" s="15" t="n">
        <f aca="false">ROUND(Annahmen!$K$37*(1+Annahmen!$B$20*D909/1000),0)</f>
        <v>1117</v>
      </c>
      <c r="M909" s="15" t="n">
        <f aca="false">ROUND(Annahmen!$K$38*(1+Annahmen!$B$20*D909/1000),0)</f>
        <v>1117</v>
      </c>
      <c r="N909" s="16" t="s">
        <v>83</v>
      </c>
    </row>
    <row r="910" customFormat="false" ht="15" hidden="false" customHeight="false" outlineLevel="0" collapsed="false">
      <c r="A910" s="13" t="s">
        <v>1879</v>
      </c>
      <c r="B910" s="14" t="s">
        <v>1880</v>
      </c>
      <c r="C910" s="15" t="n">
        <v>1800</v>
      </c>
      <c r="D910" s="15" t="n">
        <v>390</v>
      </c>
      <c r="E910" s="13" t="s">
        <v>82</v>
      </c>
      <c r="F910" s="15" t="str">
        <f aca="false">IF(C910&gt;=J910,"ja","nein")</f>
        <v>ja</v>
      </c>
      <c r="G910" s="15" t="str">
        <f aca="false">IF(C910&gt;=K910,"ja","nein")</f>
        <v>ja</v>
      </c>
      <c r="H910" s="15" t="str">
        <f aca="false">IF(C910&gt;=L910,"ja","nein")</f>
        <v>ja</v>
      </c>
      <c r="I910" s="15" t="str">
        <f aca="false">IF(C910&gt;=M910,"ja","nein")</f>
        <v>ja</v>
      </c>
      <c r="J910" s="15" t="n">
        <f aca="false">ROUND(Annahmen!$K$35*(1+Annahmen!$B$20*D910/1000),0)</f>
        <v>869</v>
      </c>
      <c r="K910" s="15" t="n">
        <f aca="false">ROUND(Annahmen!$K$36*(1+Annahmen!$B$20*D910/1000),0)</f>
        <v>1129</v>
      </c>
      <c r="L910" s="15" t="n">
        <f aca="false">ROUND(Annahmen!$K$37*(1+Annahmen!$B$20*D910/1000),0)</f>
        <v>1154</v>
      </c>
      <c r="M910" s="15" t="n">
        <f aca="false">ROUND(Annahmen!$K$38*(1+Annahmen!$B$20*D910/1000),0)</f>
        <v>1154</v>
      </c>
      <c r="N910" s="16" t="s">
        <v>86</v>
      </c>
    </row>
    <row r="911" customFormat="false" ht="15" hidden="false" customHeight="false" outlineLevel="0" collapsed="false">
      <c r="A911" s="13" t="s">
        <v>1881</v>
      </c>
      <c r="B911" s="14" t="s">
        <v>1882</v>
      </c>
      <c r="C911" s="15" t="n">
        <v>1745</v>
      </c>
      <c r="D911" s="15" t="n">
        <v>109</v>
      </c>
      <c r="E911" s="13" t="s">
        <v>82</v>
      </c>
      <c r="F911" s="15" t="str">
        <f aca="false">IF(C911&gt;=J911,"ja","nein")</f>
        <v>ja</v>
      </c>
      <c r="G911" s="15" t="str">
        <f aca="false">IF(C911&gt;=K911,"ja","nein")</f>
        <v>ja</v>
      </c>
      <c r="H911" s="15" t="str">
        <f aca="false">IF(C911&gt;=L911,"ja","nein")</f>
        <v>ja</v>
      </c>
      <c r="I911" s="15" t="str">
        <f aca="false">IF(C911&gt;=M911,"ja","nein")</f>
        <v>ja</v>
      </c>
      <c r="J911" s="15" t="n">
        <f aca="false">ROUND(Annahmen!$K$35*(1+Annahmen!$B$20*D911/1000),0)</f>
        <v>848</v>
      </c>
      <c r="K911" s="15" t="n">
        <f aca="false">ROUND(Annahmen!$K$36*(1+Annahmen!$B$20*D911/1000),0)</f>
        <v>1102</v>
      </c>
      <c r="L911" s="15" t="n">
        <f aca="false">ROUND(Annahmen!$K$37*(1+Annahmen!$B$20*D911/1000),0)</f>
        <v>1126</v>
      </c>
      <c r="M911" s="15" t="n">
        <f aca="false">ROUND(Annahmen!$K$38*(1+Annahmen!$B$20*D911/1000),0)</f>
        <v>1126</v>
      </c>
      <c r="N911" s="16" t="s">
        <v>86</v>
      </c>
    </row>
    <row r="912" customFormat="false" ht="15" hidden="false" customHeight="false" outlineLevel="0" collapsed="false">
      <c r="A912" s="13" t="s">
        <v>1883</v>
      </c>
      <c r="B912" s="14" t="s">
        <v>1884</v>
      </c>
      <c r="C912" s="15" t="n">
        <v>1709</v>
      </c>
      <c r="D912" s="15" t="n">
        <v>762</v>
      </c>
      <c r="E912" s="13" t="s">
        <v>82</v>
      </c>
      <c r="F912" s="15" t="str">
        <f aca="false">IF(C912&gt;=J912,"ja","nein")</f>
        <v>ja</v>
      </c>
      <c r="G912" s="15" t="str">
        <f aca="false">IF(C912&gt;=K912,"ja","nein")</f>
        <v>ja</v>
      </c>
      <c r="H912" s="15" t="str">
        <f aca="false">IF(C912&gt;=L912,"ja","nein")</f>
        <v>ja</v>
      </c>
      <c r="I912" s="15" t="str">
        <f aca="false">IF(C912&gt;=M912,"ja","nein")</f>
        <v>ja</v>
      </c>
      <c r="J912" s="15" t="n">
        <f aca="false">ROUND(Annahmen!$K$35*(1+Annahmen!$B$20*D912/1000),0)</f>
        <v>898</v>
      </c>
      <c r="K912" s="15" t="n">
        <f aca="false">ROUND(Annahmen!$K$36*(1+Annahmen!$B$20*D912/1000),0)</f>
        <v>1166</v>
      </c>
      <c r="L912" s="15" t="n">
        <f aca="false">ROUND(Annahmen!$K$37*(1+Annahmen!$B$20*D912/1000),0)</f>
        <v>1191</v>
      </c>
      <c r="M912" s="15" t="n">
        <f aca="false">ROUND(Annahmen!$K$38*(1+Annahmen!$B$20*D912/1000),0)</f>
        <v>1191</v>
      </c>
      <c r="N912" s="16" t="s">
        <v>86</v>
      </c>
    </row>
    <row r="913" customFormat="false" ht="15" hidden="false" customHeight="false" outlineLevel="0" collapsed="false">
      <c r="A913" s="13" t="s">
        <v>1885</v>
      </c>
      <c r="B913" s="14" t="s">
        <v>1886</v>
      </c>
      <c r="C913" s="15" t="n">
        <v>1707</v>
      </c>
      <c r="D913" s="15" t="n">
        <v>2241</v>
      </c>
      <c r="E913" s="13" t="s">
        <v>82</v>
      </c>
      <c r="F913" s="15" t="str">
        <f aca="false">IF(C913&gt;=J913,"ja","nein")</f>
        <v>ja</v>
      </c>
      <c r="G913" s="15" t="str">
        <f aca="false">IF(C913&gt;=K913,"ja","nein")</f>
        <v>ja</v>
      </c>
      <c r="H913" s="15" t="str">
        <f aca="false">IF(C913&gt;=L913,"ja","nein")</f>
        <v>ja</v>
      </c>
      <c r="I913" s="15" t="str">
        <f aca="false">IF(C913&gt;=M913,"ja","nein")</f>
        <v>ja</v>
      </c>
      <c r="J913" s="15" t="n">
        <f aca="false">ROUND(Annahmen!$K$35*(1+Annahmen!$B$20*D913/1000),0)</f>
        <v>1009</v>
      </c>
      <c r="K913" s="15" t="n">
        <f aca="false">ROUND(Annahmen!$K$36*(1+Annahmen!$B$20*D913/1000),0)</f>
        <v>1311</v>
      </c>
      <c r="L913" s="15" t="n">
        <f aca="false">ROUND(Annahmen!$K$37*(1+Annahmen!$B$20*D913/1000),0)</f>
        <v>1340</v>
      </c>
      <c r="M913" s="15" t="n">
        <f aca="false">ROUND(Annahmen!$K$38*(1+Annahmen!$B$20*D913/1000),0)</f>
        <v>1340</v>
      </c>
      <c r="N913" s="16" t="s">
        <v>86</v>
      </c>
    </row>
    <row r="914" customFormat="false" ht="15" hidden="false" customHeight="false" outlineLevel="0" collapsed="false">
      <c r="A914" s="13" t="s">
        <v>1887</v>
      </c>
      <c r="B914" s="14" t="s">
        <v>1888</v>
      </c>
      <c r="C914" s="15" t="n">
        <v>1595</v>
      </c>
      <c r="D914" s="15" t="n">
        <v>118</v>
      </c>
      <c r="E914" s="13" t="s">
        <v>82</v>
      </c>
      <c r="F914" s="15" t="str">
        <f aca="false">IF(C914&gt;=J914,"ja","nein")</f>
        <v>ja</v>
      </c>
      <c r="G914" s="15" t="str">
        <f aca="false">IF(C914&gt;=K914,"ja","nein")</f>
        <v>ja</v>
      </c>
      <c r="H914" s="15" t="str">
        <f aca="false">IF(C914&gt;=L914,"ja","nein")</f>
        <v>ja</v>
      </c>
      <c r="I914" s="15" t="str">
        <f aca="false">IF(C914&gt;=M914,"ja","nein")</f>
        <v>ja</v>
      </c>
      <c r="J914" s="15" t="n">
        <f aca="false">ROUND(Annahmen!$K$35*(1+Annahmen!$B$20*D914/1000),0)</f>
        <v>849</v>
      </c>
      <c r="K914" s="15" t="n">
        <f aca="false">ROUND(Annahmen!$K$36*(1+Annahmen!$B$20*D914/1000),0)</f>
        <v>1103</v>
      </c>
      <c r="L914" s="15" t="n">
        <f aca="false">ROUND(Annahmen!$K$37*(1+Annahmen!$B$20*D914/1000),0)</f>
        <v>1127</v>
      </c>
      <c r="M914" s="15" t="n">
        <f aca="false">ROUND(Annahmen!$K$38*(1+Annahmen!$B$20*D914/1000),0)</f>
        <v>1127</v>
      </c>
      <c r="N914" s="16" t="s">
        <v>86</v>
      </c>
    </row>
    <row r="915" customFormat="false" ht="15" hidden="false" customHeight="false" outlineLevel="0" collapsed="false">
      <c r="A915" s="13" t="s">
        <v>1889</v>
      </c>
      <c r="B915" s="14" t="s">
        <v>1890</v>
      </c>
      <c r="C915" s="15" t="n">
        <v>1460</v>
      </c>
      <c r="D915" s="15" t="n">
        <v>1300</v>
      </c>
      <c r="E915" s="13" t="s">
        <v>82</v>
      </c>
      <c r="F915" s="15" t="str">
        <f aca="false">IF(C915&gt;=J915,"ja","nein")</f>
        <v>ja</v>
      </c>
      <c r="G915" s="15" t="str">
        <f aca="false">IF(C915&gt;=K915,"ja","nein")</f>
        <v>ja</v>
      </c>
      <c r="H915" s="15" t="str">
        <f aca="false">IF(C915&gt;=L915,"ja","nein")</f>
        <v>ja</v>
      </c>
      <c r="I915" s="15" t="str">
        <f aca="false">IF(C915&gt;=M915,"ja","nein")</f>
        <v>ja</v>
      </c>
      <c r="J915" s="15" t="n">
        <f aca="false">ROUND(Annahmen!$K$35*(1+Annahmen!$B$20*D915/1000),0)</f>
        <v>938</v>
      </c>
      <c r="K915" s="15" t="n">
        <f aca="false">ROUND(Annahmen!$K$36*(1+Annahmen!$B$20*D915/1000),0)</f>
        <v>1219</v>
      </c>
      <c r="L915" s="15" t="n">
        <f aca="false">ROUND(Annahmen!$K$37*(1+Annahmen!$B$20*D915/1000),0)</f>
        <v>1245</v>
      </c>
      <c r="M915" s="15" t="n">
        <f aca="false">ROUND(Annahmen!$K$38*(1+Annahmen!$B$20*D915/1000),0)</f>
        <v>1245</v>
      </c>
      <c r="N915" s="16" t="s">
        <v>86</v>
      </c>
    </row>
    <row r="916" customFormat="false" ht="15" hidden="false" customHeight="false" outlineLevel="0" collapsed="false">
      <c r="A916" s="13" t="s">
        <v>1891</v>
      </c>
      <c r="B916" s="14" t="s">
        <v>1892</v>
      </c>
      <c r="C916" s="15" t="n">
        <v>1412</v>
      </c>
      <c r="D916" s="15" t="n">
        <v>311</v>
      </c>
      <c r="E916" s="13" t="s">
        <v>82</v>
      </c>
      <c r="F916" s="15" t="str">
        <f aca="false">IF(C916&gt;=J916,"ja","nein")</f>
        <v>ja</v>
      </c>
      <c r="G916" s="15" t="str">
        <f aca="false">IF(C916&gt;=K916,"ja","nein")</f>
        <v>ja</v>
      </c>
      <c r="H916" s="15" t="str">
        <f aca="false">IF(C916&gt;=L916,"ja","nein")</f>
        <v>ja</v>
      </c>
      <c r="I916" s="15" t="str">
        <f aca="false">IF(C916&gt;=M916,"ja","nein")</f>
        <v>ja</v>
      </c>
      <c r="J916" s="15" t="n">
        <f aca="false">ROUND(Annahmen!$K$35*(1+Annahmen!$B$20*D916/1000),0)</f>
        <v>864</v>
      </c>
      <c r="K916" s="15" t="n">
        <f aca="false">ROUND(Annahmen!$K$36*(1+Annahmen!$B$20*D916/1000),0)</f>
        <v>1122</v>
      </c>
      <c r="L916" s="15" t="n">
        <f aca="false">ROUND(Annahmen!$K$37*(1+Annahmen!$B$20*D916/1000),0)</f>
        <v>1146</v>
      </c>
      <c r="M916" s="15" t="n">
        <f aca="false">ROUND(Annahmen!$K$38*(1+Annahmen!$B$20*D916/1000),0)</f>
        <v>1146</v>
      </c>
      <c r="N916" s="16" t="s">
        <v>86</v>
      </c>
    </row>
    <row r="917" customFormat="false" ht="15" hidden="false" customHeight="false" outlineLevel="0" collapsed="false">
      <c r="A917" s="13" t="s">
        <v>1893</v>
      </c>
      <c r="B917" s="14" t="s">
        <v>1894</v>
      </c>
      <c r="C917" s="15" t="n">
        <v>1400</v>
      </c>
      <c r="D917" s="15" t="n">
        <v>26</v>
      </c>
      <c r="E917" s="13" t="s">
        <v>82</v>
      </c>
      <c r="F917" s="15" t="str">
        <f aca="false">IF(C917&gt;=J917,"ja","nein")</f>
        <v>ja</v>
      </c>
      <c r="G917" s="15" t="str">
        <f aca="false">IF(C917&gt;=K917,"ja","nein")</f>
        <v>ja</v>
      </c>
      <c r="H917" s="15" t="str">
        <f aca="false">IF(C917&gt;=L917,"ja","nein")</f>
        <v>ja</v>
      </c>
      <c r="I917" s="15" t="str">
        <f aca="false">IF(C917&gt;=M917,"ja","nein")</f>
        <v>ja</v>
      </c>
      <c r="J917" s="15" t="n">
        <f aca="false">ROUND(Annahmen!$K$35*(1+Annahmen!$B$20*D917/1000),0)</f>
        <v>842</v>
      </c>
      <c r="K917" s="15" t="n">
        <f aca="false">ROUND(Annahmen!$K$36*(1+Annahmen!$B$20*D917/1000),0)</f>
        <v>1094</v>
      </c>
      <c r="L917" s="15" t="n">
        <f aca="false">ROUND(Annahmen!$K$37*(1+Annahmen!$B$20*D917/1000),0)</f>
        <v>1118</v>
      </c>
      <c r="M917" s="15" t="n">
        <f aca="false">ROUND(Annahmen!$K$38*(1+Annahmen!$B$20*D917/1000),0)</f>
        <v>1118</v>
      </c>
      <c r="N917" s="16" t="s">
        <v>102</v>
      </c>
    </row>
    <row r="918" customFormat="false" ht="15" hidden="false" customHeight="false" outlineLevel="0" collapsed="false">
      <c r="A918" s="13" t="s">
        <v>1895</v>
      </c>
      <c r="B918" s="14" t="s">
        <v>1896</v>
      </c>
      <c r="C918" s="15" t="n">
        <v>1400</v>
      </c>
      <c r="D918" s="15" t="n">
        <v>325</v>
      </c>
      <c r="E918" s="13" t="s">
        <v>82</v>
      </c>
      <c r="F918" s="15" t="str">
        <f aca="false">IF(C918&gt;=J918,"ja","nein")</f>
        <v>ja</v>
      </c>
      <c r="G918" s="15" t="str">
        <f aca="false">IF(C918&gt;=K918,"ja","nein")</f>
        <v>ja</v>
      </c>
      <c r="H918" s="15" t="str">
        <f aca="false">IF(C918&gt;=L918,"ja","nein")</f>
        <v>ja</v>
      </c>
      <c r="I918" s="15" t="str">
        <f aca="false">IF(C918&gt;=M918,"ja","nein")</f>
        <v>ja</v>
      </c>
      <c r="J918" s="15" t="n">
        <f aca="false">ROUND(Annahmen!$K$35*(1+Annahmen!$B$20*D918/1000),0)</f>
        <v>865</v>
      </c>
      <c r="K918" s="15" t="n">
        <f aca="false">ROUND(Annahmen!$K$36*(1+Annahmen!$B$20*D918/1000),0)</f>
        <v>1123</v>
      </c>
      <c r="L918" s="15" t="n">
        <f aca="false">ROUND(Annahmen!$K$37*(1+Annahmen!$B$20*D918/1000),0)</f>
        <v>1148</v>
      </c>
      <c r="M918" s="15" t="n">
        <f aca="false">ROUND(Annahmen!$K$38*(1+Annahmen!$B$20*D918/1000),0)</f>
        <v>1148</v>
      </c>
      <c r="N918" s="16" t="s">
        <v>86</v>
      </c>
    </row>
    <row r="919" customFormat="false" ht="15" hidden="false" customHeight="false" outlineLevel="0" collapsed="false">
      <c r="A919" s="13" t="s">
        <v>1897</v>
      </c>
      <c r="B919" s="14" t="s">
        <v>1898</v>
      </c>
      <c r="C919" s="15" t="n">
        <v>1400</v>
      </c>
      <c r="D919" s="15" t="n">
        <v>112</v>
      </c>
      <c r="E919" s="13" t="s">
        <v>82</v>
      </c>
      <c r="F919" s="15" t="str">
        <f aca="false">IF(C919&gt;=J919,"ja","nein")</f>
        <v>ja</v>
      </c>
      <c r="G919" s="15" t="str">
        <f aca="false">IF(C919&gt;=K919,"ja","nein")</f>
        <v>ja</v>
      </c>
      <c r="H919" s="15" t="str">
        <f aca="false">IF(C919&gt;=L919,"ja","nein")</f>
        <v>ja</v>
      </c>
      <c r="I919" s="15" t="str">
        <f aca="false">IF(C919&gt;=M919,"ja","nein")</f>
        <v>ja</v>
      </c>
      <c r="J919" s="15" t="n">
        <f aca="false">ROUND(Annahmen!$K$35*(1+Annahmen!$B$20*D919/1000),0)</f>
        <v>848</v>
      </c>
      <c r="K919" s="15" t="n">
        <f aca="false">ROUND(Annahmen!$K$36*(1+Annahmen!$B$20*D919/1000),0)</f>
        <v>1102</v>
      </c>
      <c r="L919" s="15" t="n">
        <f aca="false">ROUND(Annahmen!$K$37*(1+Annahmen!$B$20*D919/1000),0)</f>
        <v>1126</v>
      </c>
      <c r="M919" s="15" t="n">
        <f aca="false">ROUND(Annahmen!$K$38*(1+Annahmen!$B$20*D919/1000),0)</f>
        <v>1126</v>
      </c>
      <c r="N919" s="16" t="s">
        <v>86</v>
      </c>
    </row>
    <row r="920" customFormat="false" ht="15" hidden="false" customHeight="false" outlineLevel="0" collapsed="false">
      <c r="A920" s="13" t="s">
        <v>1899</v>
      </c>
      <c r="B920" s="14" t="s">
        <v>1900</v>
      </c>
      <c r="C920" s="15" t="n">
        <v>1380</v>
      </c>
      <c r="D920" s="15" t="n">
        <v>86</v>
      </c>
      <c r="E920" s="13" t="s">
        <v>82</v>
      </c>
      <c r="F920" s="15" t="str">
        <f aca="false">IF(C920&gt;=J920,"ja","nein")</f>
        <v>ja</v>
      </c>
      <c r="G920" s="15" t="str">
        <f aca="false">IF(C920&gt;=K920,"ja","nein")</f>
        <v>ja</v>
      </c>
      <c r="H920" s="15" t="str">
        <f aca="false">IF(C920&gt;=L920,"ja","nein")</f>
        <v>ja</v>
      </c>
      <c r="I920" s="15" t="str">
        <f aca="false">IF(C920&gt;=M920,"ja","nein")</f>
        <v>ja</v>
      </c>
      <c r="J920" s="15" t="n">
        <f aca="false">ROUND(Annahmen!$K$35*(1+Annahmen!$B$20*D920/1000),0)</f>
        <v>847</v>
      </c>
      <c r="K920" s="15" t="n">
        <f aca="false">ROUND(Annahmen!$K$36*(1+Annahmen!$B$20*D920/1000),0)</f>
        <v>1099</v>
      </c>
      <c r="L920" s="15" t="n">
        <f aca="false">ROUND(Annahmen!$K$37*(1+Annahmen!$B$20*D920/1000),0)</f>
        <v>1124</v>
      </c>
      <c r="M920" s="15" t="n">
        <f aca="false">ROUND(Annahmen!$K$38*(1+Annahmen!$B$20*D920/1000),0)</f>
        <v>1124</v>
      </c>
      <c r="N920" s="16" t="s">
        <v>86</v>
      </c>
    </row>
    <row r="921" customFormat="false" ht="15" hidden="false" customHeight="false" outlineLevel="0" collapsed="false">
      <c r="A921" s="13" t="s">
        <v>1901</v>
      </c>
      <c r="B921" s="14" t="s">
        <v>1902</v>
      </c>
      <c r="C921" s="15" t="n">
        <v>1300</v>
      </c>
      <c r="D921" s="15" t="n">
        <v>807</v>
      </c>
      <c r="E921" s="13" t="s">
        <v>82</v>
      </c>
      <c r="F921" s="15" t="str">
        <f aca="false">IF(C921&gt;=J921,"ja","nein")</f>
        <v>ja</v>
      </c>
      <c r="G921" s="15" t="str">
        <f aca="false">IF(C921&gt;=K921,"ja","nein")</f>
        <v>ja</v>
      </c>
      <c r="H921" s="15" t="str">
        <f aca="false">IF(C921&gt;=L921,"ja","nein")</f>
        <v>ja</v>
      </c>
      <c r="I921" s="15" t="str">
        <f aca="false">IF(C921&gt;=M921,"ja","nein")</f>
        <v>ja</v>
      </c>
      <c r="J921" s="15" t="n">
        <f aca="false">ROUND(Annahmen!$K$35*(1+Annahmen!$B$20*D921/1000),0)</f>
        <v>901</v>
      </c>
      <c r="K921" s="15" t="n">
        <f aca="false">ROUND(Annahmen!$K$36*(1+Annahmen!$B$20*D921/1000),0)</f>
        <v>1170</v>
      </c>
      <c r="L921" s="15" t="n">
        <f aca="false">ROUND(Annahmen!$K$37*(1+Annahmen!$B$20*D921/1000),0)</f>
        <v>1196</v>
      </c>
      <c r="M921" s="15" t="n">
        <f aca="false">ROUND(Annahmen!$K$38*(1+Annahmen!$B$20*D921/1000),0)</f>
        <v>1196</v>
      </c>
      <c r="N921" s="16" t="s">
        <v>86</v>
      </c>
    </row>
    <row r="922" customFormat="false" ht="15" hidden="false" customHeight="false" outlineLevel="0" collapsed="false">
      <c r="A922" s="13" t="s">
        <v>1903</v>
      </c>
      <c r="B922" s="14" t="s">
        <v>1904</v>
      </c>
      <c r="C922" s="15" t="n">
        <v>1230</v>
      </c>
      <c r="D922" s="15" t="n">
        <v>2060</v>
      </c>
      <c r="E922" s="13" t="s">
        <v>82</v>
      </c>
      <c r="F922" s="15" t="str">
        <f aca="false">IF(C922&gt;=J922,"ja","nein")</f>
        <v>ja</v>
      </c>
      <c r="G922" s="15" t="str">
        <f aca="false">IF(C922&gt;=K922,"ja","nein")</f>
        <v>nein</v>
      </c>
      <c r="H922" s="15" t="str">
        <f aca="false">IF(C922&gt;=L922,"ja","nein")</f>
        <v>nein</v>
      </c>
      <c r="I922" s="15" t="str">
        <f aca="false">IF(C922&gt;=M922,"ja","nein")</f>
        <v>nein</v>
      </c>
      <c r="J922" s="15" t="n">
        <f aca="false">ROUND(Annahmen!$K$35*(1+Annahmen!$B$20*D922/1000),0)</f>
        <v>996</v>
      </c>
      <c r="K922" s="15" t="n">
        <f aca="false">ROUND(Annahmen!$K$36*(1+Annahmen!$B$20*D922/1000),0)</f>
        <v>1293</v>
      </c>
      <c r="L922" s="15" t="n">
        <f aca="false">ROUND(Annahmen!$K$37*(1+Annahmen!$B$20*D922/1000),0)</f>
        <v>1322</v>
      </c>
      <c r="M922" s="15" t="n">
        <f aca="false">ROUND(Annahmen!$K$38*(1+Annahmen!$B$20*D922/1000),0)</f>
        <v>1322</v>
      </c>
      <c r="N922" s="16" t="s">
        <v>86</v>
      </c>
    </row>
    <row r="923" customFormat="false" ht="15" hidden="false" customHeight="false" outlineLevel="0" collapsed="false">
      <c r="A923" s="13" t="s">
        <v>1905</v>
      </c>
      <c r="B923" s="14" t="s">
        <v>1906</v>
      </c>
      <c r="C923" s="15" t="n">
        <v>1097</v>
      </c>
      <c r="D923" s="15" t="n">
        <v>380</v>
      </c>
      <c r="E923" s="13" t="s">
        <v>82</v>
      </c>
      <c r="F923" s="15" t="str">
        <f aca="false">IF(C923&gt;=J923,"ja","nein")</f>
        <v>ja</v>
      </c>
      <c r="G923" s="15" t="str">
        <f aca="false">IF(C923&gt;=K923,"ja","nein")</f>
        <v>nein</v>
      </c>
      <c r="H923" s="15" t="str">
        <f aca="false">IF(C923&gt;=L923,"ja","nein")</f>
        <v>nein</v>
      </c>
      <c r="I923" s="15" t="str">
        <f aca="false">IF(C923&gt;=M923,"ja","nein")</f>
        <v>nein</v>
      </c>
      <c r="J923" s="15" t="n">
        <f aca="false">ROUND(Annahmen!$K$35*(1+Annahmen!$B$20*D923/1000),0)</f>
        <v>869</v>
      </c>
      <c r="K923" s="15" t="n">
        <f aca="false">ROUND(Annahmen!$K$36*(1+Annahmen!$B$20*D923/1000),0)</f>
        <v>1128</v>
      </c>
      <c r="L923" s="15" t="n">
        <f aca="false">ROUND(Annahmen!$K$37*(1+Annahmen!$B$20*D923/1000),0)</f>
        <v>1153</v>
      </c>
      <c r="M923" s="15" t="n">
        <f aca="false">ROUND(Annahmen!$K$38*(1+Annahmen!$B$20*D923/1000),0)</f>
        <v>1153</v>
      </c>
      <c r="N923" s="16" t="s">
        <v>102</v>
      </c>
    </row>
    <row r="924" customFormat="false" ht="15" hidden="false" customHeight="false" outlineLevel="0" collapsed="false">
      <c r="A924" s="13" t="s">
        <v>1907</v>
      </c>
      <c r="B924" s="14" t="s">
        <v>1908</v>
      </c>
      <c r="C924" s="15" t="n">
        <v>947</v>
      </c>
      <c r="D924" s="15" t="n">
        <v>1805</v>
      </c>
      <c r="E924" s="13" t="s">
        <v>82</v>
      </c>
      <c r="F924" s="15" t="str">
        <f aca="false">IF(C924&gt;=J924,"ja","nein")</f>
        <v>nein</v>
      </c>
      <c r="G924" s="15" t="str">
        <f aca="false">IF(C924&gt;=K924,"ja","nein")</f>
        <v>nein</v>
      </c>
      <c r="H924" s="15" t="str">
        <f aca="false">IF(C924&gt;=L924,"ja","nein")</f>
        <v>nein</v>
      </c>
      <c r="I924" s="15" t="str">
        <f aca="false">IF(C924&gt;=M924,"ja","nein")</f>
        <v>nein</v>
      </c>
      <c r="J924" s="15" t="n">
        <f aca="false">ROUND(Annahmen!$K$35*(1+Annahmen!$B$20*D924/1000),0)</f>
        <v>976</v>
      </c>
      <c r="K924" s="15" t="n">
        <f aca="false">ROUND(Annahmen!$K$36*(1+Annahmen!$B$20*D924/1000),0)</f>
        <v>1268</v>
      </c>
      <c r="L924" s="15" t="n">
        <f aca="false">ROUND(Annahmen!$K$37*(1+Annahmen!$B$20*D924/1000),0)</f>
        <v>1296</v>
      </c>
      <c r="M924" s="15" t="n">
        <f aca="false">ROUND(Annahmen!$K$38*(1+Annahmen!$B$20*D924/1000),0)</f>
        <v>1296</v>
      </c>
      <c r="N924" s="16" t="s">
        <v>86</v>
      </c>
    </row>
    <row r="925" customFormat="false" ht="15" hidden="false" customHeight="false" outlineLevel="0" collapsed="false">
      <c r="A925" s="13" t="s">
        <v>1909</v>
      </c>
      <c r="B925" s="14" t="s">
        <v>1910</v>
      </c>
      <c r="C925" s="15" t="n">
        <v>939</v>
      </c>
      <c r="D925" s="15" t="n">
        <v>247</v>
      </c>
      <c r="E925" s="13" t="s">
        <v>82</v>
      </c>
      <c r="F925" s="15" t="str">
        <f aca="false">IF(C925&gt;=J925,"ja","nein")</f>
        <v>ja</v>
      </c>
      <c r="G925" s="15" t="str">
        <f aca="false">IF(C925&gt;=K925,"ja","nein")</f>
        <v>nein</v>
      </c>
      <c r="H925" s="15" t="str">
        <f aca="false">IF(C925&gt;=L925,"ja","nein")</f>
        <v>nein</v>
      </c>
      <c r="I925" s="15" t="str">
        <f aca="false">IF(C925&gt;=M925,"ja","nein")</f>
        <v>nein</v>
      </c>
      <c r="J925" s="15" t="n">
        <f aca="false">ROUND(Annahmen!$K$35*(1+Annahmen!$B$20*D925/1000),0)</f>
        <v>859</v>
      </c>
      <c r="K925" s="15" t="n">
        <f aca="false">ROUND(Annahmen!$K$36*(1+Annahmen!$B$20*D925/1000),0)</f>
        <v>1115</v>
      </c>
      <c r="L925" s="15" t="n">
        <f aca="false">ROUND(Annahmen!$K$37*(1+Annahmen!$B$20*D925/1000),0)</f>
        <v>1140</v>
      </c>
      <c r="M925" s="15" t="n">
        <f aca="false">ROUND(Annahmen!$K$38*(1+Annahmen!$B$20*D925/1000),0)</f>
        <v>1140</v>
      </c>
      <c r="N925" s="16" t="s">
        <v>86</v>
      </c>
    </row>
    <row r="926" customFormat="false" ht="15" hidden="false" customHeight="false" outlineLevel="0" collapsed="false">
      <c r="A926" s="13" t="s">
        <v>1911</v>
      </c>
      <c r="B926" s="14" t="s">
        <v>1912</v>
      </c>
      <c r="C926" s="15" t="n">
        <v>920</v>
      </c>
      <c r="D926" s="15" t="n">
        <v>587</v>
      </c>
      <c r="E926" s="13" t="s">
        <v>82</v>
      </c>
      <c r="F926" s="15" t="str">
        <f aca="false">IF(C926&gt;=J926,"ja","nein")</f>
        <v>ja</v>
      </c>
      <c r="G926" s="15" t="str">
        <f aca="false">IF(C926&gt;=K926,"ja","nein")</f>
        <v>nein</v>
      </c>
      <c r="H926" s="15" t="str">
        <f aca="false">IF(C926&gt;=L926,"ja","nein")</f>
        <v>nein</v>
      </c>
      <c r="I926" s="15" t="str">
        <f aca="false">IF(C926&gt;=M926,"ja","nein")</f>
        <v>nein</v>
      </c>
      <c r="J926" s="15" t="n">
        <f aca="false">ROUND(Annahmen!$K$35*(1+Annahmen!$B$20*D926/1000),0)</f>
        <v>884</v>
      </c>
      <c r="K926" s="15" t="n">
        <f aca="false">ROUND(Annahmen!$K$36*(1+Annahmen!$B$20*D926/1000),0)</f>
        <v>1149</v>
      </c>
      <c r="L926" s="15" t="n">
        <f aca="false">ROUND(Annahmen!$K$37*(1+Annahmen!$B$20*D926/1000),0)</f>
        <v>1174</v>
      </c>
      <c r="M926" s="15" t="n">
        <f aca="false">ROUND(Annahmen!$K$38*(1+Annahmen!$B$20*D926/1000),0)</f>
        <v>1174</v>
      </c>
      <c r="N926" s="16" t="s">
        <v>86</v>
      </c>
    </row>
    <row r="927" customFormat="false" ht="15" hidden="false" customHeight="false" outlineLevel="0" collapsed="false">
      <c r="A927" s="13" t="s">
        <v>1913</v>
      </c>
      <c r="B927" s="14" t="s">
        <v>1914</v>
      </c>
      <c r="C927" s="15" t="n">
        <v>860</v>
      </c>
      <c r="D927" s="15" t="n">
        <v>5</v>
      </c>
      <c r="E927" s="13" t="s">
        <v>82</v>
      </c>
      <c r="F927" s="15" t="str">
        <f aca="false">IF(C927&gt;=J927,"ja","nein")</f>
        <v>ja</v>
      </c>
      <c r="G927" s="15" t="str">
        <f aca="false">IF(C927&gt;=K927,"ja","nein")</f>
        <v>nein</v>
      </c>
      <c r="H927" s="15" t="str">
        <f aca="false">IF(C927&gt;=L927,"ja","nein")</f>
        <v>nein</v>
      </c>
      <c r="I927" s="15" t="str">
        <f aca="false">IF(C927&gt;=M927,"ja","nein")</f>
        <v>nein</v>
      </c>
      <c r="J927" s="15" t="n">
        <f aca="false">ROUND(Annahmen!$K$35*(1+Annahmen!$B$20*D927/1000),0)</f>
        <v>840</v>
      </c>
      <c r="K927" s="15" t="n">
        <f aca="false">ROUND(Annahmen!$K$36*(1+Annahmen!$B$20*D927/1000),0)</f>
        <v>1091</v>
      </c>
      <c r="L927" s="15" t="n">
        <f aca="false">ROUND(Annahmen!$K$37*(1+Annahmen!$B$20*D927/1000),0)</f>
        <v>1116</v>
      </c>
      <c r="M927" s="15" t="n">
        <f aca="false">ROUND(Annahmen!$K$38*(1+Annahmen!$B$20*D927/1000),0)</f>
        <v>1116</v>
      </c>
      <c r="N927" s="16" t="s">
        <v>86</v>
      </c>
    </row>
    <row r="928" customFormat="false" ht="15" hidden="false" customHeight="false" outlineLevel="0" collapsed="false">
      <c r="A928" s="13" t="s">
        <v>1915</v>
      </c>
      <c r="B928" s="14" t="s">
        <v>1916</v>
      </c>
      <c r="C928" s="15" t="n">
        <v>857</v>
      </c>
      <c r="D928" s="15" t="n">
        <v>1181</v>
      </c>
      <c r="E928" s="13" t="s">
        <v>82</v>
      </c>
      <c r="F928" s="15" t="str">
        <f aca="false">IF(C928&gt;=J928,"ja","nein")</f>
        <v>nein</v>
      </c>
      <c r="G928" s="15" t="str">
        <f aca="false">IF(C928&gt;=K928,"ja","nein")</f>
        <v>nein</v>
      </c>
      <c r="H928" s="15" t="str">
        <f aca="false">IF(C928&gt;=L928,"ja","nein")</f>
        <v>nein</v>
      </c>
      <c r="I928" s="15" t="str">
        <f aca="false">IF(C928&gt;=M928,"ja","nein")</f>
        <v>nein</v>
      </c>
      <c r="J928" s="15" t="n">
        <f aca="false">ROUND(Annahmen!$K$35*(1+Annahmen!$B$20*D928/1000),0)</f>
        <v>929</v>
      </c>
      <c r="K928" s="15" t="n">
        <f aca="false">ROUND(Annahmen!$K$36*(1+Annahmen!$B$20*D928/1000),0)</f>
        <v>1207</v>
      </c>
      <c r="L928" s="15" t="n">
        <f aca="false">ROUND(Annahmen!$K$37*(1+Annahmen!$B$20*D928/1000),0)</f>
        <v>1234</v>
      </c>
      <c r="M928" s="15" t="n">
        <f aca="false">ROUND(Annahmen!$K$38*(1+Annahmen!$B$20*D928/1000),0)</f>
        <v>1234</v>
      </c>
      <c r="N928" s="16" t="s">
        <v>102</v>
      </c>
    </row>
    <row r="929" customFormat="false" ht="15" hidden="false" customHeight="false" outlineLevel="0" collapsed="false">
      <c r="A929" s="13" t="s">
        <v>1917</v>
      </c>
      <c r="B929" s="14" t="s">
        <v>1918</v>
      </c>
      <c r="C929" s="15" t="n">
        <v>800</v>
      </c>
      <c r="D929" s="15" t="n">
        <v>62</v>
      </c>
      <c r="E929" s="13" t="s">
        <v>82</v>
      </c>
      <c r="F929" s="15" t="str">
        <f aca="false">IF(C929&gt;=J929,"ja","nein")</f>
        <v>nein</v>
      </c>
      <c r="G929" s="15" t="str">
        <f aca="false">IF(C929&gt;=K929,"ja","nein")</f>
        <v>nein</v>
      </c>
      <c r="H929" s="15" t="str">
        <f aca="false">IF(C929&gt;=L929,"ja","nein")</f>
        <v>nein</v>
      </c>
      <c r="I929" s="15" t="str">
        <f aca="false">IF(C929&gt;=M929,"ja","nein")</f>
        <v>nein</v>
      </c>
      <c r="J929" s="15" t="n">
        <f aca="false">ROUND(Annahmen!$K$35*(1+Annahmen!$B$20*D929/1000),0)</f>
        <v>845</v>
      </c>
      <c r="K929" s="15" t="n">
        <f aca="false">ROUND(Annahmen!$K$36*(1+Annahmen!$B$20*D929/1000),0)</f>
        <v>1097</v>
      </c>
      <c r="L929" s="15" t="n">
        <f aca="false">ROUND(Annahmen!$K$37*(1+Annahmen!$B$20*D929/1000),0)</f>
        <v>1121</v>
      </c>
      <c r="M929" s="15" t="n">
        <f aca="false">ROUND(Annahmen!$K$38*(1+Annahmen!$B$20*D929/1000),0)</f>
        <v>1121</v>
      </c>
      <c r="N929" s="16" t="s">
        <v>102</v>
      </c>
    </row>
    <row r="930" customFormat="false" ht="15" hidden="false" customHeight="false" outlineLevel="0" collapsed="false">
      <c r="A930" s="13" t="s">
        <v>1919</v>
      </c>
      <c r="B930" s="14" t="s">
        <v>1920</v>
      </c>
      <c r="C930" s="15" t="n">
        <v>800</v>
      </c>
      <c r="D930" s="15" t="n">
        <v>2344</v>
      </c>
      <c r="E930" s="13" t="s">
        <v>82</v>
      </c>
      <c r="F930" s="15" t="str">
        <f aca="false">IF(C930&gt;=J930,"ja","nein")</f>
        <v>nein</v>
      </c>
      <c r="G930" s="15" t="str">
        <f aca="false">IF(C930&gt;=K930,"ja","nein")</f>
        <v>nein</v>
      </c>
      <c r="H930" s="15" t="str">
        <f aca="false">IF(C930&gt;=L930,"ja","nein")</f>
        <v>nein</v>
      </c>
      <c r="I930" s="15" t="str">
        <f aca="false">IF(C930&gt;=M930,"ja","nein")</f>
        <v>nein</v>
      </c>
      <c r="J930" s="15" t="n">
        <f aca="false">ROUND(Annahmen!$K$35*(1+Annahmen!$B$20*D930/1000),0)</f>
        <v>1017</v>
      </c>
      <c r="K930" s="15" t="n">
        <f aca="false">ROUND(Annahmen!$K$36*(1+Annahmen!$B$20*D930/1000),0)</f>
        <v>1321</v>
      </c>
      <c r="L930" s="15" t="n">
        <f aca="false">ROUND(Annahmen!$K$37*(1+Annahmen!$B$20*D930/1000),0)</f>
        <v>1350</v>
      </c>
      <c r="M930" s="15" t="n">
        <f aca="false">ROUND(Annahmen!$K$38*(1+Annahmen!$B$20*D930/1000),0)</f>
        <v>1350</v>
      </c>
      <c r="N930" s="16" t="s">
        <v>102</v>
      </c>
    </row>
    <row r="931" customFormat="false" ht="15" hidden="false" customHeight="false" outlineLevel="0" collapsed="false">
      <c r="A931" s="13" t="s">
        <v>1921</v>
      </c>
      <c r="B931" s="14" t="s">
        <v>1922</v>
      </c>
      <c r="C931" s="15" t="n">
        <v>750</v>
      </c>
      <c r="D931" s="15" t="n">
        <v>1329</v>
      </c>
      <c r="E931" s="13" t="s">
        <v>82</v>
      </c>
      <c r="F931" s="15" t="str">
        <f aca="false">IF(C931&gt;=J931,"ja","nein")</f>
        <v>nein</v>
      </c>
      <c r="G931" s="15" t="str">
        <f aca="false">IF(C931&gt;=K931,"ja","nein")</f>
        <v>nein</v>
      </c>
      <c r="H931" s="15" t="str">
        <f aca="false">IF(C931&gt;=L931,"ja","nein")</f>
        <v>nein</v>
      </c>
      <c r="I931" s="15" t="str">
        <f aca="false">IF(C931&gt;=M931,"ja","nein")</f>
        <v>nein</v>
      </c>
      <c r="J931" s="15" t="n">
        <f aca="false">ROUND(Annahmen!$K$35*(1+Annahmen!$B$20*D931/1000),0)</f>
        <v>940</v>
      </c>
      <c r="K931" s="15" t="n">
        <f aca="false">ROUND(Annahmen!$K$36*(1+Annahmen!$B$20*D931/1000),0)</f>
        <v>1221</v>
      </c>
      <c r="L931" s="15" t="n">
        <f aca="false">ROUND(Annahmen!$K$37*(1+Annahmen!$B$20*D931/1000),0)</f>
        <v>1248</v>
      </c>
      <c r="M931" s="15" t="n">
        <f aca="false">ROUND(Annahmen!$K$38*(1+Annahmen!$B$20*D931/1000),0)</f>
        <v>1248</v>
      </c>
      <c r="N931" s="16" t="s">
        <v>102</v>
      </c>
    </row>
    <row r="932" customFormat="false" ht="15" hidden="false" customHeight="false" outlineLevel="0" collapsed="false">
      <c r="A932" s="13" t="s">
        <v>1923</v>
      </c>
      <c r="B932" s="14" t="s">
        <v>1924</v>
      </c>
      <c r="C932" s="15" t="n">
        <v>540</v>
      </c>
      <c r="D932" s="15" t="n">
        <v>0</v>
      </c>
      <c r="E932" s="13" t="s">
        <v>82</v>
      </c>
      <c r="F932" s="15" t="str">
        <f aca="false">IF(C932&gt;=J932,"ja","nein")</f>
        <v>nein</v>
      </c>
      <c r="G932" s="15" t="str">
        <f aca="false">IF(C932&gt;=K932,"ja","nein")</f>
        <v>nein</v>
      </c>
      <c r="H932" s="15" t="str">
        <f aca="false">IF(C932&gt;=L932,"ja","nein")</f>
        <v>nein</v>
      </c>
      <c r="I932" s="15" t="str">
        <f aca="false">IF(C932&gt;=M932,"ja","nein")</f>
        <v>nein</v>
      </c>
      <c r="J932" s="15" t="n">
        <f aca="false">ROUND(Annahmen!$K$35*(1+Annahmen!$B$20*D932/1000),0)</f>
        <v>840</v>
      </c>
      <c r="K932" s="15" t="n">
        <f aca="false">ROUND(Annahmen!$K$36*(1+Annahmen!$B$20*D932/1000),0)</f>
        <v>1091</v>
      </c>
      <c r="L932" s="15" t="n">
        <f aca="false">ROUND(Annahmen!$K$37*(1+Annahmen!$B$20*D932/1000),0)</f>
        <v>1115</v>
      </c>
      <c r="M932" s="15" t="n">
        <f aca="false">ROUND(Annahmen!$K$38*(1+Annahmen!$B$20*D932/1000),0)</f>
        <v>1115</v>
      </c>
      <c r="N932" s="16" t="s">
        <v>102</v>
      </c>
    </row>
    <row r="933" customFormat="false" ht="15" hidden="false" customHeight="false" outlineLevel="0" collapsed="false">
      <c r="A933" s="11" t="s">
        <v>1925</v>
      </c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</row>
    <row r="934" customFormat="false" ht="15" hidden="false" customHeight="false" outlineLevel="0" collapsed="false">
      <c r="A934" s="13" t="s">
        <v>1926</v>
      </c>
      <c r="B934" s="14" t="s">
        <v>1927</v>
      </c>
      <c r="C934" s="15" t="n">
        <v>3500</v>
      </c>
      <c r="D934" s="15" t="n">
        <v>353</v>
      </c>
      <c r="E934" s="13" t="s">
        <v>82</v>
      </c>
      <c r="F934" s="15" t="str">
        <f aca="false">IF(C934&gt;=J934,"ja","nein")</f>
        <v>ja</v>
      </c>
      <c r="G934" s="15" t="str">
        <f aca="false">IF(C934&gt;=K934,"ja","nein")</f>
        <v>ja</v>
      </c>
      <c r="H934" s="15" t="str">
        <f aca="false">IF(C934&gt;=L934,"ja","nein")</f>
        <v>ja</v>
      </c>
      <c r="I934" s="15" t="str">
        <f aca="false">IF(C934&gt;=M934,"ja","nein")</f>
        <v>ja</v>
      </c>
      <c r="J934" s="15" t="n">
        <f aca="false">ROUND(Annahmen!$K$35*(1+Annahmen!$B$20*D934/1000),0)</f>
        <v>867</v>
      </c>
      <c r="K934" s="15" t="n">
        <f aca="false">ROUND(Annahmen!$K$36*(1+Annahmen!$B$20*D934/1000),0)</f>
        <v>1126</v>
      </c>
      <c r="L934" s="15" t="n">
        <f aca="false">ROUND(Annahmen!$K$37*(1+Annahmen!$B$20*D934/1000),0)</f>
        <v>1150</v>
      </c>
      <c r="M934" s="15" t="n">
        <f aca="false">ROUND(Annahmen!$K$38*(1+Annahmen!$B$20*D934/1000),0)</f>
        <v>1150</v>
      </c>
      <c r="N934" s="16" t="s">
        <v>83</v>
      </c>
    </row>
    <row r="935" customFormat="false" ht="15" hidden="false" customHeight="false" outlineLevel="0" collapsed="false">
      <c r="A935" s="13" t="s">
        <v>1928</v>
      </c>
      <c r="B935" s="14" t="s">
        <v>1929</v>
      </c>
      <c r="C935" s="15" t="n">
        <v>3500</v>
      </c>
      <c r="D935" s="15" t="n">
        <v>314</v>
      </c>
      <c r="E935" s="13" t="s">
        <v>82</v>
      </c>
      <c r="F935" s="15" t="str">
        <f aca="false">IF(C935&gt;=J935,"ja","nein")</f>
        <v>ja</v>
      </c>
      <c r="G935" s="15" t="str">
        <f aca="false">IF(C935&gt;=K935,"ja","nein")</f>
        <v>ja</v>
      </c>
      <c r="H935" s="15" t="str">
        <f aca="false">IF(C935&gt;=L935,"ja","nein")</f>
        <v>ja</v>
      </c>
      <c r="I935" s="15" t="str">
        <f aca="false">IF(C935&gt;=M935,"ja","nein")</f>
        <v>ja</v>
      </c>
      <c r="J935" s="15" t="n">
        <f aca="false">ROUND(Annahmen!$K$35*(1+Annahmen!$B$20*D935/1000),0)</f>
        <v>864</v>
      </c>
      <c r="K935" s="15" t="n">
        <f aca="false">ROUND(Annahmen!$K$36*(1+Annahmen!$B$20*D935/1000),0)</f>
        <v>1122</v>
      </c>
      <c r="L935" s="15" t="n">
        <f aca="false">ROUND(Annahmen!$K$37*(1+Annahmen!$B$20*D935/1000),0)</f>
        <v>1147</v>
      </c>
      <c r="M935" s="15" t="n">
        <f aca="false">ROUND(Annahmen!$K$38*(1+Annahmen!$B$20*D935/1000),0)</f>
        <v>1147</v>
      </c>
      <c r="N935" s="16" t="s">
        <v>83</v>
      </c>
    </row>
    <row r="936" customFormat="false" ht="15" hidden="false" customHeight="false" outlineLevel="0" collapsed="false">
      <c r="A936" s="13" t="s">
        <v>1930</v>
      </c>
      <c r="B936" s="14" t="s">
        <v>1931</v>
      </c>
      <c r="C936" s="15" t="n">
        <v>3500</v>
      </c>
      <c r="D936" s="15" t="n">
        <v>348</v>
      </c>
      <c r="E936" s="13" t="s">
        <v>82</v>
      </c>
      <c r="F936" s="15" t="str">
        <f aca="false">IF(C936&gt;=J936,"ja","nein")</f>
        <v>ja</v>
      </c>
      <c r="G936" s="15" t="str">
        <f aca="false">IF(C936&gt;=K936,"ja","nein")</f>
        <v>ja</v>
      </c>
      <c r="H936" s="15" t="str">
        <f aca="false">IF(C936&gt;=L936,"ja","nein")</f>
        <v>ja</v>
      </c>
      <c r="I936" s="15" t="str">
        <f aca="false">IF(C936&gt;=M936,"ja","nein")</f>
        <v>ja</v>
      </c>
      <c r="J936" s="15" t="n">
        <f aca="false">ROUND(Annahmen!$K$35*(1+Annahmen!$B$20*D936/1000),0)</f>
        <v>866</v>
      </c>
      <c r="K936" s="15" t="n">
        <f aca="false">ROUND(Annahmen!$K$36*(1+Annahmen!$B$20*D936/1000),0)</f>
        <v>1125</v>
      </c>
      <c r="L936" s="15" t="n">
        <f aca="false">ROUND(Annahmen!$K$37*(1+Annahmen!$B$20*D936/1000),0)</f>
        <v>1150</v>
      </c>
      <c r="M936" s="15" t="n">
        <f aca="false">ROUND(Annahmen!$K$38*(1+Annahmen!$B$20*D936/1000),0)</f>
        <v>1150</v>
      </c>
      <c r="N936" s="16" t="s">
        <v>83</v>
      </c>
    </row>
    <row r="937" customFormat="false" ht="15" hidden="false" customHeight="false" outlineLevel="0" collapsed="false">
      <c r="A937" s="13" t="s">
        <v>1932</v>
      </c>
      <c r="B937" s="14" t="s">
        <v>1933</v>
      </c>
      <c r="C937" s="15" t="n">
        <v>3200</v>
      </c>
      <c r="D937" s="15" t="n">
        <v>297</v>
      </c>
      <c r="E937" s="13" t="s">
        <v>82</v>
      </c>
      <c r="F937" s="15" t="str">
        <f aca="false">IF(C937&gt;=J937,"ja","nein")</f>
        <v>ja</v>
      </c>
      <c r="G937" s="15" t="str">
        <f aca="false">IF(C937&gt;=K937,"ja","nein")</f>
        <v>ja</v>
      </c>
      <c r="H937" s="15" t="str">
        <f aca="false">IF(C937&gt;=L937,"ja","nein")</f>
        <v>ja</v>
      </c>
      <c r="I937" s="15" t="str">
        <f aca="false">IF(C937&gt;=M937,"ja","nein")</f>
        <v>ja</v>
      </c>
      <c r="J937" s="15" t="n">
        <f aca="false">ROUND(Annahmen!$K$35*(1+Annahmen!$B$20*D937/1000),0)</f>
        <v>862</v>
      </c>
      <c r="K937" s="15" t="n">
        <f aca="false">ROUND(Annahmen!$K$36*(1+Annahmen!$B$20*D937/1000),0)</f>
        <v>1120</v>
      </c>
      <c r="L937" s="15" t="n">
        <f aca="false">ROUND(Annahmen!$K$37*(1+Annahmen!$B$20*D937/1000),0)</f>
        <v>1145</v>
      </c>
      <c r="M937" s="15" t="n">
        <f aca="false">ROUND(Annahmen!$K$38*(1+Annahmen!$B$20*D937/1000),0)</f>
        <v>1145</v>
      </c>
      <c r="N937" s="16" t="s">
        <v>83</v>
      </c>
    </row>
    <row r="938" customFormat="false" ht="15" hidden="false" customHeight="false" outlineLevel="0" collapsed="false">
      <c r="A938" s="13" t="s">
        <v>1934</v>
      </c>
      <c r="B938" s="14" t="s">
        <v>1935</v>
      </c>
      <c r="C938" s="15" t="n">
        <v>2820</v>
      </c>
      <c r="D938" s="15" t="n">
        <v>1740</v>
      </c>
      <c r="E938" s="13" t="s">
        <v>82</v>
      </c>
      <c r="F938" s="15" t="str">
        <f aca="false">IF(C938&gt;=J938,"ja","nein")</f>
        <v>ja</v>
      </c>
      <c r="G938" s="15" t="str">
        <f aca="false">IF(C938&gt;=K938,"ja","nein")</f>
        <v>ja</v>
      </c>
      <c r="H938" s="15" t="str">
        <f aca="false">IF(C938&gt;=L938,"ja","nein")</f>
        <v>ja</v>
      </c>
      <c r="I938" s="15" t="str">
        <f aca="false">IF(C938&gt;=M938,"ja","nein")</f>
        <v>ja</v>
      </c>
      <c r="J938" s="15" t="n">
        <f aca="false">ROUND(Annahmen!$K$35*(1+Annahmen!$B$20*D938/1000),0)</f>
        <v>972</v>
      </c>
      <c r="K938" s="15" t="n">
        <f aca="false">ROUND(Annahmen!$K$36*(1+Annahmen!$B$20*D938/1000),0)</f>
        <v>1262</v>
      </c>
      <c r="L938" s="15" t="n">
        <f aca="false">ROUND(Annahmen!$K$37*(1+Annahmen!$B$20*D938/1000),0)</f>
        <v>1290</v>
      </c>
      <c r="M938" s="15" t="n">
        <f aca="false">ROUND(Annahmen!$K$38*(1+Annahmen!$B$20*D938/1000),0)</f>
        <v>1290</v>
      </c>
      <c r="N938" s="16" t="s">
        <v>83</v>
      </c>
    </row>
    <row r="939" customFormat="false" ht="15" hidden="false" customHeight="false" outlineLevel="0" collapsed="false">
      <c r="A939" s="13" t="s">
        <v>1936</v>
      </c>
      <c r="B939" s="14" t="s">
        <v>1937</v>
      </c>
      <c r="C939" s="15" t="n">
        <v>2630</v>
      </c>
      <c r="D939" s="15" t="n">
        <v>1496</v>
      </c>
      <c r="E939" s="13" t="s">
        <v>82</v>
      </c>
      <c r="F939" s="15" t="str">
        <f aca="false">IF(C939&gt;=J939,"ja","nein")</f>
        <v>ja</v>
      </c>
      <c r="G939" s="15" t="str">
        <f aca="false">IF(C939&gt;=K939,"ja","nein")</f>
        <v>ja</v>
      </c>
      <c r="H939" s="15" t="str">
        <f aca="false">IF(C939&gt;=L939,"ja","nein")</f>
        <v>ja</v>
      </c>
      <c r="I939" s="15" t="str">
        <f aca="false">IF(C939&gt;=M939,"ja","nein")</f>
        <v>ja</v>
      </c>
      <c r="J939" s="15" t="n">
        <f aca="false">ROUND(Annahmen!$K$35*(1+Annahmen!$B$20*D939/1000),0)</f>
        <v>953</v>
      </c>
      <c r="K939" s="15" t="n">
        <f aca="false">ROUND(Annahmen!$K$36*(1+Annahmen!$B$20*D939/1000),0)</f>
        <v>1238</v>
      </c>
      <c r="L939" s="15" t="n">
        <f aca="false">ROUND(Annahmen!$K$37*(1+Annahmen!$B$20*D939/1000),0)</f>
        <v>1265</v>
      </c>
      <c r="M939" s="15" t="n">
        <f aca="false">ROUND(Annahmen!$K$38*(1+Annahmen!$B$20*D939/1000),0)</f>
        <v>1265</v>
      </c>
      <c r="N939" s="16" t="s">
        <v>83</v>
      </c>
    </row>
    <row r="940" customFormat="false" ht="15" hidden="false" customHeight="false" outlineLevel="0" collapsed="false">
      <c r="A940" s="13" t="s">
        <v>1938</v>
      </c>
      <c r="B940" s="14" t="s">
        <v>1939</v>
      </c>
      <c r="C940" s="15" t="n">
        <v>2520</v>
      </c>
      <c r="D940" s="15" t="n">
        <v>465</v>
      </c>
      <c r="E940" s="13" t="s">
        <v>82</v>
      </c>
      <c r="F940" s="15" t="str">
        <f aca="false">IF(C940&gt;=J940,"ja","nein")</f>
        <v>ja</v>
      </c>
      <c r="G940" s="15" t="str">
        <f aca="false">IF(C940&gt;=K940,"ja","nein")</f>
        <v>ja</v>
      </c>
      <c r="H940" s="15" t="str">
        <f aca="false">IF(C940&gt;=L940,"ja","nein")</f>
        <v>ja</v>
      </c>
      <c r="I940" s="15" t="str">
        <f aca="false">IF(C940&gt;=M940,"ja","nein")</f>
        <v>ja</v>
      </c>
      <c r="J940" s="15" t="n">
        <f aca="false">ROUND(Annahmen!$K$35*(1+Annahmen!$B$20*D940/1000),0)</f>
        <v>875</v>
      </c>
      <c r="K940" s="15" t="n">
        <f aca="false">ROUND(Annahmen!$K$36*(1+Annahmen!$B$20*D940/1000),0)</f>
        <v>1137</v>
      </c>
      <c r="L940" s="15" t="n">
        <f aca="false">ROUND(Annahmen!$K$37*(1+Annahmen!$B$20*D940/1000),0)</f>
        <v>1162</v>
      </c>
      <c r="M940" s="15" t="n">
        <f aca="false">ROUND(Annahmen!$K$38*(1+Annahmen!$B$20*D940/1000),0)</f>
        <v>1162</v>
      </c>
      <c r="N940" s="16" t="s">
        <v>83</v>
      </c>
    </row>
    <row r="941" customFormat="false" ht="15" hidden="false" customHeight="false" outlineLevel="0" collapsed="false">
      <c r="A941" s="13" t="s">
        <v>1940</v>
      </c>
      <c r="B941" s="14" t="s">
        <v>1941</v>
      </c>
      <c r="C941" s="15" t="n">
        <v>2500</v>
      </c>
      <c r="D941" s="15" t="n">
        <v>607</v>
      </c>
      <c r="E941" s="13" t="s">
        <v>82</v>
      </c>
      <c r="F941" s="15" t="str">
        <f aca="false">IF(C941&gt;=J941,"ja","nein")</f>
        <v>ja</v>
      </c>
      <c r="G941" s="15" t="str">
        <f aca="false">IF(C941&gt;=K941,"ja","nein")</f>
        <v>ja</v>
      </c>
      <c r="H941" s="15" t="str">
        <f aca="false">IF(C941&gt;=L941,"ja","nein")</f>
        <v>ja</v>
      </c>
      <c r="I941" s="15" t="str">
        <f aca="false">IF(C941&gt;=M941,"ja","nein")</f>
        <v>ja</v>
      </c>
      <c r="J941" s="15" t="n">
        <f aca="false">ROUND(Annahmen!$K$35*(1+Annahmen!$B$20*D941/1000),0)</f>
        <v>886</v>
      </c>
      <c r="K941" s="15" t="n">
        <f aca="false">ROUND(Annahmen!$K$36*(1+Annahmen!$B$20*D941/1000),0)</f>
        <v>1151</v>
      </c>
      <c r="L941" s="15" t="n">
        <f aca="false">ROUND(Annahmen!$K$37*(1+Annahmen!$B$20*D941/1000),0)</f>
        <v>1176</v>
      </c>
      <c r="M941" s="15" t="n">
        <f aca="false">ROUND(Annahmen!$K$38*(1+Annahmen!$B$20*D941/1000),0)</f>
        <v>1176</v>
      </c>
      <c r="N941" s="16" t="s">
        <v>83</v>
      </c>
    </row>
    <row r="942" customFormat="false" ht="15" hidden="false" customHeight="false" outlineLevel="0" collapsed="false">
      <c r="A942" s="13" t="s">
        <v>1942</v>
      </c>
      <c r="B942" s="14" t="s">
        <v>1943</v>
      </c>
      <c r="C942" s="15" t="n">
        <v>2500</v>
      </c>
      <c r="D942" s="15" t="n">
        <v>626</v>
      </c>
      <c r="E942" s="13" t="s">
        <v>82</v>
      </c>
      <c r="F942" s="15" t="str">
        <f aca="false">IF(C942&gt;=J942,"ja","nein")</f>
        <v>ja</v>
      </c>
      <c r="G942" s="15" t="str">
        <f aca="false">IF(C942&gt;=K942,"ja","nein")</f>
        <v>ja</v>
      </c>
      <c r="H942" s="15" t="str">
        <f aca="false">IF(C942&gt;=L942,"ja","nein")</f>
        <v>ja</v>
      </c>
      <c r="I942" s="15" t="str">
        <f aca="false">IF(C942&gt;=M942,"ja","nein")</f>
        <v>ja</v>
      </c>
      <c r="J942" s="15" t="n">
        <f aca="false">ROUND(Annahmen!$K$35*(1+Annahmen!$B$20*D942/1000),0)</f>
        <v>887</v>
      </c>
      <c r="K942" s="15" t="n">
        <f aca="false">ROUND(Annahmen!$K$36*(1+Annahmen!$B$20*D942/1000),0)</f>
        <v>1152</v>
      </c>
      <c r="L942" s="15" t="n">
        <f aca="false">ROUND(Annahmen!$K$37*(1+Annahmen!$B$20*D942/1000),0)</f>
        <v>1178</v>
      </c>
      <c r="M942" s="15" t="n">
        <f aca="false">ROUND(Annahmen!$K$38*(1+Annahmen!$B$20*D942/1000),0)</f>
        <v>1178</v>
      </c>
      <c r="N942" s="16" t="s">
        <v>83</v>
      </c>
    </row>
    <row r="943" customFormat="false" ht="15" hidden="false" customHeight="false" outlineLevel="0" collapsed="false">
      <c r="A943" s="13" t="s">
        <v>1944</v>
      </c>
      <c r="B943" s="14" t="s">
        <v>1945</v>
      </c>
      <c r="C943" s="15" t="n">
        <v>2487</v>
      </c>
      <c r="D943" s="15" t="n">
        <v>405</v>
      </c>
      <c r="E943" s="13" t="s">
        <v>82</v>
      </c>
      <c r="F943" s="15" t="str">
        <f aca="false">IF(C943&gt;=J943,"ja","nein")</f>
        <v>ja</v>
      </c>
      <c r="G943" s="15" t="str">
        <f aca="false">IF(C943&gt;=K943,"ja","nein")</f>
        <v>ja</v>
      </c>
      <c r="H943" s="15" t="str">
        <f aca="false">IF(C943&gt;=L943,"ja","nein")</f>
        <v>ja</v>
      </c>
      <c r="I943" s="15" t="str">
        <f aca="false">IF(C943&gt;=M943,"ja","nein")</f>
        <v>ja</v>
      </c>
      <c r="J943" s="15" t="n">
        <f aca="false">ROUND(Annahmen!$K$35*(1+Annahmen!$B$20*D943/1000),0)</f>
        <v>871</v>
      </c>
      <c r="K943" s="15" t="n">
        <f aca="false">ROUND(Annahmen!$K$36*(1+Annahmen!$B$20*D943/1000),0)</f>
        <v>1131</v>
      </c>
      <c r="L943" s="15" t="n">
        <f aca="false">ROUND(Annahmen!$K$37*(1+Annahmen!$B$20*D943/1000),0)</f>
        <v>1156</v>
      </c>
      <c r="M943" s="15" t="n">
        <f aca="false">ROUND(Annahmen!$K$38*(1+Annahmen!$B$20*D943/1000),0)</f>
        <v>1156</v>
      </c>
      <c r="N943" s="16" t="s">
        <v>86</v>
      </c>
    </row>
    <row r="944" customFormat="false" ht="15" hidden="false" customHeight="false" outlineLevel="0" collapsed="false">
      <c r="A944" s="13" t="s">
        <v>1946</v>
      </c>
      <c r="B944" s="14" t="s">
        <v>1947</v>
      </c>
      <c r="C944" s="15" t="n">
        <v>2460</v>
      </c>
      <c r="D944" s="15" t="n">
        <v>1375</v>
      </c>
      <c r="E944" s="13" t="s">
        <v>82</v>
      </c>
      <c r="F944" s="15" t="str">
        <f aca="false">IF(C944&gt;=J944,"ja","nein")</f>
        <v>ja</v>
      </c>
      <c r="G944" s="15" t="str">
        <f aca="false">IF(C944&gt;=K944,"ja","nein")</f>
        <v>ja</v>
      </c>
      <c r="H944" s="15" t="str">
        <f aca="false">IF(C944&gt;=L944,"ja","nein")</f>
        <v>ja</v>
      </c>
      <c r="I944" s="15" t="str">
        <f aca="false">IF(C944&gt;=M944,"ja","nein")</f>
        <v>ja</v>
      </c>
      <c r="J944" s="15" t="n">
        <f aca="false">ROUND(Annahmen!$K$35*(1+Annahmen!$B$20*D944/1000),0)</f>
        <v>944</v>
      </c>
      <c r="K944" s="15" t="n">
        <f aca="false">ROUND(Annahmen!$K$36*(1+Annahmen!$B$20*D944/1000),0)</f>
        <v>1226</v>
      </c>
      <c r="L944" s="15" t="n">
        <f aca="false">ROUND(Annahmen!$K$37*(1+Annahmen!$B$20*D944/1000),0)</f>
        <v>1253</v>
      </c>
      <c r="M944" s="15" t="n">
        <f aca="false">ROUND(Annahmen!$K$38*(1+Annahmen!$B$20*D944/1000),0)</f>
        <v>1253</v>
      </c>
      <c r="N944" s="16" t="s">
        <v>83</v>
      </c>
    </row>
    <row r="945" customFormat="false" ht="15" hidden="false" customHeight="false" outlineLevel="0" collapsed="false">
      <c r="A945" s="13" t="s">
        <v>1948</v>
      </c>
      <c r="B945" s="14" t="s">
        <v>1949</v>
      </c>
      <c r="C945" s="15" t="n">
        <v>2400</v>
      </c>
      <c r="D945" s="15" t="n">
        <v>411</v>
      </c>
      <c r="E945" s="13" t="s">
        <v>82</v>
      </c>
      <c r="F945" s="15" t="str">
        <f aca="false">IF(C945&gt;=J945,"ja","nein")</f>
        <v>ja</v>
      </c>
      <c r="G945" s="15" t="str">
        <f aca="false">IF(C945&gt;=K945,"ja","nein")</f>
        <v>ja</v>
      </c>
      <c r="H945" s="15" t="str">
        <f aca="false">IF(C945&gt;=L945,"ja","nein")</f>
        <v>ja</v>
      </c>
      <c r="I945" s="15" t="str">
        <f aca="false">IF(C945&gt;=M945,"ja","nein")</f>
        <v>ja</v>
      </c>
      <c r="J945" s="15" t="n">
        <f aca="false">ROUND(Annahmen!$K$35*(1+Annahmen!$B$20*D945/1000),0)</f>
        <v>871</v>
      </c>
      <c r="K945" s="15" t="n">
        <f aca="false">ROUND(Annahmen!$K$36*(1+Annahmen!$B$20*D945/1000),0)</f>
        <v>1131</v>
      </c>
      <c r="L945" s="15" t="n">
        <f aca="false">ROUND(Annahmen!$K$37*(1+Annahmen!$B$20*D945/1000),0)</f>
        <v>1156</v>
      </c>
      <c r="M945" s="15" t="n">
        <f aca="false">ROUND(Annahmen!$K$38*(1+Annahmen!$B$20*D945/1000),0)</f>
        <v>1156</v>
      </c>
      <c r="N945" s="16" t="s">
        <v>83</v>
      </c>
    </row>
    <row r="946" customFormat="false" ht="15" hidden="false" customHeight="false" outlineLevel="0" collapsed="false">
      <c r="A946" s="13" t="s">
        <v>1950</v>
      </c>
      <c r="B946" s="14" t="s">
        <v>1951</v>
      </c>
      <c r="C946" s="15" t="n">
        <v>2150</v>
      </c>
      <c r="D946" s="15" t="n">
        <v>605</v>
      </c>
      <c r="E946" s="13" t="s">
        <v>82</v>
      </c>
      <c r="F946" s="15" t="str">
        <f aca="false">IF(C946&gt;=J946,"ja","nein")</f>
        <v>ja</v>
      </c>
      <c r="G946" s="15" t="str">
        <f aca="false">IF(C946&gt;=K946,"ja","nein")</f>
        <v>ja</v>
      </c>
      <c r="H946" s="15" t="str">
        <f aca="false">IF(C946&gt;=L946,"ja","nein")</f>
        <v>ja</v>
      </c>
      <c r="I946" s="15" t="str">
        <f aca="false">IF(C946&gt;=M946,"ja","nein")</f>
        <v>ja</v>
      </c>
      <c r="J946" s="15" t="n">
        <f aca="false">ROUND(Annahmen!$K$35*(1+Annahmen!$B$20*D946/1000),0)</f>
        <v>886</v>
      </c>
      <c r="K946" s="15" t="n">
        <f aca="false">ROUND(Annahmen!$K$36*(1+Annahmen!$B$20*D946/1000),0)</f>
        <v>1150</v>
      </c>
      <c r="L946" s="15" t="n">
        <f aca="false">ROUND(Annahmen!$K$37*(1+Annahmen!$B$20*D946/1000),0)</f>
        <v>1176</v>
      </c>
      <c r="M946" s="15" t="n">
        <f aca="false">ROUND(Annahmen!$K$38*(1+Annahmen!$B$20*D946/1000),0)</f>
        <v>1176</v>
      </c>
      <c r="N946" s="16" t="s">
        <v>86</v>
      </c>
    </row>
    <row r="947" customFormat="false" ht="15" hidden="false" customHeight="false" outlineLevel="0" collapsed="false">
      <c r="A947" s="13" t="s">
        <v>1952</v>
      </c>
      <c r="B947" s="14" t="s">
        <v>1953</v>
      </c>
      <c r="C947" s="15" t="n">
        <v>2040</v>
      </c>
      <c r="D947" s="15" t="n">
        <v>1039</v>
      </c>
      <c r="E947" s="13" t="s">
        <v>82</v>
      </c>
      <c r="F947" s="15" t="str">
        <f aca="false">IF(C947&gt;=J947,"ja","nein")</f>
        <v>ja</v>
      </c>
      <c r="G947" s="15" t="str">
        <f aca="false">IF(C947&gt;=K947,"ja","nein")</f>
        <v>ja</v>
      </c>
      <c r="H947" s="15" t="str">
        <f aca="false">IF(C947&gt;=L947,"ja","nein")</f>
        <v>ja</v>
      </c>
      <c r="I947" s="15" t="str">
        <f aca="false">IF(C947&gt;=M947,"ja","nein")</f>
        <v>ja</v>
      </c>
      <c r="J947" s="15" t="n">
        <f aca="false">ROUND(Annahmen!$K$35*(1+Annahmen!$B$20*D947/1000),0)</f>
        <v>919</v>
      </c>
      <c r="K947" s="15" t="n">
        <f aca="false">ROUND(Annahmen!$K$36*(1+Annahmen!$B$20*D947/1000),0)</f>
        <v>1193</v>
      </c>
      <c r="L947" s="15" t="n">
        <f aca="false">ROUND(Annahmen!$K$37*(1+Annahmen!$B$20*D947/1000),0)</f>
        <v>1219</v>
      </c>
      <c r="M947" s="15" t="n">
        <f aca="false">ROUND(Annahmen!$K$38*(1+Annahmen!$B$20*D947/1000),0)</f>
        <v>1219</v>
      </c>
      <c r="N947" s="16" t="s">
        <v>83</v>
      </c>
    </row>
    <row r="948" customFormat="false" ht="15" hidden="false" customHeight="false" outlineLevel="0" collapsed="false">
      <c r="A948" s="13" t="s">
        <v>1954</v>
      </c>
      <c r="B948" s="14" t="s">
        <v>1955</v>
      </c>
      <c r="C948" s="15" t="n">
        <v>2000</v>
      </c>
      <c r="D948" s="15" t="n">
        <v>352</v>
      </c>
      <c r="E948" s="13" t="s">
        <v>82</v>
      </c>
      <c r="F948" s="15" t="str">
        <f aca="false">IF(C948&gt;=J948,"ja","nein")</f>
        <v>ja</v>
      </c>
      <c r="G948" s="15" t="str">
        <f aca="false">IF(C948&gt;=K948,"ja","nein")</f>
        <v>ja</v>
      </c>
      <c r="H948" s="15" t="str">
        <f aca="false">IF(C948&gt;=L948,"ja","nein")</f>
        <v>ja</v>
      </c>
      <c r="I948" s="15" t="str">
        <f aca="false">IF(C948&gt;=M948,"ja","nein")</f>
        <v>ja</v>
      </c>
      <c r="J948" s="15" t="n">
        <f aca="false">ROUND(Annahmen!$K$35*(1+Annahmen!$B$20*D948/1000),0)</f>
        <v>867</v>
      </c>
      <c r="K948" s="15" t="n">
        <f aca="false">ROUND(Annahmen!$K$36*(1+Annahmen!$B$20*D948/1000),0)</f>
        <v>1126</v>
      </c>
      <c r="L948" s="15" t="n">
        <f aca="false">ROUND(Annahmen!$K$37*(1+Annahmen!$B$20*D948/1000),0)</f>
        <v>1150</v>
      </c>
      <c r="M948" s="15" t="n">
        <f aca="false">ROUND(Annahmen!$K$38*(1+Annahmen!$B$20*D948/1000),0)</f>
        <v>1150</v>
      </c>
      <c r="N948" s="16" t="s">
        <v>86</v>
      </c>
    </row>
    <row r="949" customFormat="false" ht="15" hidden="false" customHeight="false" outlineLevel="0" collapsed="false">
      <c r="A949" s="13" t="s">
        <v>1956</v>
      </c>
      <c r="B949" s="14" t="s">
        <v>1957</v>
      </c>
      <c r="C949" s="15" t="n">
        <v>2000</v>
      </c>
      <c r="D949" s="15" t="n">
        <v>866</v>
      </c>
      <c r="E949" s="13" t="s">
        <v>82</v>
      </c>
      <c r="F949" s="15" t="str">
        <f aca="false">IF(C949&gt;=J949,"ja","nein")</f>
        <v>ja</v>
      </c>
      <c r="G949" s="15" t="str">
        <f aca="false">IF(C949&gt;=K949,"ja","nein")</f>
        <v>ja</v>
      </c>
      <c r="H949" s="15" t="str">
        <f aca="false">IF(C949&gt;=L949,"ja","nein")</f>
        <v>ja</v>
      </c>
      <c r="I949" s="15" t="str">
        <f aca="false">IF(C949&gt;=M949,"ja","nein")</f>
        <v>ja</v>
      </c>
      <c r="J949" s="15" t="n">
        <f aca="false">ROUND(Annahmen!$K$35*(1+Annahmen!$B$20*D949/1000),0)</f>
        <v>905</v>
      </c>
      <c r="K949" s="15" t="n">
        <f aca="false">ROUND(Annahmen!$K$36*(1+Annahmen!$B$20*D949/1000),0)</f>
        <v>1176</v>
      </c>
      <c r="L949" s="15" t="n">
        <f aca="false">ROUND(Annahmen!$K$37*(1+Annahmen!$B$20*D949/1000),0)</f>
        <v>1202</v>
      </c>
      <c r="M949" s="15" t="n">
        <f aca="false">ROUND(Annahmen!$K$38*(1+Annahmen!$B$20*D949/1000),0)</f>
        <v>1202</v>
      </c>
      <c r="N949" s="16" t="s">
        <v>86</v>
      </c>
    </row>
    <row r="950" customFormat="false" ht="15" hidden="false" customHeight="false" outlineLevel="0" collapsed="false">
      <c r="A950" s="13" t="s">
        <v>1958</v>
      </c>
      <c r="B950" s="14" t="s">
        <v>1959</v>
      </c>
      <c r="C950" s="15" t="n">
        <v>2000</v>
      </c>
      <c r="D950" s="15" t="n">
        <v>963</v>
      </c>
      <c r="E950" s="13" t="s">
        <v>82</v>
      </c>
      <c r="F950" s="15" t="str">
        <f aca="false">IF(C950&gt;=J950,"ja","nein")</f>
        <v>ja</v>
      </c>
      <c r="G950" s="15" t="str">
        <f aca="false">IF(C950&gt;=K950,"ja","nein")</f>
        <v>ja</v>
      </c>
      <c r="H950" s="15" t="str">
        <f aca="false">IF(C950&gt;=L950,"ja","nein")</f>
        <v>ja</v>
      </c>
      <c r="I950" s="15" t="str">
        <f aca="false">IF(C950&gt;=M950,"ja","nein")</f>
        <v>ja</v>
      </c>
      <c r="J950" s="15" t="n">
        <f aca="false">ROUND(Annahmen!$K$35*(1+Annahmen!$B$20*D950/1000),0)</f>
        <v>913</v>
      </c>
      <c r="K950" s="15" t="n">
        <f aca="false">ROUND(Annahmen!$K$36*(1+Annahmen!$B$20*D950/1000),0)</f>
        <v>1186</v>
      </c>
      <c r="L950" s="15" t="n">
        <f aca="false">ROUND(Annahmen!$K$37*(1+Annahmen!$B$20*D950/1000),0)</f>
        <v>1212</v>
      </c>
      <c r="M950" s="15" t="n">
        <f aca="false">ROUND(Annahmen!$K$38*(1+Annahmen!$B$20*D950/1000),0)</f>
        <v>1212</v>
      </c>
      <c r="N950" s="16" t="s">
        <v>86</v>
      </c>
    </row>
    <row r="951" customFormat="false" ht="15" hidden="false" customHeight="false" outlineLevel="0" collapsed="false">
      <c r="A951" s="13" t="s">
        <v>1960</v>
      </c>
      <c r="B951" s="14" t="s">
        <v>1961</v>
      </c>
      <c r="C951" s="15" t="n">
        <v>1986</v>
      </c>
      <c r="D951" s="15" t="n">
        <v>200</v>
      </c>
      <c r="E951" s="13" t="s">
        <v>82</v>
      </c>
      <c r="F951" s="15" t="str">
        <f aca="false">IF(C951&gt;=J951,"ja","nein")</f>
        <v>ja</v>
      </c>
      <c r="G951" s="15" t="str">
        <f aca="false">IF(C951&gt;=K951,"ja","nein")</f>
        <v>ja</v>
      </c>
      <c r="H951" s="15" t="str">
        <f aca="false">IF(C951&gt;=L951,"ja","nein")</f>
        <v>ja</v>
      </c>
      <c r="I951" s="15" t="str">
        <f aca="false">IF(C951&gt;=M951,"ja","nein")</f>
        <v>ja</v>
      </c>
      <c r="J951" s="15" t="n">
        <f aca="false">ROUND(Annahmen!$K$35*(1+Annahmen!$B$20*D951/1000),0)</f>
        <v>855</v>
      </c>
      <c r="K951" s="15" t="n">
        <f aca="false">ROUND(Annahmen!$K$36*(1+Annahmen!$B$20*D951/1000),0)</f>
        <v>1111</v>
      </c>
      <c r="L951" s="15" t="n">
        <f aca="false">ROUND(Annahmen!$K$37*(1+Annahmen!$B$20*D951/1000),0)</f>
        <v>1135</v>
      </c>
      <c r="M951" s="15" t="n">
        <f aca="false">ROUND(Annahmen!$K$38*(1+Annahmen!$B$20*D951/1000),0)</f>
        <v>1135</v>
      </c>
      <c r="N951" s="16" t="s">
        <v>86</v>
      </c>
    </row>
    <row r="952" customFormat="false" ht="15" hidden="false" customHeight="false" outlineLevel="0" collapsed="false">
      <c r="A952" s="13" t="s">
        <v>1962</v>
      </c>
      <c r="B952" s="14" t="s">
        <v>1963</v>
      </c>
      <c r="C952" s="15" t="n">
        <v>1000</v>
      </c>
      <c r="D952" s="15" t="n">
        <v>131</v>
      </c>
      <c r="E952" s="13" t="s">
        <v>82</v>
      </c>
      <c r="F952" s="15" t="str">
        <f aca="false">IF(C952&gt;=J952,"ja","nein")</f>
        <v>ja</v>
      </c>
      <c r="G952" s="15" t="str">
        <f aca="false">IF(C952&gt;=K952,"ja","nein")</f>
        <v>nein</v>
      </c>
      <c r="H952" s="15" t="str">
        <f aca="false">IF(C952&gt;=L952,"ja","nein")</f>
        <v>nein</v>
      </c>
      <c r="I952" s="15" t="str">
        <f aca="false">IF(C952&gt;=M952,"ja","nein")</f>
        <v>nein</v>
      </c>
      <c r="J952" s="15" t="n">
        <f aca="false">ROUND(Annahmen!$K$35*(1+Annahmen!$B$20*D952/1000),0)</f>
        <v>850</v>
      </c>
      <c r="K952" s="15" t="n">
        <f aca="false">ROUND(Annahmen!$K$36*(1+Annahmen!$B$20*D952/1000),0)</f>
        <v>1104</v>
      </c>
      <c r="L952" s="15" t="n">
        <f aca="false">ROUND(Annahmen!$K$37*(1+Annahmen!$B$20*D952/1000),0)</f>
        <v>1128</v>
      </c>
      <c r="M952" s="15" t="n">
        <f aca="false">ROUND(Annahmen!$K$38*(1+Annahmen!$B$20*D952/1000),0)</f>
        <v>1128</v>
      </c>
      <c r="N952" s="16" t="s">
        <v>102</v>
      </c>
    </row>
    <row r="953" customFormat="false" ht="15" hidden="false" customHeight="false" outlineLevel="0" collapsed="false">
      <c r="A953" s="13" t="s">
        <v>1964</v>
      </c>
      <c r="B953" s="14" t="s">
        <v>1965</v>
      </c>
      <c r="C953" s="15" t="n">
        <v>1000</v>
      </c>
      <c r="D953" s="15" t="n">
        <v>0</v>
      </c>
      <c r="E953" s="13" t="s">
        <v>82</v>
      </c>
      <c r="F953" s="15" t="str">
        <f aca="false">IF(C953&gt;=J953,"ja","nein")</f>
        <v>ja</v>
      </c>
      <c r="G953" s="15" t="str">
        <f aca="false">IF(C953&gt;=K953,"ja","nein")</f>
        <v>nein</v>
      </c>
      <c r="H953" s="15" t="str">
        <f aca="false">IF(C953&gt;=L953,"ja","nein")</f>
        <v>nein</v>
      </c>
      <c r="I953" s="15" t="str">
        <f aca="false">IF(C953&gt;=M953,"ja","nein")</f>
        <v>nein</v>
      </c>
      <c r="J953" s="15" t="n">
        <f aca="false">ROUND(Annahmen!$K$35*(1+Annahmen!$B$20*D953/1000),0)</f>
        <v>840</v>
      </c>
      <c r="K953" s="15" t="n">
        <f aca="false">ROUND(Annahmen!$K$36*(1+Annahmen!$B$20*D953/1000),0)</f>
        <v>1091</v>
      </c>
      <c r="L953" s="15" t="n">
        <f aca="false">ROUND(Annahmen!$K$37*(1+Annahmen!$B$20*D953/1000),0)</f>
        <v>1115</v>
      </c>
      <c r="M953" s="15" t="n">
        <f aca="false">ROUND(Annahmen!$K$38*(1+Annahmen!$B$20*D953/1000),0)</f>
        <v>1115</v>
      </c>
      <c r="N953" s="16" t="s">
        <v>102</v>
      </c>
    </row>
    <row r="954" customFormat="false" ht="15" hidden="false" customHeight="false" outlineLevel="0" collapsed="false">
      <c r="A954" s="13" t="s">
        <v>1966</v>
      </c>
      <c r="B954" s="14" t="s">
        <v>1967</v>
      </c>
      <c r="C954" s="15" t="n">
        <v>750</v>
      </c>
      <c r="D954" s="15" t="n">
        <v>240</v>
      </c>
      <c r="E954" s="13" t="s">
        <v>82</v>
      </c>
      <c r="F954" s="15" t="str">
        <f aca="false">IF(C954&gt;=J954,"ja","nein")</f>
        <v>nein</v>
      </c>
      <c r="G954" s="15" t="str">
        <f aca="false">IF(C954&gt;=K954,"ja","nein")</f>
        <v>nein</v>
      </c>
      <c r="H954" s="15" t="str">
        <f aca="false">IF(C954&gt;=L954,"ja","nein")</f>
        <v>nein</v>
      </c>
      <c r="I954" s="15" t="str">
        <f aca="false">IF(C954&gt;=M954,"ja","nein")</f>
        <v>nein</v>
      </c>
      <c r="J954" s="15" t="n">
        <f aca="false">ROUND(Annahmen!$K$35*(1+Annahmen!$B$20*D954/1000),0)</f>
        <v>858</v>
      </c>
      <c r="K954" s="15" t="n">
        <f aca="false">ROUND(Annahmen!$K$36*(1+Annahmen!$B$20*D954/1000),0)</f>
        <v>1115</v>
      </c>
      <c r="L954" s="15" t="n">
        <f aca="false">ROUND(Annahmen!$K$37*(1+Annahmen!$B$20*D954/1000),0)</f>
        <v>1139</v>
      </c>
      <c r="M954" s="15" t="n">
        <f aca="false">ROUND(Annahmen!$K$38*(1+Annahmen!$B$20*D954/1000),0)</f>
        <v>1139</v>
      </c>
      <c r="N954" s="16" t="s">
        <v>102</v>
      </c>
    </row>
    <row r="955" customFormat="false" ht="15" hidden="false" customHeight="false" outlineLevel="0" collapsed="false">
      <c r="A955" s="13" t="s">
        <v>1968</v>
      </c>
      <c r="B955" s="14" t="s">
        <v>1969</v>
      </c>
      <c r="C955" s="15" t="n">
        <v>600</v>
      </c>
      <c r="D955" s="15" t="n">
        <v>2908</v>
      </c>
      <c r="E955" s="13" t="s">
        <v>82</v>
      </c>
      <c r="F955" s="15" t="str">
        <f aca="false">IF(C955&gt;=J955,"ja","nein")</f>
        <v>nein</v>
      </c>
      <c r="G955" s="15" t="str">
        <f aca="false">IF(C955&gt;=K955,"ja","nein")</f>
        <v>nein</v>
      </c>
      <c r="H955" s="15" t="str">
        <f aca="false">IF(C955&gt;=L955,"ja","nein")</f>
        <v>nein</v>
      </c>
      <c r="I955" s="15" t="str">
        <f aca="false">IF(C955&gt;=M955,"ja","nein")</f>
        <v>nein</v>
      </c>
      <c r="J955" s="15" t="n">
        <f aca="false">ROUND(Annahmen!$K$35*(1+Annahmen!$B$20*D955/1000),0)</f>
        <v>1060</v>
      </c>
      <c r="K955" s="15" t="n">
        <f aca="false">ROUND(Annahmen!$K$36*(1+Annahmen!$B$20*D955/1000),0)</f>
        <v>1377</v>
      </c>
      <c r="L955" s="15" t="n">
        <f aca="false">ROUND(Annahmen!$K$37*(1+Annahmen!$B$20*D955/1000),0)</f>
        <v>1407</v>
      </c>
      <c r="M955" s="15" t="n">
        <f aca="false">ROUND(Annahmen!$K$38*(1+Annahmen!$B$20*D955/1000),0)</f>
        <v>1407</v>
      </c>
      <c r="N955" s="16" t="s">
        <v>102</v>
      </c>
    </row>
    <row r="956" customFormat="false" ht="15" hidden="false" customHeight="false" outlineLevel="0" collapsed="false">
      <c r="A956" s="11" t="s">
        <v>1970</v>
      </c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</row>
    <row r="957" customFormat="false" ht="15" hidden="false" customHeight="false" outlineLevel="0" collapsed="false">
      <c r="A957" s="13" t="s">
        <v>1971</v>
      </c>
      <c r="B957" s="14" t="s">
        <v>1972</v>
      </c>
      <c r="C957" s="15" t="n">
        <v>3350</v>
      </c>
      <c r="D957" s="15" t="n">
        <v>65</v>
      </c>
      <c r="E957" s="13" t="s">
        <v>82</v>
      </c>
      <c r="F957" s="15" t="str">
        <f aca="false">IF(C957&gt;=J957,"ja","nein")</f>
        <v>ja</v>
      </c>
      <c r="G957" s="15" t="str">
        <f aca="false">IF(C957&gt;=K957,"ja","nein")</f>
        <v>ja</v>
      </c>
      <c r="H957" s="15" t="str">
        <f aca="false">IF(C957&gt;=L957,"ja","nein")</f>
        <v>ja</v>
      </c>
      <c r="I957" s="15" t="str">
        <f aca="false">IF(C957&gt;=M957,"ja","nein")</f>
        <v>ja</v>
      </c>
      <c r="J957" s="15" t="n">
        <f aca="false">ROUND(Annahmen!$K$35*(1+Annahmen!$B$20*D957/1000),0)</f>
        <v>845</v>
      </c>
      <c r="K957" s="15" t="n">
        <f aca="false">ROUND(Annahmen!$K$36*(1+Annahmen!$B$20*D957/1000),0)</f>
        <v>1097</v>
      </c>
      <c r="L957" s="15" t="n">
        <f aca="false">ROUND(Annahmen!$K$37*(1+Annahmen!$B$20*D957/1000),0)</f>
        <v>1122</v>
      </c>
      <c r="M957" s="15" t="n">
        <f aca="false">ROUND(Annahmen!$K$38*(1+Annahmen!$B$20*D957/1000),0)</f>
        <v>1122</v>
      </c>
      <c r="N957" s="16" t="s">
        <v>83</v>
      </c>
    </row>
    <row r="958" customFormat="false" ht="15" hidden="false" customHeight="false" outlineLevel="0" collapsed="false">
      <c r="A958" s="13" t="s">
        <v>1973</v>
      </c>
      <c r="B958" s="14" t="s">
        <v>1974</v>
      </c>
      <c r="C958" s="15" t="n">
        <v>3301</v>
      </c>
      <c r="D958" s="15" t="n">
        <v>137</v>
      </c>
      <c r="E958" s="13" t="s">
        <v>82</v>
      </c>
      <c r="F958" s="15" t="str">
        <f aca="false">IF(C958&gt;=J958,"ja","nein")</f>
        <v>ja</v>
      </c>
      <c r="G958" s="15" t="str">
        <f aca="false">IF(C958&gt;=K958,"ja","nein")</f>
        <v>ja</v>
      </c>
      <c r="H958" s="15" t="str">
        <f aca="false">IF(C958&gt;=L958,"ja","nein")</f>
        <v>ja</v>
      </c>
      <c r="I958" s="15" t="str">
        <f aca="false">IF(C958&gt;=M958,"ja","nein")</f>
        <v>ja</v>
      </c>
      <c r="J958" s="15" t="n">
        <f aca="false">ROUND(Annahmen!$K$35*(1+Annahmen!$B$20*D958/1000),0)</f>
        <v>850</v>
      </c>
      <c r="K958" s="15" t="n">
        <f aca="false">ROUND(Annahmen!$K$36*(1+Annahmen!$B$20*D958/1000),0)</f>
        <v>1104</v>
      </c>
      <c r="L958" s="15" t="n">
        <f aca="false">ROUND(Annahmen!$K$37*(1+Annahmen!$B$20*D958/1000),0)</f>
        <v>1129</v>
      </c>
      <c r="M958" s="15" t="n">
        <f aca="false">ROUND(Annahmen!$K$38*(1+Annahmen!$B$20*D958/1000),0)</f>
        <v>1129</v>
      </c>
      <c r="N958" s="16" t="s">
        <v>83</v>
      </c>
    </row>
    <row r="959" customFormat="false" ht="15" hidden="false" customHeight="false" outlineLevel="0" collapsed="false">
      <c r="A959" s="13" t="s">
        <v>1975</v>
      </c>
      <c r="B959" s="14" t="s">
        <v>1976</v>
      </c>
      <c r="C959" s="15" t="n">
        <v>3299</v>
      </c>
      <c r="D959" s="15" t="n">
        <v>506</v>
      </c>
      <c r="E959" s="13" t="s">
        <v>82</v>
      </c>
      <c r="F959" s="15" t="str">
        <f aca="false">IF(C959&gt;=J959,"ja","nein")</f>
        <v>ja</v>
      </c>
      <c r="G959" s="15" t="str">
        <f aca="false">IF(C959&gt;=K959,"ja","nein")</f>
        <v>ja</v>
      </c>
      <c r="H959" s="15" t="str">
        <f aca="false">IF(C959&gt;=L959,"ja","nein")</f>
        <v>ja</v>
      </c>
      <c r="I959" s="15" t="str">
        <f aca="false">IF(C959&gt;=M959,"ja","nein")</f>
        <v>ja</v>
      </c>
      <c r="J959" s="15" t="n">
        <f aca="false">ROUND(Annahmen!$K$35*(1+Annahmen!$B$20*D959/1000),0)</f>
        <v>878</v>
      </c>
      <c r="K959" s="15" t="n">
        <f aca="false">ROUND(Annahmen!$K$36*(1+Annahmen!$B$20*D959/1000),0)</f>
        <v>1141</v>
      </c>
      <c r="L959" s="15" t="n">
        <f aca="false">ROUND(Annahmen!$K$37*(1+Annahmen!$B$20*D959/1000),0)</f>
        <v>1166</v>
      </c>
      <c r="M959" s="15" t="n">
        <f aca="false">ROUND(Annahmen!$K$38*(1+Annahmen!$B$20*D959/1000),0)</f>
        <v>1166</v>
      </c>
      <c r="N959" s="16" t="s">
        <v>83</v>
      </c>
    </row>
    <row r="960" customFormat="false" ht="15" hidden="false" customHeight="false" outlineLevel="0" collapsed="false">
      <c r="A960" s="13" t="s">
        <v>1977</v>
      </c>
      <c r="B960" s="14" t="s">
        <v>1978</v>
      </c>
      <c r="C960" s="15" t="n">
        <v>3270</v>
      </c>
      <c r="D960" s="15" t="n">
        <v>188</v>
      </c>
      <c r="E960" s="13" t="s">
        <v>82</v>
      </c>
      <c r="F960" s="15" t="str">
        <f aca="false">IF(C960&gt;=J960,"ja","nein")</f>
        <v>ja</v>
      </c>
      <c r="G960" s="15" t="str">
        <f aca="false">IF(C960&gt;=K960,"ja","nein")</f>
        <v>ja</v>
      </c>
      <c r="H960" s="15" t="str">
        <f aca="false">IF(C960&gt;=L960,"ja","nein")</f>
        <v>ja</v>
      </c>
      <c r="I960" s="15" t="str">
        <f aca="false">IF(C960&gt;=M960,"ja","nein")</f>
        <v>ja</v>
      </c>
      <c r="J960" s="15" t="n">
        <f aca="false">ROUND(Annahmen!$K$35*(1+Annahmen!$B$20*D960/1000),0)</f>
        <v>854</v>
      </c>
      <c r="K960" s="15" t="n">
        <f aca="false">ROUND(Annahmen!$K$36*(1+Annahmen!$B$20*D960/1000),0)</f>
        <v>1109</v>
      </c>
      <c r="L960" s="15" t="n">
        <f aca="false">ROUND(Annahmen!$K$37*(1+Annahmen!$B$20*D960/1000),0)</f>
        <v>1134</v>
      </c>
      <c r="M960" s="15" t="n">
        <f aca="false">ROUND(Annahmen!$K$38*(1+Annahmen!$B$20*D960/1000),0)</f>
        <v>1134</v>
      </c>
      <c r="N960" s="16" t="s">
        <v>86</v>
      </c>
    </row>
    <row r="961" customFormat="false" ht="15" hidden="false" customHeight="false" outlineLevel="0" collapsed="false">
      <c r="A961" s="13" t="s">
        <v>1979</v>
      </c>
      <c r="B961" s="14" t="s">
        <v>1980</v>
      </c>
      <c r="C961" s="15" t="n">
        <v>2878</v>
      </c>
      <c r="D961" s="15" t="n">
        <v>140</v>
      </c>
      <c r="E961" s="13" t="s">
        <v>82</v>
      </c>
      <c r="F961" s="15" t="str">
        <f aca="false">IF(C961&gt;=J961,"ja","nein")</f>
        <v>ja</v>
      </c>
      <c r="G961" s="15" t="str">
        <f aca="false">IF(C961&gt;=K961,"ja","nein")</f>
        <v>ja</v>
      </c>
      <c r="H961" s="15" t="str">
        <f aca="false">IF(C961&gt;=L961,"ja","nein")</f>
        <v>ja</v>
      </c>
      <c r="I961" s="15" t="str">
        <f aca="false">IF(C961&gt;=M961,"ja","nein")</f>
        <v>ja</v>
      </c>
      <c r="J961" s="15" t="n">
        <f aca="false">ROUND(Annahmen!$K$35*(1+Annahmen!$B$20*D961/1000),0)</f>
        <v>851</v>
      </c>
      <c r="K961" s="15" t="n">
        <f aca="false">ROUND(Annahmen!$K$36*(1+Annahmen!$B$20*D961/1000),0)</f>
        <v>1105</v>
      </c>
      <c r="L961" s="15" t="n">
        <f aca="false">ROUND(Annahmen!$K$37*(1+Annahmen!$B$20*D961/1000),0)</f>
        <v>1129</v>
      </c>
      <c r="M961" s="15" t="n">
        <f aca="false">ROUND(Annahmen!$K$38*(1+Annahmen!$B$20*D961/1000),0)</f>
        <v>1129</v>
      </c>
      <c r="N961" s="16" t="s">
        <v>83</v>
      </c>
    </row>
    <row r="962" customFormat="false" ht="15" hidden="false" customHeight="false" outlineLevel="0" collapsed="false">
      <c r="A962" s="13" t="s">
        <v>1981</v>
      </c>
      <c r="B962" s="14" t="s">
        <v>1982</v>
      </c>
      <c r="C962" s="15" t="n">
        <v>2800</v>
      </c>
      <c r="D962" s="15" t="n">
        <v>236</v>
      </c>
      <c r="E962" s="13" t="s">
        <v>82</v>
      </c>
      <c r="F962" s="15" t="str">
        <f aca="false">IF(C962&gt;=J962,"ja","nein")</f>
        <v>ja</v>
      </c>
      <c r="G962" s="15" t="str">
        <f aca="false">IF(C962&gt;=K962,"ja","nein")</f>
        <v>ja</v>
      </c>
      <c r="H962" s="15" t="str">
        <f aca="false">IF(C962&gt;=L962,"ja","nein")</f>
        <v>ja</v>
      </c>
      <c r="I962" s="15" t="str">
        <f aca="false">IF(C962&gt;=M962,"ja","nein")</f>
        <v>ja</v>
      </c>
      <c r="J962" s="15" t="n">
        <f aca="false">ROUND(Annahmen!$K$35*(1+Annahmen!$B$20*D962/1000),0)</f>
        <v>858</v>
      </c>
      <c r="K962" s="15" t="n">
        <f aca="false">ROUND(Annahmen!$K$36*(1+Annahmen!$B$20*D962/1000),0)</f>
        <v>1114</v>
      </c>
      <c r="L962" s="15" t="n">
        <f aca="false">ROUND(Annahmen!$K$37*(1+Annahmen!$B$20*D962/1000),0)</f>
        <v>1139</v>
      </c>
      <c r="M962" s="15" t="n">
        <f aca="false">ROUND(Annahmen!$K$38*(1+Annahmen!$B$20*D962/1000),0)</f>
        <v>1139</v>
      </c>
      <c r="N962" s="16" t="s">
        <v>83</v>
      </c>
    </row>
    <row r="963" customFormat="false" ht="15" hidden="false" customHeight="false" outlineLevel="0" collapsed="false">
      <c r="A963" s="13" t="s">
        <v>1983</v>
      </c>
      <c r="B963" s="14" t="s">
        <v>1984</v>
      </c>
      <c r="C963" s="15" t="n">
        <v>2581</v>
      </c>
      <c r="D963" s="15" t="n">
        <v>21</v>
      </c>
      <c r="E963" s="13" t="s">
        <v>82</v>
      </c>
      <c r="F963" s="15" t="str">
        <f aca="false">IF(C963&gt;=J963,"ja","nein")</f>
        <v>ja</v>
      </c>
      <c r="G963" s="15" t="str">
        <f aca="false">IF(C963&gt;=K963,"ja","nein")</f>
        <v>ja</v>
      </c>
      <c r="H963" s="15" t="str">
        <f aca="false">IF(C963&gt;=L963,"ja","nein")</f>
        <v>ja</v>
      </c>
      <c r="I963" s="15" t="str">
        <f aca="false">IF(C963&gt;=M963,"ja","nein")</f>
        <v>ja</v>
      </c>
      <c r="J963" s="15" t="n">
        <f aca="false">ROUND(Annahmen!$K$35*(1+Annahmen!$B$20*D963/1000),0)</f>
        <v>842</v>
      </c>
      <c r="K963" s="15" t="n">
        <f aca="false">ROUND(Annahmen!$K$36*(1+Annahmen!$B$20*D963/1000),0)</f>
        <v>1093</v>
      </c>
      <c r="L963" s="15" t="n">
        <f aca="false">ROUND(Annahmen!$K$37*(1+Annahmen!$B$20*D963/1000),0)</f>
        <v>1117</v>
      </c>
      <c r="M963" s="15" t="n">
        <f aca="false">ROUND(Annahmen!$K$38*(1+Annahmen!$B$20*D963/1000),0)</f>
        <v>1117</v>
      </c>
      <c r="N963" s="16" t="s">
        <v>83</v>
      </c>
    </row>
    <row r="964" customFormat="false" ht="15" hidden="false" customHeight="false" outlineLevel="0" collapsed="false">
      <c r="A964" s="13" t="s">
        <v>1985</v>
      </c>
      <c r="B964" s="14" t="s">
        <v>1986</v>
      </c>
      <c r="C964" s="15" t="n">
        <v>2524</v>
      </c>
      <c r="D964" s="15" t="n">
        <v>88</v>
      </c>
      <c r="E964" s="13" t="s">
        <v>82</v>
      </c>
      <c r="F964" s="15" t="str">
        <f aca="false">IF(C964&gt;=J964,"ja","nein")</f>
        <v>ja</v>
      </c>
      <c r="G964" s="15" t="str">
        <f aca="false">IF(C964&gt;=K964,"ja","nein")</f>
        <v>ja</v>
      </c>
      <c r="H964" s="15" t="str">
        <f aca="false">IF(C964&gt;=L964,"ja","nein")</f>
        <v>ja</v>
      </c>
      <c r="I964" s="15" t="str">
        <f aca="false">IF(C964&gt;=M964,"ja","nein")</f>
        <v>ja</v>
      </c>
      <c r="J964" s="15" t="n">
        <f aca="false">ROUND(Annahmen!$K$35*(1+Annahmen!$B$20*D964/1000),0)</f>
        <v>847</v>
      </c>
      <c r="K964" s="15" t="n">
        <f aca="false">ROUND(Annahmen!$K$36*(1+Annahmen!$B$20*D964/1000),0)</f>
        <v>1100</v>
      </c>
      <c r="L964" s="15" t="n">
        <f aca="false">ROUND(Annahmen!$K$37*(1+Annahmen!$B$20*D964/1000),0)</f>
        <v>1124</v>
      </c>
      <c r="M964" s="15" t="n">
        <f aca="false">ROUND(Annahmen!$K$38*(1+Annahmen!$B$20*D964/1000),0)</f>
        <v>1124</v>
      </c>
      <c r="N964" s="16" t="s">
        <v>86</v>
      </c>
    </row>
    <row r="965" customFormat="false" ht="15" hidden="false" customHeight="false" outlineLevel="0" collapsed="false">
      <c r="A965" s="13" t="s">
        <v>1987</v>
      </c>
      <c r="B965" s="14" t="s">
        <v>1988</v>
      </c>
      <c r="C965" s="15" t="n">
        <v>2520</v>
      </c>
      <c r="D965" s="15" t="n">
        <v>157</v>
      </c>
      <c r="E965" s="13" t="s">
        <v>82</v>
      </c>
      <c r="F965" s="15" t="str">
        <f aca="false">IF(C965&gt;=J965,"ja","nein")</f>
        <v>ja</v>
      </c>
      <c r="G965" s="15" t="str">
        <f aca="false">IF(C965&gt;=K965,"ja","nein")</f>
        <v>ja</v>
      </c>
      <c r="H965" s="15" t="str">
        <f aca="false">IF(C965&gt;=L965,"ja","nein")</f>
        <v>ja</v>
      </c>
      <c r="I965" s="15" t="str">
        <f aca="false">IF(C965&gt;=M965,"ja","nein")</f>
        <v>ja</v>
      </c>
      <c r="J965" s="15" t="n">
        <f aca="false">ROUND(Annahmen!$K$35*(1+Annahmen!$B$20*D965/1000),0)</f>
        <v>852</v>
      </c>
      <c r="K965" s="15" t="n">
        <f aca="false">ROUND(Annahmen!$K$36*(1+Annahmen!$B$20*D965/1000),0)</f>
        <v>1106</v>
      </c>
      <c r="L965" s="15" t="n">
        <f aca="false">ROUND(Annahmen!$K$37*(1+Annahmen!$B$20*D965/1000),0)</f>
        <v>1131</v>
      </c>
      <c r="M965" s="15" t="n">
        <f aca="false">ROUND(Annahmen!$K$38*(1+Annahmen!$B$20*D965/1000),0)</f>
        <v>1131</v>
      </c>
      <c r="N965" s="16" t="s">
        <v>86</v>
      </c>
    </row>
    <row r="966" customFormat="false" ht="15" hidden="false" customHeight="false" outlineLevel="0" collapsed="false">
      <c r="A966" s="13" t="s">
        <v>1989</v>
      </c>
      <c r="B966" s="14" t="s">
        <v>1990</v>
      </c>
      <c r="C966" s="15" t="n">
        <v>2516</v>
      </c>
      <c r="D966" s="15" t="n">
        <v>352</v>
      </c>
      <c r="E966" s="13" t="s">
        <v>82</v>
      </c>
      <c r="F966" s="15" t="str">
        <f aca="false">IF(C966&gt;=J966,"ja","nein")</f>
        <v>ja</v>
      </c>
      <c r="G966" s="15" t="str">
        <f aca="false">IF(C966&gt;=K966,"ja","nein")</f>
        <v>ja</v>
      </c>
      <c r="H966" s="15" t="str">
        <f aca="false">IF(C966&gt;=L966,"ja","nein")</f>
        <v>ja</v>
      </c>
      <c r="I966" s="15" t="str">
        <f aca="false">IF(C966&gt;=M966,"ja","nein")</f>
        <v>ja</v>
      </c>
      <c r="J966" s="15" t="n">
        <f aca="false">ROUND(Annahmen!$K$35*(1+Annahmen!$B$20*D966/1000),0)</f>
        <v>867</v>
      </c>
      <c r="K966" s="15" t="n">
        <f aca="false">ROUND(Annahmen!$K$36*(1+Annahmen!$B$20*D966/1000),0)</f>
        <v>1126</v>
      </c>
      <c r="L966" s="15" t="n">
        <f aca="false">ROUND(Annahmen!$K$37*(1+Annahmen!$B$20*D966/1000),0)</f>
        <v>1150</v>
      </c>
      <c r="M966" s="15" t="n">
        <f aca="false">ROUND(Annahmen!$K$38*(1+Annahmen!$B$20*D966/1000),0)</f>
        <v>1150</v>
      </c>
      <c r="N966" s="16" t="s">
        <v>86</v>
      </c>
    </row>
    <row r="967" customFormat="false" ht="15" hidden="false" customHeight="false" outlineLevel="0" collapsed="false">
      <c r="A967" s="13" t="s">
        <v>1991</v>
      </c>
      <c r="B967" s="14" t="s">
        <v>1992</v>
      </c>
      <c r="C967" s="15" t="n">
        <v>2502</v>
      </c>
      <c r="D967" s="15" t="n">
        <v>1508</v>
      </c>
      <c r="E967" s="13" t="s">
        <v>82</v>
      </c>
      <c r="F967" s="15" t="str">
        <f aca="false">IF(C967&gt;=J967,"ja","nein")</f>
        <v>ja</v>
      </c>
      <c r="G967" s="15" t="str">
        <f aca="false">IF(C967&gt;=K967,"ja","nein")</f>
        <v>ja</v>
      </c>
      <c r="H967" s="15" t="str">
        <f aca="false">IF(C967&gt;=L967,"ja","nein")</f>
        <v>ja</v>
      </c>
      <c r="I967" s="15" t="str">
        <f aca="false">IF(C967&gt;=M967,"ja","nein")</f>
        <v>ja</v>
      </c>
      <c r="J967" s="15" t="n">
        <f aca="false">ROUND(Annahmen!$K$35*(1+Annahmen!$B$20*D967/1000),0)</f>
        <v>954</v>
      </c>
      <c r="K967" s="15" t="n">
        <f aca="false">ROUND(Annahmen!$K$36*(1+Annahmen!$B$20*D967/1000),0)</f>
        <v>1239</v>
      </c>
      <c r="L967" s="15" t="n">
        <f aca="false">ROUND(Annahmen!$K$37*(1+Annahmen!$B$20*D967/1000),0)</f>
        <v>1266</v>
      </c>
      <c r="M967" s="15" t="n">
        <f aca="false">ROUND(Annahmen!$K$38*(1+Annahmen!$B$20*D967/1000),0)</f>
        <v>1266</v>
      </c>
      <c r="N967" s="16" t="s">
        <v>83</v>
      </c>
    </row>
    <row r="968" customFormat="false" ht="15" hidden="false" customHeight="false" outlineLevel="0" collapsed="false">
      <c r="A968" s="13" t="s">
        <v>1993</v>
      </c>
      <c r="B968" s="14" t="s">
        <v>1994</v>
      </c>
      <c r="C968" s="15" t="n">
        <v>2500</v>
      </c>
      <c r="D968" s="15" t="n">
        <v>1608</v>
      </c>
      <c r="E968" s="13" t="s">
        <v>82</v>
      </c>
      <c r="F968" s="15" t="str">
        <f aca="false">IF(C968&gt;=J968,"ja","nein")</f>
        <v>ja</v>
      </c>
      <c r="G968" s="15" t="str">
        <f aca="false">IF(C968&gt;=K968,"ja","nein")</f>
        <v>ja</v>
      </c>
      <c r="H968" s="15" t="str">
        <f aca="false">IF(C968&gt;=L968,"ja","nein")</f>
        <v>ja</v>
      </c>
      <c r="I968" s="15" t="str">
        <f aca="false">IF(C968&gt;=M968,"ja","nein")</f>
        <v>ja</v>
      </c>
      <c r="J968" s="15" t="n">
        <f aca="false">ROUND(Annahmen!$K$35*(1+Annahmen!$B$20*D968/1000),0)</f>
        <v>962</v>
      </c>
      <c r="K968" s="15" t="n">
        <f aca="false">ROUND(Annahmen!$K$36*(1+Annahmen!$B$20*D968/1000),0)</f>
        <v>1249</v>
      </c>
      <c r="L968" s="15" t="n">
        <f aca="false">ROUND(Annahmen!$K$37*(1+Annahmen!$B$20*D968/1000),0)</f>
        <v>1276</v>
      </c>
      <c r="M968" s="15" t="n">
        <f aca="false">ROUND(Annahmen!$K$38*(1+Annahmen!$B$20*D968/1000),0)</f>
        <v>1276</v>
      </c>
      <c r="N968" s="16" t="s">
        <v>83</v>
      </c>
    </row>
    <row r="969" customFormat="false" ht="15" hidden="false" customHeight="false" outlineLevel="0" collapsed="false">
      <c r="A969" s="13" t="s">
        <v>1995</v>
      </c>
      <c r="B969" s="14" t="s">
        <v>1996</v>
      </c>
      <c r="C969" s="15" t="n">
        <v>2500</v>
      </c>
      <c r="D969" s="15" t="n">
        <v>1245</v>
      </c>
      <c r="E969" s="13" t="s">
        <v>82</v>
      </c>
      <c r="F969" s="15" t="str">
        <f aca="false">IF(C969&gt;=J969,"ja","nein")</f>
        <v>ja</v>
      </c>
      <c r="G969" s="15" t="str">
        <f aca="false">IF(C969&gt;=K969,"ja","nein")</f>
        <v>ja</v>
      </c>
      <c r="H969" s="15" t="str">
        <f aca="false">IF(C969&gt;=L969,"ja","nein")</f>
        <v>ja</v>
      </c>
      <c r="I969" s="15" t="str">
        <f aca="false">IF(C969&gt;=M969,"ja","nein")</f>
        <v>ja</v>
      </c>
      <c r="J969" s="15" t="n">
        <f aca="false">ROUND(Annahmen!$K$35*(1+Annahmen!$B$20*D969/1000),0)</f>
        <v>934</v>
      </c>
      <c r="K969" s="15" t="n">
        <f aca="false">ROUND(Annahmen!$K$36*(1+Annahmen!$B$20*D969/1000),0)</f>
        <v>1213</v>
      </c>
      <c r="L969" s="15" t="n">
        <f aca="false">ROUND(Annahmen!$K$37*(1+Annahmen!$B$20*D969/1000),0)</f>
        <v>1240</v>
      </c>
      <c r="M969" s="15" t="n">
        <f aca="false">ROUND(Annahmen!$K$38*(1+Annahmen!$B$20*D969/1000),0)</f>
        <v>1240</v>
      </c>
      <c r="N969" s="16" t="s">
        <v>86</v>
      </c>
    </row>
    <row r="970" customFormat="false" ht="15" hidden="false" customHeight="false" outlineLevel="0" collapsed="false">
      <c r="A970" s="13" t="s">
        <v>1997</v>
      </c>
      <c r="B970" s="14" t="s">
        <v>1998</v>
      </c>
      <c r="C970" s="15" t="n">
        <v>2500</v>
      </c>
      <c r="D970" s="15" t="n">
        <v>1233</v>
      </c>
      <c r="E970" s="13" t="s">
        <v>82</v>
      </c>
      <c r="F970" s="15" t="str">
        <f aca="false">IF(C970&gt;=J970,"ja","nein")</f>
        <v>ja</v>
      </c>
      <c r="G970" s="15" t="str">
        <f aca="false">IF(C970&gt;=K970,"ja","nein")</f>
        <v>ja</v>
      </c>
      <c r="H970" s="15" t="str">
        <f aca="false">IF(C970&gt;=L970,"ja","nein")</f>
        <v>ja</v>
      </c>
      <c r="I970" s="15" t="str">
        <f aca="false">IF(C970&gt;=M970,"ja","nein")</f>
        <v>ja</v>
      </c>
      <c r="J970" s="15" t="n">
        <f aca="false">ROUND(Annahmen!$K$35*(1+Annahmen!$B$20*D970/1000),0)</f>
        <v>933</v>
      </c>
      <c r="K970" s="15" t="n">
        <f aca="false">ROUND(Annahmen!$K$36*(1+Annahmen!$B$20*D970/1000),0)</f>
        <v>1212</v>
      </c>
      <c r="L970" s="15" t="n">
        <f aca="false">ROUND(Annahmen!$K$37*(1+Annahmen!$B$20*D970/1000),0)</f>
        <v>1239</v>
      </c>
      <c r="M970" s="15" t="n">
        <f aca="false">ROUND(Annahmen!$K$38*(1+Annahmen!$B$20*D970/1000),0)</f>
        <v>1239</v>
      </c>
      <c r="N970" s="16" t="s">
        <v>86</v>
      </c>
    </row>
    <row r="971" customFormat="false" ht="15" hidden="false" customHeight="false" outlineLevel="0" collapsed="false">
      <c r="A971" s="13" t="s">
        <v>1999</v>
      </c>
      <c r="B971" s="14" t="s">
        <v>2000</v>
      </c>
      <c r="C971" s="15" t="n">
        <v>2331</v>
      </c>
      <c r="D971" s="15" t="n">
        <v>191</v>
      </c>
      <c r="E971" s="13" t="s">
        <v>82</v>
      </c>
      <c r="F971" s="15" t="str">
        <f aca="false">IF(C971&gt;=J971,"ja","nein")</f>
        <v>ja</v>
      </c>
      <c r="G971" s="15" t="str">
        <f aca="false">IF(C971&gt;=K971,"ja","nein")</f>
        <v>ja</v>
      </c>
      <c r="H971" s="15" t="str">
        <f aca="false">IF(C971&gt;=L971,"ja","nein")</f>
        <v>ja</v>
      </c>
      <c r="I971" s="15" t="str">
        <f aca="false">IF(C971&gt;=M971,"ja","nein")</f>
        <v>ja</v>
      </c>
      <c r="J971" s="15" t="n">
        <f aca="false">ROUND(Annahmen!$K$35*(1+Annahmen!$B$20*D971/1000),0)</f>
        <v>854</v>
      </c>
      <c r="K971" s="15" t="n">
        <f aca="false">ROUND(Annahmen!$K$36*(1+Annahmen!$B$20*D971/1000),0)</f>
        <v>1110</v>
      </c>
      <c r="L971" s="15" t="n">
        <f aca="false">ROUND(Annahmen!$K$37*(1+Annahmen!$B$20*D971/1000),0)</f>
        <v>1134</v>
      </c>
      <c r="M971" s="15" t="n">
        <f aca="false">ROUND(Annahmen!$K$38*(1+Annahmen!$B$20*D971/1000),0)</f>
        <v>1134</v>
      </c>
      <c r="N971" s="16" t="s">
        <v>86</v>
      </c>
    </row>
    <row r="972" customFormat="false" ht="15" hidden="false" customHeight="false" outlineLevel="0" collapsed="false">
      <c r="A972" s="13" t="s">
        <v>2001</v>
      </c>
      <c r="B972" s="14" t="s">
        <v>2002</v>
      </c>
      <c r="C972" s="15" t="n">
        <v>2310</v>
      </c>
      <c r="D972" s="15" t="n">
        <v>503</v>
      </c>
      <c r="E972" s="13" t="s">
        <v>82</v>
      </c>
      <c r="F972" s="15" t="str">
        <f aca="false">IF(C972&gt;=J972,"ja","nein")</f>
        <v>ja</v>
      </c>
      <c r="G972" s="15" t="str">
        <f aca="false">IF(C972&gt;=K972,"ja","nein")</f>
        <v>ja</v>
      </c>
      <c r="H972" s="15" t="str">
        <f aca="false">IF(C972&gt;=L972,"ja","nein")</f>
        <v>ja</v>
      </c>
      <c r="I972" s="15" t="str">
        <f aca="false">IF(C972&gt;=M972,"ja","nein")</f>
        <v>ja</v>
      </c>
      <c r="J972" s="15" t="n">
        <f aca="false">ROUND(Annahmen!$K$35*(1+Annahmen!$B$20*D972/1000),0)</f>
        <v>878</v>
      </c>
      <c r="K972" s="15" t="n">
        <f aca="false">ROUND(Annahmen!$K$36*(1+Annahmen!$B$20*D972/1000),0)</f>
        <v>1140</v>
      </c>
      <c r="L972" s="15" t="n">
        <f aca="false">ROUND(Annahmen!$K$37*(1+Annahmen!$B$20*D972/1000),0)</f>
        <v>1165</v>
      </c>
      <c r="M972" s="15" t="n">
        <f aca="false">ROUND(Annahmen!$K$38*(1+Annahmen!$B$20*D972/1000),0)</f>
        <v>1165</v>
      </c>
      <c r="N972" s="16" t="s">
        <v>86</v>
      </c>
    </row>
    <row r="973" customFormat="false" ht="15" hidden="false" customHeight="false" outlineLevel="0" collapsed="false">
      <c r="A973" s="13" t="s">
        <v>2003</v>
      </c>
      <c r="B973" s="14" t="s">
        <v>2004</v>
      </c>
      <c r="C973" s="15" t="n">
        <v>2302</v>
      </c>
      <c r="D973" s="15" t="n">
        <v>24</v>
      </c>
      <c r="E973" s="13" t="s">
        <v>82</v>
      </c>
      <c r="F973" s="15" t="str">
        <f aca="false">IF(C973&gt;=J973,"ja","nein")</f>
        <v>ja</v>
      </c>
      <c r="G973" s="15" t="str">
        <f aca="false">IF(C973&gt;=K973,"ja","nein")</f>
        <v>ja</v>
      </c>
      <c r="H973" s="15" t="str">
        <f aca="false">IF(C973&gt;=L973,"ja","nein")</f>
        <v>ja</v>
      </c>
      <c r="I973" s="15" t="str">
        <f aca="false">IF(C973&gt;=M973,"ja","nein")</f>
        <v>ja</v>
      </c>
      <c r="J973" s="15" t="n">
        <f aca="false">ROUND(Annahmen!$K$35*(1+Annahmen!$B$20*D973/1000),0)</f>
        <v>842</v>
      </c>
      <c r="K973" s="15" t="n">
        <f aca="false">ROUND(Annahmen!$K$36*(1+Annahmen!$B$20*D973/1000),0)</f>
        <v>1093</v>
      </c>
      <c r="L973" s="15" t="n">
        <f aca="false">ROUND(Annahmen!$K$37*(1+Annahmen!$B$20*D973/1000),0)</f>
        <v>1117</v>
      </c>
      <c r="M973" s="15" t="n">
        <f aca="false">ROUND(Annahmen!$K$38*(1+Annahmen!$B$20*D973/1000),0)</f>
        <v>1117</v>
      </c>
      <c r="N973" s="16" t="s">
        <v>83</v>
      </c>
    </row>
    <row r="974" customFormat="false" ht="15" hidden="false" customHeight="false" outlineLevel="0" collapsed="false">
      <c r="A974" s="13" t="s">
        <v>2005</v>
      </c>
      <c r="B974" s="14" t="s">
        <v>2006</v>
      </c>
      <c r="C974" s="15" t="n">
        <v>2302</v>
      </c>
      <c r="D974" s="15" t="n">
        <v>542</v>
      </c>
      <c r="E974" s="13" t="s">
        <v>82</v>
      </c>
      <c r="F974" s="15" t="str">
        <f aca="false">IF(C974&gt;=J974,"ja","nein")</f>
        <v>ja</v>
      </c>
      <c r="G974" s="15" t="str">
        <f aca="false">IF(C974&gt;=K974,"ja","nein")</f>
        <v>ja</v>
      </c>
      <c r="H974" s="15" t="str">
        <f aca="false">IF(C974&gt;=L974,"ja","nein")</f>
        <v>ja</v>
      </c>
      <c r="I974" s="15" t="str">
        <f aca="false">IF(C974&gt;=M974,"ja","nein")</f>
        <v>ja</v>
      </c>
      <c r="J974" s="15" t="n">
        <f aca="false">ROUND(Annahmen!$K$35*(1+Annahmen!$B$20*D974/1000),0)</f>
        <v>881</v>
      </c>
      <c r="K974" s="15" t="n">
        <f aca="false">ROUND(Annahmen!$K$36*(1+Annahmen!$B$20*D974/1000),0)</f>
        <v>1144</v>
      </c>
      <c r="L974" s="15" t="n">
        <f aca="false">ROUND(Annahmen!$K$37*(1+Annahmen!$B$20*D974/1000),0)</f>
        <v>1169</v>
      </c>
      <c r="M974" s="15" t="n">
        <f aca="false">ROUND(Annahmen!$K$38*(1+Annahmen!$B$20*D974/1000),0)</f>
        <v>1169</v>
      </c>
      <c r="N974" s="16" t="s">
        <v>102</v>
      </c>
    </row>
    <row r="975" customFormat="false" ht="15" hidden="false" customHeight="false" outlineLevel="0" collapsed="false">
      <c r="A975" s="13" t="s">
        <v>2007</v>
      </c>
      <c r="B975" s="14" t="s">
        <v>2008</v>
      </c>
      <c r="C975" s="15" t="n">
        <v>2283</v>
      </c>
      <c r="D975" s="15" t="n">
        <v>915</v>
      </c>
      <c r="E975" s="13" t="s">
        <v>82</v>
      </c>
      <c r="F975" s="15" t="str">
        <f aca="false">IF(C975&gt;=J975,"ja","nein")</f>
        <v>ja</v>
      </c>
      <c r="G975" s="15" t="str">
        <f aca="false">IF(C975&gt;=K975,"ja","nein")</f>
        <v>ja</v>
      </c>
      <c r="H975" s="15" t="str">
        <f aca="false">IF(C975&gt;=L975,"ja","nein")</f>
        <v>ja</v>
      </c>
      <c r="I975" s="15" t="str">
        <f aca="false">IF(C975&gt;=M975,"ja","nein")</f>
        <v>ja</v>
      </c>
      <c r="J975" s="15" t="n">
        <f aca="false">ROUND(Annahmen!$K$35*(1+Annahmen!$B$20*D975/1000),0)</f>
        <v>909</v>
      </c>
      <c r="K975" s="15" t="n">
        <f aca="false">ROUND(Annahmen!$K$36*(1+Annahmen!$B$20*D975/1000),0)</f>
        <v>1181</v>
      </c>
      <c r="L975" s="15" t="n">
        <f aca="false">ROUND(Annahmen!$K$37*(1+Annahmen!$B$20*D975/1000),0)</f>
        <v>1207</v>
      </c>
      <c r="M975" s="15" t="n">
        <f aca="false">ROUND(Annahmen!$K$38*(1+Annahmen!$B$20*D975/1000),0)</f>
        <v>1207</v>
      </c>
      <c r="N975" s="16" t="s">
        <v>86</v>
      </c>
    </row>
    <row r="976" customFormat="false" ht="15" hidden="false" customHeight="false" outlineLevel="0" collapsed="false">
      <c r="A976" s="13" t="s">
        <v>2009</v>
      </c>
      <c r="B976" s="14" t="s">
        <v>2010</v>
      </c>
      <c r="C976" s="15" t="n">
        <v>2270</v>
      </c>
      <c r="D976" s="15" t="n">
        <v>140</v>
      </c>
      <c r="E976" s="13" t="s">
        <v>82</v>
      </c>
      <c r="F976" s="15" t="str">
        <f aca="false">IF(C976&gt;=J976,"ja","nein")</f>
        <v>ja</v>
      </c>
      <c r="G976" s="15" t="str">
        <f aca="false">IF(C976&gt;=K976,"ja","nein")</f>
        <v>ja</v>
      </c>
      <c r="H976" s="15" t="str">
        <f aca="false">IF(C976&gt;=L976,"ja","nein")</f>
        <v>ja</v>
      </c>
      <c r="I976" s="15" t="str">
        <f aca="false">IF(C976&gt;=M976,"ja","nein")</f>
        <v>ja</v>
      </c>
      <c r="J976" s="15" t="n">
        <f aca="false">ROUND(Annahmen!$K$35*(1+Annahmen!$B$20*D976/1000),0)</f>
        <v>851</v>
      </c>
      <c r="K976" s="15" t="n">
        <f aca="false">ROUND(Annahmen!$K$36*(1+Annahmen!$B$20*D976/1000),0)</f>
        <v>1105</v>
      </c>
      <c r="L976" s="15" t="n">
        <f aca="false">ROUND(Annahmen!$K$37*(1+Annahmen!$B$20*D976/1000),0)</f>
        <v>1129</v>
      </c>
      <c r="M976" s="15" t="n">
        <f aca="false">ROUND(Annahmen!$K$38*(1+Annahmen!$B$20*D976/1000),0)</f>
        <v>1129</v>
      </c>
      <c r="N976" s="16" t="s">
        <v>86</v>
      </c>
    </row>
    <row r="977" customFormat="false" ht="15" hidden="false" customHeight="false" outlineLevel="0" collapsed="false">
      <c r="A977" s="13" t="s">
        <v>2011</v>
      </c>
      <c r="B977" s="14" t="s">
        <v>2012</v>
      </c>
      <c r="C977" s="15" t="n">
        <v>2261</v>
      </c>
      <c r="D977" s="15" t="n">
        <v>101</v>
      </c>
      <c r="E977" s="13" t="s">
        <v>82</v>
      </c>
      <c r="F977" s="15" t="str">
        <f aca="false">IF(C977&gt;=J977,"ja","nein")</f>
        <v>ja</v>
      </c>
      <c r="G977" s="15" t="str">
        <f aca="false">IF(C977&gt;=K977,"ja","nein")</f>
        <v>ja</v>
      </c>
      <c r="H977" s="15" t="str">
        <f aca="false">IF(C977&gt;=L977,"ja","nein")</f>
        <v>ja</v>
      </c>
      <c r="I977" s="15" t="str">
        <f aca="false">IF(C977&gt;=M977,"ja","nein")</f>
        <v>ja</v>
      </c>
      <c r="J977" s="15" t="n">
        <f aca="false">ROUND(Annahmen!$K$35*(1+Annahmen!$B$20*D977/1000),0)</f>
        <v>848</v>
      </c>
      <c r="K977" s="15" t="n">
        <f aca="false">ROUND(Annahmen!$K$36*(1+Annahmen!$B$20*D977/1000),0)</f>
        <v>1101</v>
      </c>
      <c r="L977" s="15" t="n">
        <f aca="false">ROUND(Annahmen!$K$37*(1+Annahmen!$B$20*D977/1000),0)</f>
        <v>1125</v>
      </c>
      <c r="M977" s="15" t="n">
        <f aca="false">ROUND(Annahmen!$K$38*(1+Annahmen!$B$20*D977/1000),0)</f>
        <v>1125</v>
      </c>
      <c r="N977" s="16" t="s">
        <v>86</v>
      </c>
    </row>
    <row r="978" customFormat="false" ht="15" hidden="false" customHeight="false" outlineLevel="0" collapsed="false">
      <c r="A978" s="13" t="s">
        <v>2013</v>
      </c>
      <c r="B978" s="14" t="s">
        <v>2014</v>
      </c>
      <c r="C978" s="15" t="n">
        <v>2215</v>
      </c>
      <c r="D978" s="15" t="n">
        <v>76</v>
      </c>
      <c r="E978" s="13" t="s">
        <v>82</v>
      </c>
      <c r="F978" s="15" t="str">
        <f aca="false">IF(C978&gt;=J978,"ja","nein")</f>
        <v>ja</v>
      </c>
      <c r="G978" s="15" t="str">
        <f aca="false">IF(C978&gt;=K978,"ja","nein")</f>
        <v>ja</v>
      </c>
      <c r="H978" s="15" t="str">
        <f aca="false">IF(C978&gt;=L978,"ja","nein")</f>
        <v>ja</v>
      </c>
      <c r="I978" s="15" t="str">
        <f aca="false">IF(C978&gt;=M978,"ja","nein")</f>
        <v>ja</v>
      </c>
      <c r="J978" s="15" t="n">
        <f aca="false">ROUND(Annahmen!$K$35*(1+Annahmen!$B$20*D978/1000),0)</f>
        <v>846</v>
      </c>
      <c r="K978" s="15" t="n">
        <f aca="false">ROUND(Annahmen!$K$36*(1+Annahmen!$B$20*D978/1000),0)</f>
        <v>1098</v>
      </c>
      <c r="L978" s="15" t="n">
        <f aca="false">ROUND(Annahmen!$K$37*(1+Annahmen!$B$20*D978/1000),0)</f>
        <v>1123</v>
      </c>
      <c r="M978" s="15" t="n">
        <f aca="false">ROUND(Annahmen!$K$38*(1+Annahmen!$B$20*D978/1000),0)</f>
        <v>1123</v>
      </c>
      <c r="N978" s="16" t="s">
        <v>86</v>
      </c>
    </row>
    <row r="979" customFormat="false" ht="15" hidden="false" customHeight="false" outlineLevel="0" collapsed="false">
      <c r="A979" s="13" t="s">
        <v>2015</v>
      </c>
      <c r="B979" s="14" t="s">
        <v>2016</v>
      </c>
      <c r="C979" s="15" t="n">
        <v>2203</v>
      </c>
      <c r="D979" s="15" t="n">
        <v>741</v>
      </c>
      <c r="E979" s="13" t="s">
        <v>82</v>
      </c>
      <c r="F979" s="15" t="str">
        <f aca="false">IF(C979&gt;=J979,"ja","nein")</f>
        <v>ja</v>
      </c>
      <c r="G979" s="15" t="str">
        <f aca="false">IF(C979&gt;=K979,"ja","nein")</f>
        <v>ja</v>
      </c>
      <c r="H979" s="15" t="str">
        <f aca="false">IF(C979&gt;=L979,"ja","nein")</f>
        <v>ja</v>
      </c>
      <c r="I979" s="15" t="str">
        <f aca="false">IF(C979&gt;=M979,"ja","nein")</f>
        <v>ja</v>
      </c>
      <c r="J979" s="15" t="n">
        <f aca="false">ROUND(Annahmen!$K$35*(1+Annahmen!$B$20*D979/1000),0)</f>
        <v>896</v>
      </c>
      <c r="K979" s="15" t="n">
        <f aca="false">ROUND(Annahmen!$K$36*(1+Annahmen!$B$20*D979/1000),0)</f>
        <v>1164</v>
      </c>
      <c r="L979" s="15" t="n">
        <f aca="false">ROUND(Annahmen!$K$37*(1+Annahmen!$B$20*D979/1000),0)</f>
        <v>1189</v>
      </c>
      <c r="M979" s="15" t="n">
        <f aca="false">ROUND(Annahmen!$K$38*(1+Annahmen!$B$20*D979/1000),0)</f>
        <v>1189</v>
      </c>
      <c r="N979" s="16" t="s">
        <v>86</v>
      </c>
    </row>
    <row r="980" customFormat="false" ht="15" hidden="false" customHeight="false" outlineLevel="0" collapsed="false">
      <c r="A980" s="13" t="s">
        <v>2017</v>
      </c>
      <c r="B980" s="14" t="s">
        <v>2018</v>
      </c>
      <c r="C980" s="15" t="n">
        <v>2203</v>
      </c>
      <c r="D980" s="15" t="n">
        <v>32</v>
      </c>
      <c r="E980" s="13" t="s">
        <v>82</v>
      </c>
      <c r="F980" s="15" t="str">
        <f aca="false">IF(C980&gt;=J980,"ja","nein")</f>
        <v>ja</v>
      </c>
      <c r="G980" s="15" t="str">
        <f aca="false">IF(C980&gt;=K980,"ja","nein")</f>
        <v>ja</v>
      </c>
      <c r="H980" s="15" t="str">
        <f aca="false">IF(C980&gt;=L980,"ja","nein")</f>
        <v>ja</v>
      </c>
      <c r="I980" s="15" t="str">
        <f aca="false">IF(C980&gt;=M980,"ja","nein")</f>
        <v>ja</v>
      </c>
      <c r="J980" s="15" t="n">
        <f aca="false">ROUND(Annahmen!$K$35*(1+Annahmen!$B$20*D980/1000),0)</f>
        <v>842</v>
      </c>
      <c r="K980" s="15" t="n">
        <f aca="false">ROUND(Annahmen!$K$36*(1+Annahmen!$B$20*D980/1000),0)</f>
        <v>1094</v>
      </c>
      <c r="L980" s="15" t="n">
        <f aca="false">ROUND(Annahmen!$K$37*(1+Annahmen!$B$20*D980/1000),0)</f>
        <v>1118</v>
      </c>
      <c r="M980" s="15" t="n">
        <f aca="false">ROUND(Annahmen!$K$38*(1+Annahmen!$B$20*D980/1000),0)</f>
        <v>1118</v>
      </c>
      <c r="N980" s="16" t="s">
        <v>86</v>
      </c>
    </row>
    <row r="981" customFormat="false" ht="15" hidden="false" customHeight="false" outlineLevel="0" collapsed="false">
      <c r="A981" s="13" t="s">
        <v>2019</v>
      </c>
      <c r="B981" s="14" t="s">
        <v>2020</v>
      </c>
      <c r="C981" s="15" t="n">
        <v>2135</v>
      </c>
      <c r="D981" s="15" t="n">
        <v>172</v>
      </c>
      <c r="E981" s="13" t="s">
        <v>82</v>
      </c>
      <c r="F981" s="15" t="str">
        <f aca="false">IF(C981&gt;=J981,"ja","nein")</f>
        <v>ja</v>
      </c>
      <c r="G981" s="15" t="str">
        <f aca="false">IF(C981&gt;=K981,"ja","nein")</f>
        <v>ja</v>
      </c>
      <c r="H981" s="15" t="str">
        <f aca="false">IF(C981&gt;=L981,"ja","nein")</f>
        <v>ja</v>
      </c>
      <c r="I981" s="15" t="str">
        <f aca="false">IF(C981&gt;=M981,"ja","nein")</f>
        <v>ja</v>
      </c>
      <c r="J981" s="15" t="n">
        <f aca="false">ROUND(Annahmen!$K$35*(1+Annahmen!$B$20*D981/1000),0)</f>
        <v>853</v>
      </c>
      <c r="K981" s="15" t="n">
        <f aca="false">ROUND(Annahmen!$K$36*(1+Annahmen!$B$20*D981/1000),0)</f>
        <v>1108</v>
      </c>
      <c r="L981" s="15" t="n">
        <f aca="false">ROUND(Annahmen!$K$37*(1+Annahmen!$B$20*D981/1000),0)</f>
        <v>1132</v>
      </c>
      <c r="M981" s="15" t="n">
        <f aca="false">ROUND(Annahmen!$K$38*(1+Annahmen!$B$20*D981/1000),0)</f>
        <v>1132</v>
      </c>
      <c r="N981" s="16" t="s">
        <v>83</v>
      </c>
    </row>
    <row r="982" customFormat="false" ht="15" hidden="false" customHeight="false" outlineLevel="0" collapsed="false">
      <c r="A982" s="13" t="s">
        <v>2021</v>
      </c>
      <c r="B982" s="14" t="s">
        <v>2022</v>
      </c>
      <c r="C982" s="15" t="n">
        <v>2103</v>
      </c>
      <c r="D982" s="15" t="n">
        <v>610</v>
      </c>
      <c r="E982" s="13" t="s">
        <v>82</v>
      </c>
      <c r="F982" s="15" t="str">
        <f aca="false">IF(C982&gt;=J982,"ja","nein")</f>
        <v>ja</v>
      </c>
      <c r="G982" s="15" t="str">
        <f aca="false">IF(C982&gt;=K982,"ja","nein")</f>
        <v>ja</v>
      </c>
      <c r="H982" s="15" t="str">
        <f aca="false">IF(C982&gt;=L982,"ja","nein")</f>
        <v>ja</v>
      </c>
      <c r="I982" s="15" t="str">
        <f aca="false">IF(C982&gt;=M982,"ja","nein")</f>
        <v>ja</v>
      </c>
      <c r="J982" s="15" t="n">
        <f aca="false">ROUND(Annahmen!$K$35*(1+Annahmen!$B$20*D982/1000),0)</f>
        <v>886</v>
      </c>
      <c r="K982" s="15" t="n">
        <f aca="false">ROUND(Annahmen!$K$36*(1+Annahmen!$B$20*D982/1000),0)</f>
        <v>1151</v>
      </c>
      <c r="L982" s="15" t="n">
        <f aca="false">ROUND(Annahmen!$K$37*(1+Annahmen!$B$20*D982/1000),0)</f>
        <v>1176</v>
      </c>
      <c r="M982" s="15" t="n">
        <f aca="false">ROUND(Annahmen!$K$38*(1+Annahmen!$B$20*D982/1000),0)</f>
        <v>1176</v>
      </c>
      <c r="N982" s="16" t="s">
        <v>86</v>
      </c>
    </row>
    <row r="983" customFormat="false" ht="15" hidden="false" customHeight="false" outlineLevel="0" collapsed="false">
      <c r="A983" s="13" t="s">
        <v>2023</v>
      </c>
      <c r="B983" s="14" t="s">
        <v>2024</v>
      </c>
      <c r="C983" s="15" t="n">
        <v>2090</v>
      </c>
      <c r="D983" s="15" t="n">
        <v>16</v>
      </c>
      <c r="E983" s="13" t="s">
        <v>82</v>
      </c>
      <c r="F983" s="15" t="str">
        <f aca="false">IF(C983&gt;=J983,"ja","nein")</f>
        <v>ja</v>
      </c>
      <c r="G983" s="15" t="str">
        <f aca="false">IF(C983&gt;=K983,"ja","nein")</f>
        <v>ja</v>
      </c>
      <c r="H983" s="15" t="str">
        <f aca="false">IF(C983&gt;=L983,"ja","nein")</f>
        <v>ja</v>
      </c>
      <c r="I983" s="15" t="str">
        <f aca="false">IF(C983&gt;=M983,"ja","nein")</f>
        <v>ja</v>
      </c>
      <c r="J983" s="15" t="n">
        <f aca="false">ROUND(Annahmen!$K$35*(1+Annahmen!$B$20*D983/1000),0)</f>
        <v>841</v>
      </c>
      <c r="K983" s="15" t="n">
        <f aca="false">ROUND(Annahmen!$K$36*(1+Annahmen!$B$20*D983/1000),0)</f>
        <v>1093</v>
      </c>
      <c r="L983" s="15" t="n">
        <f aca="false">ROUND(Annahmen!$K$37*(1+Annahmen!$B$20*D983/1000),0)</f>
        <v>1117</v>
      </c>
      <c r="M983" s="15" t="n">
        <f aca="false">ROUND(Annahmen!$K$38*(1+Annahmen!$B$20*D983/1000),0)</f>
        <v>1117</v>
      </c>
      <c r="N983" s="16" t="s">
        <v>86</v>
      </c>
    </row>
    <row r="984" customFormat="false" ht="15" hidden="false" customHeight="false" outlineLevel="0" collapsed="false">
      <c r="A984" s="13" t="s">
        <v>2025</v>
      </c>
      <c r="B984" s="14" t="s">
        <v>2026</v>
      </c>
      <c r="C984" s="15" t="n">
        <v>2050</v>
      </c>
      <c r="D984" s="15" t="n">
        <v>17</v>
      </c>
      <c r="E984" s="13" t="s">
        <v>82</v>
      </c>
      <c r="F984" s="15" t="str">
        <f aca="false">IF(C984&gt;=J984,"ja","nein")</f>
        <v>ja</v>
      </c>
      <c r="G984" s="15" t="str">
        <f aca="false">IF(C984&gt;=K984,"ja","nein")</f>
        <v>ja</v>
      </c>
      <c r="H984" s="15" t="str">
        <f aca="false">IF(C984&gt;=L984,"ja","nein")</f>
        <v>ja</v>
      </c>
      <c r="I984" s="15" t="str">
        <f aca="false">IF(C984&gt;=M984,"ja","nein")</f>
        <v>ja</v>
      </c>
      <c r="J984" s="15" t="n">
        <f aca="false">ROUND(Annahmen!$K$35*(1+Annahmen!$B$20*D984/1000),0)</f>
        <v>841</v>
      </c>
      <c r="K984" s="15" t="n">
        <f aca="false">ROUND(Annahmen!$K$36*(1+Annahmen!$B$20*D984/1000),0)</f>
        <v>1093</v>
      </c>
      <c r="L984" s="15" t="n">
        <f aca="false">ROUND(Annahmen!$K$37*(1+Annahmen!$B$20*D984/1000),0)</f>
        <v>1117</v>
      </c>
      <c r="M984" s="15" t="n">
        <f aca="false">ROUND(Annahmen!$K$38*(1+Annahmen!$B$20*D984/1000),0)</f>
        <v>1117</v>
      </c>
      <c r="N984" s="16" t="s">
        <v>86</v>
      </c>
    </row>
    <row r="985" customFormat="false" ht="15" hidden="false" customHeight="false" outlineLevel="0" collapsed="false">
      <c r="A985" s="13" t="s">
        <v>2027</v>
      </c>
      <c r="B985" s="14" t="s">
        <v>2028</v>
      </c>
      <c r="C985" s="15" t="n">
        <v>2014</v>
      </c>
      <c r="D985" s="15" t="n">
        <v>354</v>
      </c>
      <c r="E985" s="13" t="s">
        <v>82</v>
      </c>
      <c r="F985" s="15" t="str">
        <f aca="false">IF(C985&gt;=J985,"ja","nein")</f>
        <v>ja</v>
      </c>
      <c r="G985" s="15" t="str">
        <f aca="false">IF(C985&gt;=K985,"ja","nein")</f>
        <v>ja</v>
      </c>
      <c r="H985" s="15" t="str">
        <f aca="false">IF(C985&gt;=L985,"ja","nein")</f>
        <v>ja</v>
      </c>
      <c r="I985" s="15" t="str">
        <f aca="false">IF(C985&gt;=M985,"ja","nein")</f>
        <v>ja</v>
      </c>
      <c r="J985" s="15" t="n">
        <f aca="false">ROUND(Annahmen!$K$35*(1+Annahmen!$B$20*D985/1000),0)</f>
        <v>867</v>
      </c>
      <c r="K985" s="15" t="n">
        <f aca="false">ROUND(Annahmen!$K$36*(1+Annahmen!$B$20*D985/1000),0)</f>
        <v>1126</v>
      </c>
      <c r="L985" s="15" t="n">
        <f aca="false">ROUND(Annahmen!$K$37*(1+Annahmen!$B$20*D985/1000),0)</f>
        <v>1151</v>
      </c>
      <c r="M985" s="15" t="n">
        <f aca="false">ROUND(Annahmen!$K$38*(1+Annahmen!$B$20*D985/1000),0)</f>
        <v>1151</v>
      </c>
      <c r="N985" s="16" t="s">
        <v>86</v>
      </c>
    </row>
    <row r="986" customFormat="false" ht="15" hidden="false" customHeight="false" outlineLevel="0" collapsed="false">
      <c r="A986" s="13" t="s">
        <v>2029</v>
      </c>
      <c r="B986" s="14" t="s">
        <v>2030</v>
      </c>
      <c r="C986" s="15" t="n">
        <v>2001</v>
      </c>
      <c r="D986" s="15" t="n">
        <v>34</v>
      </c>
      <c r="E986" s="13" t="s">
        <v>82</v>
      </c>
      <c r="F986" s="15" t="str">
        <f aca="false">IF(C986&gt;=J986,"ja","nein")</f>
        <v>ja</v>
      </c>
      <c r="G986" s="15" t="str">
        <f aca="false">IF(C986&gt;=K986,"ja","nein")</f>
        <v>ja</v>
      </c>
      <c r="H986" s="15" t="str">
        <f aca="false">IF(C986&gt;=L986,"ja","nein")</f>
        <v>ja</v>
      </c>
      <c r="I986" s="15" t="str">
        <f aca="false">IF(C986&gt;=M986,"ja","nein")</f>
        <v>ja</v>
      </c>
      <c r="J986" s="15" t="n">
        <f aca="false">ROUND(Annahmen!$K$35*(1+Annahmen!$B$20*D986/1000),0)</f>
        <v>843</v>
      </c>
      <c r="K986" s="15" t="n">
        <f aca="false">ROUND(Annahmen!$K$36*(1+Annahmen!$B$20*D986/1000),0)</f>
        <v>1094</v>
      </c>
      <c r="L986" s="15" t="n">
        <f aca="false">ROUND(Annahmen!$K$37*(1+Annahmen!$B$20*D986/1000),0)</f>
        <v>1118</v>
      </c>
      <c r="M986" s="15" t="n">
        <f aca="false">ROUND(Annahmen!$K$38*(1+Annahmen!$B$20*D986/1000),0)</f>
        <v>1118</v>
      </c>
      <c r="N986" s="16" t="s">
        <v>86</v>
      </c>
    </row>
    <row r="987" customFormat="false" ht="15" hidden="false" customHeight="false" outlineLevel="0" collapsed="false">
      <c r="A987" s="13" t="s">
        <v>2031</v>
      </c>
      <c r="B987" s="14" t="s">
        <v>2032</v>
      </c>
      <c r="C987" s="15" t="n">
        <v>2001</v>
      </c>
      <c r="D987" s="15" t="n">
        <v>705</v>
      </c>
      <c r="E987" s="13" t="s">
        <v>82</v>
      </c>
      <c r="F987" s="15" t="str">
        <f aca="false">IF(C987&gt;=J987,"ja","nein")</f>
        <v>ja</v>
      </c>
      <c r="G987" s="15" t="str">
        <f aca="false">IF(C987&gt;=K987,"ja","nein")</f>
        <v>ja</v>
      </c>
      <c r="H987" s="15" t="str">
        <f aca="false">IF(C987&gt;=L987,"ja","nein")</f>
        <v>ja</v>
      </c>
      <c r="I987" s="15" t="str">
        <f aca="false">IF(C987&gt;=M987,"ja","nein")</f>
        <v>ja</v>
      </c>
      <c r="J987" s="15" t="n">
        <f aca="false">ROUND(Annahmen!$K$35*(1+Annahmen!$B$20*D987/1000),0)</f>
        <v>893</v>
      </c>
      <c r="K987" s="15" t="n">
        <f aca="false">ROUND(Annahmen!$K$36*(1+Annahmen!$B$20*D987/1000),0)</f>
        <v>1160</v>
      </c>
      <c r="L987" s="15" t="n">
        <f aca="false">ROUND(Annahmen!$K$37*(1+Annahmen!$B$20*D987/1000),0)</f>
        <v>1186</v>
      </c>
      <c r="M987" s="15" t="n">
        <f aca="false">ROUND(Annahmen!$K$38*(1+Annahmen!$B$20*D987/1000),0)</f>
        <v>1186</v>
      </c>
      <c r="N987" s="16" t="s">
        <v>86</v>
      </c>
    </row>
    <row r="988" customFormat="false" ht="15" hidden="false" customHeight="false" outlineLevel="0" collapsed="false">
      <c r="A988" s="13" t="s">
        <v>2033</v>
      </c>
      <c r="B988" s="14" t="s">
        <v>2034</v>
      </c>
      <c r="C988" s="15" t="n">
        <v>2000</v>
      </c>
      <c r="D988" s="15" t="n">
        <v>904</v>
      </c>
      <c r="E988" s="13" t="s">
        <v>82</v>
      </c>
      <c r="F988" s="15" t="str">
        <f aca="false">IF(C988&gt;=J988,"ja","nein")</f>
        <v>ja</v>
      </c>
      <c r="G988" s="15" t="str">
        <f aca="false">IF(C988&gt;=K988,"ja","nein")</f>
        <v>ja</v>
      </c>
      <c r="H988" s="15" t="str">
        <f aca="false">IF(C988&gt;=L988,"ja","nein")</f>
        <v>ja</v>
      </c>
      <c r="I988" s="15" t="str">
        <f aca="false">IF(C988&gt;=M988,"ja","nein")</f>
        <v>ja</v>
      </c>
      <c r="J988" s="15" t="n">
        <f aca="false">ROUND(Annahmen!$K$35*(1+Annahmen!$B$20*D988/1000),0)</f>
        <v>908</v>
      </c>
      <c r="K988" s="15" t="n">
        <f aca="false">ROUND(Annahmen!$K$36*(1+Annahmen!$B$20*D988/1000),0)</f>
        <v>1180</v>
      </c>
      <c r="L988" s="15" t="n">
        <f aca="false">ROUND(Annahmen!$K$37*(1+Annahmen!$B$20*D988/1000),0)</f>
        <v>1206</v>
      </c>
      <c r="M988" s="15" t="n">
        <f aca="false">ROUND(Annahmen!$K$38*(1+Annahmen!$B$20*D988/1000),0)</f>
        <v>1206</v>
      </c>
      <c r="N988" s="16" t="s">
        <v>102</v>
      </c>
    </row>
    <row r="989" customFormat="false" ht="15" hidden="false" customHeight="false" outlineLevel="0" collapsed="false">
      <c r="A989" s="13" t="s">
        <v>2035</v>
      </c>
      <c r="B989" s="14" t="s">
        <v>2036</v>
      </c>
      <c r="C989" s="15" t="n">
        <v>2000</v>
      </c>
      <c r="D989" s="15" t="n">
        <v>33</v>
      </c>
      <c r="E989" s="13" t="s">
        <v>82</v>
      </c>
      <c r="F989" s="15" t="str">
        <f aca="false">IF(C989&gt;=J989,"ja","nein")</f>
        <v>ja</v>
      </c>
      <c r="G989" s="15" t="str">
        <f aca="false">IF(C989&gt;=K989,"ja","nein")</f>
        <v>ja</v>
      </c>
      <c r="H989" s="15" t="str">
        <f aca="false">IF(C989&gt;=L989,"ja","nein")</f>
        <v>ja</v>
      </c>
      <c r="I989" s="15" t="str">
        <f aca="false">IF(C989&gt;=M989,"ja","nein")</f>
        <v>ja</v>
      </c>
      <c r="J989" s="15" t="n">
        <f aca="false">ROUND(Annahmen!$K$35*(1+Annahmen!$B$20*D989/1000),0)</f>
        <v>842</v>
      </c>
      <c r="K989" s="15" t="n">
        <f aca="false">ROUND(Annahmen!$K$36*(1+Annahmen!$B$20*D989/1000),0)</f>
        <v>1094</v>
      </c>
      <c r="L989" s="15" t="n">
        <f aca="false">ROUND(Annahmen!$K$37*(1+Annahmen!$B$20*D989/1000),0)</f>
        <v>1118</v>
      </c>
      <c r="M989" s="15" t="n">
        <f aca="false">ROUND(Annahmen!$K$38*(1+Annahmen!$B$20*D989/1000),0)</f>
        <v>1118</v>
      </c>
      <c r="N989" s="16" t="s">
        <v>102</v>
      </c>
    </row>
    <row r="990" customFormat="false" ht="15" hidden="false" customHeight="false" outlineLevel="0" collapsed="false">
      <c r="A990" s="13" t="s">
        <v>2037</v>
      </c>
      <c r="B990" s="14" t="s">
        <v>2038</v>
      </c>
      <c r="C990" s="15" t="n">
        <v>2000</v>
      </c>
      <c r="D990" s="15" t="n">
        <v>224</v>
      </c>
      <c r="E990" s="13" t="s">
        <v>82</v>
      </c>
      <c r="F990" s="15" t="str">
        <f aca="false">IF(C990&gt;=J990,"ja","nein")</f>
        <v>ja</v>
      </c>
      <c r="G990" s="15" t="str">
        <f aca="false">IF(C990&gt;=K990,"ja","nein")</f>
        <v>ja</v>
      </c>
      <c r="H990" s="15" t="str">
        <f aca="false">IF(C990&gt;=L990,"ja","nein")</f>
        <v>ja</v>
      </c>
      <c r="I990" s="15" t="str">
        <f aca="false">IF(C990&gt;=M990,"ja","nein")</f>
        <v>ja</v>
      </c>
      <c r="J990" s="15" t="n">
        <f aca="false">ROUND(Annahmen!$K$35*(1+Annahmen!$B$20*D990/1000),0)</f>
        <v>857</v>
      </c>
      <c r="K990" s="15" t="n">
        <f aca="false">ROUND(Annahmen!$K$36*(1+Annahmen!$B$20*D990/1000),0)</f>
        <v>1113</v>
      </c>
      <c r="L990" s="15" t="n">
        <f aca="false">ROUND(Annahmen!$K$37*(1+Annahmen!$B$20*D990/1000),0)</f>
        <v>1137</v>
      </c>
      <c r="M990" s="15" t="n">
        <f aca="false">ROUND(Annahmen!$K$38*(1+Annahmen!$B$20*D990/1000),0)</f>
        <v>1137</v>
      </c>
      <c r="N990" s="16" t="s">
        <v>86</v>
      </c>
    </row>
    <row r="991" customFormat="false" ht="15" hidden="false" customHeight="false" outlineLevel="0" collapsed="false">
      <c r="A991" s="13" t="s">
        <v>2039</v>
      </c>
      <c r="B991" s="14" t="s">
        <v>2040</v>
      </c>
      <c r="C991" s="15" t="n">
        <v>2000</v>
      </c>
      <c r="D991" s="15" t="n">
        <v>164</v>
      </c>
      <c r="E991" s="13" t="s">
        <v>82</v>
      </c>
      <c r="F991" s="15" t="str">
        <f aca="false">IF(C991&gt;=J991,"ja","nein")</f>
        <v>ja</v>
      </c>
      <c r="G991" s="15" t="str">
        <f aca="false">IF(C991&gt;=K991,"ja","nein")</f>
        <v>ja</v>
      </c>
      <c r="H991" s="15" t="str">
        <f aca="false">IF(C991&gt;=L991,"ja","nein")</f>
        <v>ja</v>
      </c>
      <c r="I991" s="15" t="str">
        <f aca="false">IF(C991&gt;=M991,"ja","nein")</f>
        <v>ja</v>
      </c>
      <c r="J991" s="15" t="n">
        <f aca="false">ROUND(Annahmen!$K$35*(1+Annahmen!$B$20*D991/1000),0)</f>
        <v>852</v>
      </c>
      <c r="K991" s="15" t="n">
        <f aca="false">ROUND(Annahmen!$K$36*(1+Annahmen!$B$20*D991/1000),0)</f>
        <v>1107</v>
      </c>
      <c r="L991" s="15" t="n">
        <f aca="false">ROUND(Annahmen!$K$37*(1+Annahmen!$B$20*D991/1000),0)</f>
        <v>1131</v>
      </c>
      <c r="M991" s="15" t="n">
        <f aca="false">ROUND(Annahmen!$K$38*(1+Annahmen!$B$20*D991/1000),0)</f>
        <v>1131</v>
      </c>
      <c r="N991" s="16" t="s">
        <v>83</v>
      </c>
    </row>
    <row r="992" customFormat="false" ht="15" hidden="false" customHeight="false" outlineLevel="0" collapsed="false">
      <c r="A992" s="13" t="s">
        <v>2041</v>
      </c>
      <c r="B992" s="14" t="s">
        <v>2042</v>
      </c>
      <c r="C992" s="15" t="n">
        <v>1990</v>
      </c>
      <c r="D992" s="15" t="n">
        <v>200</v>
      </c>
      <c r="E992" s="13" t="s">
        <v>82</v>
      </c>
      <c r="F992" s="15" t="str">
        <f aca="false">IF(C992&gt;=J992,"ja","nein")</f>
        <v>ja</v>
      </c>
      <c r="G992" s="15" t="str">
        <f aca="false">IF(C992&gt;=K992,"ja","nein")</f>
        <v>ja</v>
      </c>
      <c r="H992" s="15" t="str">
        <f aca="false">IF(C992&gt;=L992,"ja","nein")</f>
        <v>ja</v>
      </c>
      <c r="I992" s="15" t="str">
        <f aca="false">IF(C992&gt;=M992,"ja","nein")</f>
        <v>ja</v>
      </c>
      <c r="J992" s="15" t="n">
        <f aca="false">ROUND(Annahmen!$K$35*(1+Annahmen!$B$20*D992/1000),0)</f>
        <v>855</v>
      </c>
      <c r="K992" s="15" t="n">
        <f aca="false">ROUND(Annahmen!$K$36*(1+Annahmen!$B$20*D992/1000),0)</f>
        <v>1111</v>
      </c>
      <c r="L992" s="15" t="n">
        <f aca="false">ROUND(Annahmen!$K$37*(1+Annahmen!$B$20*D992/1000),0)</f>
        <v>1135</v>
      </c>
      <c r="M992" s="15" t="n">
        <f aca="false">ROUND(Annahmen!$K$38*(1+Annahmen!$B$20*D992/1000),0)</f>
        <v>1135</v>
      </c>
      <c r="N992" s="16" t="s">
        <v>102</v>
      </c>
    </row>
    <row r="993" customFormat="false" ht="15" hidden="false" customHeight="false" outlineLevel="0" collapsed="false">
      <c r="A993" s="13" t="s">
        <v>2043</v>
      </c>
      <c r="B993" s="14" t="s">
        <v>2044</v>
      </c>
      <c r="C993" s="15" t="n">
        <v>1946</v>
      </c>
      <c r="D993" s="15" t="n">
        <v>366</v>
      </c>
      <c r="E993" s="13" t="s">
        <v>82</v>
      </c>
      <c r="F993" s="15" t="str">
        <f aca="false">IF(C993&gt;=J993,"ja","nein")</f>
        <v>ja</v>
      </c>
      <c r="G993" s="15" t="str">
        <f aca="false">IF(C993&gt;=K993,"ja","nein")</f>
        <v>ja</v>
      </c>
      <c r="H993" s="15" t="str">
        <f aca="false">IF(C993&gt;=L993,"ja","nein")</f>
        <v>ja</v>
      </c>
      <c r="I993" s="15" t="str">
        <f aca="false">IF(C993&gt;=M993,"ja","nein")</f>
        <v>ja</v>
      </c>
      <c r="J993" s="15" t="n">
        <f aca="false">ROUND(Annahmen!$K$35*(1+Annahmen!$B$20*D993/1000),0)</f>
        <v>868</v>
      </c>
      <c r="K993" s="15" t="n">
        <f aca="false">ROUND(Annahmen!$K$36*(1+Annahmen!$B$20*D993/1000),0)</f>
        <v>1127</v>
      </c>
      <c r="L993" s="15" t="n">
        <f aca="false">ROUND(Annahmen!$K$37*(1+Annahmen!$B$20*D993/1000),0)</f>
        <v>1152</v>
      </c>
      <c r="M993" s="15" t="n">
        <f aca="false">ROUND(Annahmen!$K$38*(1+Annahmen!$B$20*D993/1000),0)</f>
        <v>1152</v>
      </c>
      <c r="N993" s="16" t="s">
        <v>102</v>
      </c>
    </row>
    <row r="994" customFormat="false" ht="15" hidden="false" customHeight="false" outlineLevel="0" collapsed="false">
      <c r="A994" s="13" t="s">
        <v>2045</v>
      </c>
      <c r="B994" s="14" t="s">
        <v>2046</v>
      </c>
      <c r="C994" s="15" t="n">
        <v>1945</v>
      </c>
      <c r="D994" s="15" t="n">
        <v>68</v>
      </c>
      <c r="E994" s="13" t="s">
        <v>82</v>
      </c>
      <c r="F994" s="15" t="str">
        <f aca="false">IF(C994&gt;=J994,"ja","nein")</f>
        <v>ja</v>
      </c>
      <c r="G994" s="15" t="str">
        <f aca="false">IF(C994&gt;=K994,"ja","nein")</f>
        <v>ja</v>
      </c>
      <c r="H994" s="15" t="str">
        <f aca="false">IF(C994&gt;=L994,"ja","nein")</f>
        <v>ja</v>
      </c>
      <c r="I994" s="15" t="str">
        <f aca="false">IF(C994&gt;=M994,"ja","nein")</f>
        <v>ja</v>
      </c>
      <c r="J994" s="15" t="n">
        <f aca="false">ROUND(Annahmen!$K$35*(1+Annahmen!$B$20*D994/1000),0)</f>
        <v>845</v>
      </c>
      <c r="K994" s="15" t="n">
        <f aca="false">ROUND(Annahmen!$K$36*(1+Annahmen!$B$20*D994/1000),0)</f>
        <v>1098</v>
      </c>
      <c r="L994" s="15" t="n">
        <f aca="false">ROUND(Annahmen!$K$37*(1+Annahmen!$B$20*D994/1000),0)</f>
        <v>1122</v>
      </c>
      <c r="M994" s="15" t="n">
        <f aca="false">ROUND(Annahmen!$K$38*(1+Annahmen!$B$20*D994/1000),0)</f>
        <v>1122</v>
      </c>
      <c r="N994" s="16" t="s">
        <v>86</v>
      </c>
    </row>
    <row r="995" customFormat="false" ht="15" hidden="false" customHeight="false" outlineLevel="0" collapsed="false">
      <c r="A995" s="13" t="s">
        <v>2047</v>
      </c>
      <c r="B995" s="14" t="s">
        <v>2048</v>
      </c>
      <c r="C995" s="15" t="n">
        <v>1886</v>
      </c>
      <c r="D995" s="15" t="n">
        <v>139</v>
      </c>
      <c r="E995" s="13" t="s">
        <v>82</v>
      </c>
      <c r="F995" s="15" t="str">
        <f aca="false">IF(C995&gt;=J995,"ja","nein")</f>
        <v>ja</v>
      </c>
      <c r="G995" s="15" t="str">
        <f aca="false">IF(C995&gt;=K995,"ja","nein")</f>
        <v>ja</v>
      </c>
      <c r="H995" s="15" t="str">
        <f aca="false">IF(C995&gt;=L995,"ja","nein")</f>
        <v>ja</v>
      </c>
      <c r="I995" s="15" t="str">
        <f aca="false">IF(C995&gt;=M995,"ja","nein")</f>
        <v>ja</v>
      </c>
      <c r="J995" s="15" t="n">
        <f aca="false">ROUND(Annahmen!$K$35*(1+Annahmen!$B$20*D995/1000),0)</f>
        <v>851</v>
      </c>
      <c r="K995" s="15" t="n">
        <f aca="false">ROUND(Annahmen!$K$36*(1+Annahmen!$B$20*D995/1000),0)</f>
        <v>1105</v>
      </c>
      <c r="L995" s="15" t="n">
        <f aca="false">ROUND(Annahmen!$K$37*(1+Annahmen!$B$20*D995/1000),0)</f>
        <v>1129</v>
      </c>
      <c r="M995" s="15" t="n">
        <f aca="false">ROUND(Annahmen!$K$38*(1+Annahmen!$B$20*D995/1000),0)</f>
        <v>1129</v>
      </c>
      <c r="N995" s="16" t="s">
        <v>86</v>
      </c>
    </row>
    <row r="996" customFormat="false" ht="15" hidden="false" customHeight="false" outlineLevel="0" collapsed="false">
      <c r="A996" s="13" t="s">
        <v>2049</v>
      </c>
      <c r="B996" s="14" t="s">
        <v>2050</v>
      </c>
      <c r="C996" s="15" t="n">
        <v>1820</v>
      </c>
      <c r="D996" s="15" t="n">
        <v>75</v>
      </c>
      <c r="E996" s="13" t="s">
        <v>82</v>
      </c>
      <c r="F996" s="15" t="str">
        <f aca="false">IF(C996&gt;=J996,"ja","nein")</f>
        <v>ja</v>
      </c>
      <c r="G996" s="15" t="str">
        <f aca="false">IF(C996&gt;=K996,"ja","nein")</f>
        <v>ja</v>
      </c>
      <c r="H996" s="15" t="str">
        <f aca="false">IF(C996&gt;=L996,"ja","nein")</f>
        <v>ja</v>
      </c>
      <c r="I996" s="15" t="str">
        <f aca="false">IF(C996&gt;=M996,"ja","nein")</f>
        <v>ja</v>
      </c>
      <c r="J996" s="15" t="n">
        <f aca="false">ROUND(Annahmen!$K$35*(1+Annahmen!$B$20*D996/1000),0)</f>
        <v>846</v>
      </c>
      <c r="K996" s="15" t="n">
        <f aca="false">ROUND(Annahmen!$K$36*(1+Annahmen!$B$20*D996/1000),0)</f>
        <v>1098</v>
      </c>
      <c r="L996" s="15" t="n">
        <f aca="false">ROUND(Annahmen!$K$37*(1+Annahmen!$B$20*D996/1000),0)</f>
        <v>1123</v>
      </c>
      <c r="M996" s="15" t="n">
        <f aca="false">ROUND(Annahmen!$K$38*(1+Annahmen!$B$20*D996/1000),0)</f>
        <v>1123</v>
      </c>
      <c r="N996" s="16" t="s">
        <v>102</v>
      </c>
    </row>
    <row r="997" customFormat="false" ht="15" hidden="false" customHeight="false" outlineLevel="0" collapsed="false">
      <c r="A997" s="13" t="s">
        <v>2051</v>
      </c>
      <c r="B997" s="14" t="s">
        <v>2052</v>
      </c>
      <c r="C997" s="15" t="n">
        <v>1814</v>
      </c>
      <c r="D997" s="15" t="n">
        <v>634</v>
      </c>
      <c r="E997" s="13" t="s">
        <v>82</v>
      </c>
      <c r="F997" s="15" t="str">
        <f aca="false">IF(C997&gt;=J997,"ja","nein")</f>
        <v>ja</v>
      </c>
      <c r="G997" s="15" t="str">
        <f aca="false">IF(C997&gt;=K997,"ja","nein")</f>
        <v>ja</v>
      </c>
      <c r="H997" s="15" t="str">
        <f aca="false">IF(C997&gt;=L997,"ja","nein")</f>
        <v>ja</v>
      </c>
      <c r="I997" s="15" t="str">
        <f aca="false">IF(C997&gt;=M997,"ja","nein")</f>
        <v>ja</v>
      </c>
      <c r="J997" s="15" t="n">
        <f aca="false">ROUND(Annahmen!$K$35*(1+Annahmen!$B$20*D997/1000),0)</f>
        <v>888</v>
      </c>
      <c r="K997" s="15" t="n">
        <f aca="false">ROUND(Annahmen!$K$36*(1+Annahmen!$B$20*D997/1000),0)</f>
        <v>1153</v>
      </c>
      <c r="L997" s="15" t="n">
        <f aca="false">ROUND(Annahmen!$K$37*(1+Annahmen!$B$20*D997/1000),0)</f>
        <v>1179</v>
      </c>
      <c r="M997" s="15" t="n">
        <f aca="false">ROUND(Annahmen!$K$38*(1+Annahmen!$B$20*D997/1000),0)</f>
        <v>1179</v>
      </c>
      <c r="N997" s="16" t="s">
        <v>86</v>
      </c>
    </row>
    <row r="998" customFormat="false" ht="15" hidden="false" customHeight="false" outlineLevel="0" collapsed="false">
      <c r="A998" s="13" t="s">
        <v>2053</v>
      </c>
      <c r="B998" s="14" t="s">
        <v>2054</v>
      </c>
      <c r="C998" s="15" t="n">
        <v>1736</v>
      </c>
      <c r="D998" s="15" t="n">
        <v>324</v>
      </c>
      <c r="E998" s="13" t="s">
        <v>82</v>
      </c>
      <c r="F998" s="15" t="str">
        <f aca="false">IF(C998&gt;=J998,"ja","nein")</f>
        <v>ja</v>
      </c>
      <c r="G998" s="15" t="str">
        <f aca="false">IF(C998&gt;=K998,"ja","nein")</f>
        <v>ja</v>
      </c>
      <c r="H998" s="15" t="str">
        <f aca="false">IF(C998&gt;=L998,"ja","nein")</f>
        <v>ja</v>
      </c>
      <c r="I998" s="15" t="str">
        <f aca="false">IF(C998&gt;=M998,"ja","nein")</f>
        <v>ja</v>
      </c>
      <c r="J998" s="15" t="n">
        <f aca="false">ROUND(Annahmen!$K$35*(1+Annahmen!$B$20*D998/1000),0)</f>
        <v>864</v>
      </c>
      <c r="K998" s="15" t="n">
        <f aca="false">ROUND(Annahmen!$K$36*(1+Annahmen!$B$20*D998/1000),0)</f>
        <v>1123</v>
      </c>
      <c r="L998" s="15" t="n">
        <f aca="false">ROUND(Annahmen!$K$37*(1+Annahmen!$B$20*D998/1000),0)</f>
        <v>1148</v>
      </c>
      <c r="M998" s="15" t="n">
        <f aca="false">ROUND(Annahmen!$K$38*(1+Annahmen!$B$20*D998/1000),0)</f>
        <v>1148</v>
      </c>
      <c r="N998" s="16" t="s">
        <v>86</v>
      </c>
    </row>
    <row r="999" customFormat="false" ht="15" hidden="false" customHeight="false" outlineLevel="0" collapsed="false">
      <c r="A999" s="13" t="s">
        <v>2055</v>
      </c>
      <c r="B999" s="14" t="s">
        <v>2056</v>
      </c>
      <c r="C999" s="15" t="n">
        <v>1714</v>
      </c>
      <c r="D999" s="15" t="n">
        <v>1027</v>
      </c>
      <c r="E999" s="13" t="s">
        <v>82</v>
      </c>
      <c r="F999" s="15" t="str">
        <f aca="false">IF(C999&gt;=J999,"ja","nein")</f>
        <v>ja</v>
      </c>
      <c r="G999" s="15" t="str">
        <f aca="false">IF(C999&gt;=K999,"ja","nein")</f>
        <v>ja</v>
      </c>
      <c r="H999" s="15" t="str">
        <f aca="false">IF(C999&gt;=L999,"ja","nein")</f>
        <v>ja</v>
      </c>
      <c r="I999" s="15" t="str">
        <f aca="false">IF(C999&gt;=M999,"ja","nein")</f>
        <v>ja</v>
      </c>
      <c r="J999" s="15" t="n">
        <f aca="false">ROUND(Annahmen!$K$35*(1+Annahmen!$B$20*D999/1000),0)</f>
        <v>918</v>
      </c>
      <c r="K999" s="15" t="n">
        <f aca="false">ROUND(Annahmen!$K$36*(1+Annahmen!$B$20*D999/1000),0)</f>
        <v>1192</v>
      </c>
      <c r="L999" s="15" t="n">
        <f aca="false">ROUND(Annahmen!$K$37*(1+Annahmen!$B$20*D999/1000),0)</f>
        <v>1218</v>
      </c>
      <c r="M999" s="15" t="n">
        <f aca="false">ROUND(Annahmen!$K$38*(1+Annahmen!$B$20*D999/1000),0)</f>
        <v>1218</v>
      </c>
      <c r="N999" s="16" t="s">
        <v>86</v>
      </c>
    </row>
    <row r="1000" customFormat="false" ht="15" hidden="false" customHeight="false" outlineLevel="0" collapsed="false">
      <c r="A1000" s="13" t="s">
        <v>2057</v>
      </c>
      <c r="B1000" s="14" t="s">
        <v>2058</v>
      </c>
      <c r="C1000" s="15" t="n">
        <v>1710</v>
      </c>
      <c r="D1000" s="15" t="n">
        <v>137</v>
      </c>
      <c r="E1000" s="13" t="s">
        <v>82</v>
      </c>
      <c r="F1000" s="15" t="str">
        <f aca="false">IF(C1000&gt;=J1000,"ja","nein")</f>
        <v>ja</v>
      </c>
      <c r="G1000" s="15" t="str">
        <f aca="false">IF(C1000&gt;=K1000,"ja","nein")</f>
        <v>ja</v>
      </c>
      <c r="H1000" s="15" t="str">
        <f aca="false">IF(C1000&gt;=L1000,"ja","nein")</f>
        <v>ja</v>
      </c>
      <c r="I1000" s="15" t="str">
        <f aca="false">IF(C1000&gt;=M1000,"ja","nein")</f>
        <v>ja</v>
      </c>
      <c r="J1000" s="15" t="n">
        <f aca="false">ROUND(Annahmen!$K$35*(1+Annahmen!$B$20*D1000/1000),0)</f>
        <v>850</v>
      </c>
      <c r="K1000" s="15" t="n">
        <f aca="false">ROUND(Annahmen!$K$36*(1+Annahmen!$B$20*D1000/1000),0)</f>
        <v>1104</v>
      </c>
      <c r="L1000" s="15" t="n">
        <f aca="false">ROUND(Annahmen!$K$37*(1+Annahmen!$B$20*D1000/1000),0)</f>
        <v>1129</v>
      </c>
      <c r="M1000" s="15" t="n">
        <f aca="false">ROUND(Annahmen!$K$38*(1+Annahmen!$B$20*D1000/1000),0)</f>
        <v>1129</v>
      </c>
      <c r="N1000" s="16" t="s">
        <v>86</v>
      </c>
    </row>
    <row r="1001" customFormat="false" ht="15" hidden="false" customHeight="false" outlineLevel="0" collapsed="false">
      <c r="A1001" s="13" t="s">
        <v>2059</v>
      </c>
      <c r="B1001" s="14" t="s">
        <v>2060</v>
      </c>
      <c r="C1001" s="15" t="n">
        <v>1700</v>
      </c>
      <c r="D1001" s="15" t="n">
        <v>1178</v>
      </c>
      <c r="E1001" s="13" t="s">
        <v>82</v>
      </c>
      <c r="F1001" s="15" t="str">
        <f aca="false">IF(C1001&gt;=J1001,"ja","nein")</f>
        <v>ja</v>
      </c>
      <c r="G1001" s="15" t="str">
        <f aca="false">IF(C1001&gt;=K1001,"ja","nein")</f>
        <v>ja</v>
      </c>
      <c r="H1001" s="15" t="str">
        <f aca="false">IF(C1001&gt;=L1001,"ja","nein")</f>
        <v>ja</v>
      </c>
      <c r="I1001" s="15" t="str">
        <f aca="false">IF(C1001&gt;=M1001,"ja","nein")</f>
        <v>ja</v>
      </c>
      <c r="J1001" s="15" t="n">
        <f aca="false">ROUND(Annahmen!$K$35*(1+Annahmen!$B$20*D1001/1000),0)</f>
        <v>929</v>
      </c>
      <c r="K1001" s="15" t="n">
        <f aca="false">ROUND(Annahmen!$K$36*(1+Annahmen!$B$20*D1001/1000),0)</f>
        <v>1207</v>
      </c>
      <c r="L1001" s="15" t="n">
        <f aca="false">ROUND(Annahmen!$K$37*(1+Annahmen!$B$20*D1001/1000),0)</f>
        <v>1233</v>
      </c>
      <c r="M1001" s="15" t="n">
        <f aca="false">ROUND(Annahmen!$K$38*(1+Annahmen!$B$20*D1001/1000),0)</f>
        <v>1233</v>
      </c>
      <c r="N1001" s="16" t="s">
        <v>102</v>
      </c>
    </row>
    <row r="1002" customFormat="false" ht="15" hidden="false" customHeight="false" outlineLevel="0" collapsed="false">
      <c r="A1002" s="13" t="s">
        <v>2061</v>
      </c>
      <c r="B1002" s="14" t="s">
        <v>2062</v>
      </c>
      <c r="C1002" s="15" t="n">
        <v>1668</v>
      </c>
      <c r="D1002" s="15" t="n">
        <v>47</v>
      </c>
      <c r="E1002" s="13" t="s">
        <v>82</v>
      </c>
      <c r="F1002" s="15" t="str">
        <f aca="false">IF(C1002&gt;=J1002,"ja","nein")</f>
        <v>ja</v>
      </c>
      <c r="G1002" s="15" t="str">
        <f aca="false">IF(C1002&gt;=K1002,"ja","nein")</f>
        <v>ja</v>
      </c>
      <c r="H1002" s="15" t="str">
        <f aca="false">IF(C1002&gt;=L1002,"ja","nein")</f>
        <v>ja</v>
      </c>
      <c r="I1002" s="15" t="str">
        <f aca="false">IF(C1002&gt;=M1002,"ja","nein")</f>
        <v>ja</v>
      </c>
      <c r="J1002" s="15" t="n">
        <f aca="false">ROUND(Annahmen!$K$35*(1+Annahmen!$B$20*D1002/1000),0)</f>
        <v>844</v>
      </c>
      <c r="K1002" s="15" t="n">
        <f aca="false">ROUND(Annahmen!$K$36*(1+Annahmen!$B$20*D1002/1000),0)</f>
        <v>1096</v>
      </c>
      <c r="L1002" s="15" t="n">
        <f aca="false">ROUND(Annahmen!$K$37*(1+Annahmen!$B$20*D1002/1000),0)</f>
        <v>1120</v>
      </c>
      <c r="M1002" s="15" t="n">
        <f aca="false">ROUND(Annahmen!$K$38*(1+Annahmen!$B$20*D1002/1000),0)</f>
        <v>1120</v>
      </c>
      <c r="N1002" s="16" t="s">
        <v>86</v>
      </c>
    </row>
    <row r="1003" customFormat="false" ht="15" hidden="false" customHeight="false" outlineLevel="0" collapsed="false">
      <c r="A1003" s="13" t="s">
        <v>2063</v>
      </c>
      <c r="B1003" s="14" t="s">
        <v>2064</v>
      </c>
      <c r="C1003" s="15" t="n">
        <v>1601</v>
      </c>
      <c r="D1003" s="15" t="n">
        <v>1503</v>
      </c>
      <c r="E1003" s="13" t="s">
        <v>82</v>
      </c>
      <c r="F1003" s="15" t="str">
        <f aca="false">IF(C1003&gt;=J1003,"ja","nein")</f>
        <v>ja</v>
      </c>
      <c r="G1003" s="15" t="str">
        <f aca="false">IF(C1003&gt;=K1003,"ja","nein")</f>
        <v>ja</v>
      </c>
      <c r="H1003" s="15" t="str">
        <f aca="false">IF(C1003&gt;=L1003,"ja","nein")</f>
        <v>ja</v>
      </c>
      <c r="I1003" s="15" t="str">
        <f aca="false">IF(C1003&gt;=M1003,"ja","nein")</f>
        <v>ja</v>
      </c>
      <c r="J1003" s="15" t="n">
        <f aca="false">ROUND(Annahmen!$K$35*(1+Annahmen!$B$20*D1003/1000),0)</f>
        <v>954</v>
      </c>
      <c r="K1003" s="15" t="n">
        <f aca="false">ROUND(Annahmen!$K$36*(1+Annahmen!$B$20*D1003/1000),0)</f>
        <v>1239</v>
      </c>
      <c r="L1003" s="15" t="n">
        <f aca="false">ROUND(Annahmen!$K$37*(1+Annahmen!$B$20*D1003/1000),0)</f>
        <v>1266</v>
      </c>
      <c r="M1003" s="15" t="n">
        <f aca="false">ROUND(Annahmen!$K$38*(1+Annahmen!$B$20*D1003/1000),0)</f>
        <v>1266</v>
      </c>
      <c r="N1003" s="16" t="s">
        <v>102</v>
      </c>
    </row>
    <row r="1004" customFormat="false" ht="15" hidden="false" customHeight="false" outlineLevel="0" collapsed="false">
      <c r="A1004" s="13" t="s">
        <v>2065</v>
      </c>
      <c r="B1004" s="14" t="s">
        <v>2066</v>
      </c>
      <c r="C1004" s="15" t="n">
        <v>1591</v>
      </c>
      <c r="D1004" s="15" t="n">
        <v>393</v>
      </c>
      <c r="E1004" s="13" t="s">
        <v>82</v>
      </c>
      <c r="F1004" s="15" t="str">
        <f aca="false">IF(C1004&gt;=J1004,"ja","nein")</f>
        <v>ja</v>
      </c>
      <c r="G1004" s="15" t="str">
        <f aca="false">IF(C1004&gt;=K1004,"ja","nein")</f>
        <v>ja</v>
      </c>
      <c r="H1004" s="15" t="str">
        <f aca="false">IF(C1004&gt;=L1004,"ja","nein")</f>
        <v>ja</v>
      </c>
      <c r="I1004" s="15" t="str">
        <f aca="false">IF(C1004&gt;=M1004,"ja","nein")</f>
        <v>ja</v>
      </c>
      <c r="J1004" s="15" t="n">
        <f aca="false">ROUND(Annahmen!$K$35*(1+Annahmen!$B$20*D1004/1000),0)</f>
        <v>870</v>
      </c>
      <c r="K1004" s="15" t="n">
        <f aca="false">ROUND(Annahmen!$K$36*(1+Annahmen!$B$20*D1004/1000),0)</f>
        <v>1130</v>
      </c>
      <c r="L1004" s="15" t="n">
        <f aca="false">ROUND(Annahmen!$K$37*(1+Annahmen!$B$20*D1004/1000),0)</f>
        <v>1154</v>
      </c>
      <c r="M1004" s="15" t="n">
        <f aca="false">ROUND(Annahmen!$K$38*(1+Annahmen!$B$20*D1004/1000),0)</f>
        <v>1154</v>
      </c>
      <c r="N1004" s="16" t="s">
        <v>86</v>
      </c>
    </row>
    <row r="1005" customFormat="false" ht="15" hidden="false" customHeight="false" outlineLevel="0" collapsed="false">
      <c r="A1005" s="13" t="s">
        <v>2067</v>
      </c>
      <c r="B1005" s="14" t="s">
        <v>2068</v>
      </c>
      <c r="C1005" s="15" t="n">
        <v>1554</v>
      </c>
      <c r="D1005" s="15" t="n">
        <v>1480</v>
      </c>
      <c r="E1005" s="13" t="s">
        <v>82</v>
      </c>
      <c r="F1005" s="15" t="str">
        <f aca="false">IF(C1005&gt;=J1005,"ja","nein")</f>
        <v>ja</v>
      </c>
      <c r="G1005" s="15" t="str">
        <f aca="false">IF(C1005&gt;=K1005,"ja","nein")</f>
        <v>ja</v>
      </c>
      <c r="H1005" s="15" t="str">
        <f aca="false">IF(C1005&gt;=L1005,"ja","nein")</f>
        <v>ja</v>
      </c>
      <c r="I1005" s="15" t="str">
        <f aca="false">IF(C1005&gt;=M1005,"ja","nein")</f>
        <v>ja</v>
      </c>
      <c r="J1005" s="15" t="n">
        <f aca="false">ROUND(Annahmen!$K$35*(1+Annahmen!$B$20*D1005/1000),0)</f>
        <v>952</v>
      </c>
      <c r="K1005" s="15" t="n">
        <f aca="false">ROUND(Annahmen!$K$36*(1+Annahmen!$B$20*D1005/1000),0)</f>
        <v>1236</v>
      </c>
      <c r="L1005" s="15" t="n">
        <f aca="false">ROUND(Annahmen!$K$37*(1+Annahmen!$B$20*D1005/1000),0)</f>
        <v>1264</v>
      </c>
      <c r="M1005" s="15" t="n">
        <f aca="false">ROUND(Annahmen!$K$38*(1+Annahmen!$B$20*D1005/1000),0)</f>
        <v>1264</v>
      </c>
      <c r="N1005" s="16" t="s">
        <v>102</v>
      </c>
    </row>
    <row r="1006" customFormat="false" ht="15" hidden="false" customHeight="false" outlineLevel="0" collapsed="false">
      <c r="A1006" s="13" t="s">
        <v>2069</v>
      </c>
      <c r="B1006" s="14" t="s">
        <v>2070</v>
      </c>
      <c r="C1006" s="15" t="n">
        <v>1509</v>
      </c>
      <c r="D1006" s="15" t="n">
        <v>474</v>
      </c>
      <c r="E1006" s="13" t="s">
        <v>82</v>
      </c>
      <c r="F1006" s="15" t="str">
        <f aca="false">IF(C1006&gt;=J1006,"ja","nein")</f>
        <v>ja</v>
      </c>
      <c r="G1006" s="15" t="str">
        <f aca="false">IF(C1006&gt;=K1006,"ja","nein")</f>
        <v>ja</v>
      </c>
      <c r="H1006" s="15" t="str">
        <f aca="false">IF(C1006&gt;=L1006,"ja","nein")</f>
        <v>ja</v>
      </c>
      <c r="I1006" s="15" t="str">
        <f aca="false">IF(C1006&gt;=M1006,"ja","nein")</f>
        <v>ja</v>
      </c>
      <c r="J1006" s="15" t="n">
        <f aca="false">ROUND(Annahmen!$K$35*(1+Annahmen!$B$20*D1006/1000),0)</f>
        <v>876</v>
      </c>
      <c r="K1006" s="15" t="n">
        <f aca="false">ROUND(Annahmen!$K$36*(1+Annahmen!$B$20*D1006/1000),0)</f>
        <v>1138</v>
      </c>
      <c r="L1006" s="15" t="n">
        <f aca="false">ROUND(Annahmen!$K$37*(1+Annahmen!$B$20*D1006/1000),0)</f>
        <v>1163</v>
      </c>
      <c r="M1006" s="15" t="n">
        <f aca="false">ROUND(Annahmen!$K$38*(1+Annahmen!$B$20*D1006/1000),0)</f>
        <v>1163</v>
      </c>
      <c r="N1006" s="16" t="s">
        <v>102</v>
      </c>
    </row>
    <row r="1007" customFormat="false" ht="15" hidden="false" customHeight="false" outlineLevel="0" collapsed="false">
      <c r="A1007" s="13" t="s">
        <v>2071</v>
      </c>
      <c r="B1007" s="14" t="s">
        <v>2072</v>
      </c>
      <c r="C1007" s="15" t="n">
        <v>1502</v>
      </c>
      <c r="D1007" s="15" t="n">
        <v>1140</v>
      </c>
      <c r="E1007" s="13" t="s">
        <v>82</v>
      </c>
      <c r="F1007" s="15" t="str">
        <f aca="false">IF(C1007&gt;=J1007,"ja","nein")</f>
        <v>ja</v>
      </c>
      <c r="G1007" s="15" t="str">
        <f aca="false">IF(C1007&gt;=K1007,"ja","nein")</f>
        <v>ja</v>
      </c>
      <c r="H1007" s="15" t="str">
        <f aca="false">IF(C1007&gt;=L1007,"ja","nein")</f>
        <v>ja</v>
      </c>
      <c r="I1007" s="15" t="str">
        <f aca="false">IF(C1007&gt;=M1007,"ja","nein")</f>
        <v>ja</v>
      </c>
      <c r="J1007" s="15" t="n">
        <f aca="false">ROUND(Annahmen!$K$35*(1+Annahmen!$B$20*D1007/1000),0)</f>
        <v>926</v>
      </c>
      <c r="K1007" s="15" t="n">
        <f aca="false">ROUND(Annahmen!$K$36*(1+Annahmen!$B$20*D1007/1000),0)</f>
        <v>1203</v>
      </c>
      <c r="L1007" s="15" t="n">
        <f aca="false">ROUND(Annahmen!$K$37*(1+Annahmen!$B$20*D1007/1000),0)</f>
        <v>1229</v>
      </c>
      <c r="M1007" s="15" t="n">
        <f aca="false">ROUND(Annahmen!$K$38*(1+Annahmen!$B$20*D1007/1000),0)</f>
        <v>1229</v>
      </c>
      <c r="N1007" s="16" t="s">
        <v>86</v>
      </c>
    </row>
    <row r="1008" customFormat="false" ht="15" hidden="false" customHeight="false" outlineLevel="0" collapsed="false">
      <c r="A1008" s="13" t="s">
        <v>2073</v>
      </c>
      <c r="B1008" s="14" t="s">
        <v>2074</v>
      </c>
      <c r="C1008" s="15" t="n">
        <v>1500</v>
      </c>
      <c r="D1008" s="15" t="n">
        <v>96</v>
      </c>
      <c r="E1008" s="13" t="s">
        <v>82</v>
      </c>
      <c r="F1008" s="15" t="str">
        <f aca="false">IF(C1008&gt;=J1008,"ja","nein")</f>
        <v>ja</v>
      </c>
      <c r="G1008" s="15" t="str">
        <f aca="false">IF(C1008&gt;=K1008,"ja","nein")</f>
        <v>ja</v>
      </c>
      <c r="H1008" s="15" t="str">
        <f aca="false">IF(C1008&gt;=L1008,"ja","nein")</f>
        <v>ja</v>
      </c>
      <c r="I1008" s="15" t="str">
        <f aca="false">IF(C1008&gt;=M1008,"ja","nein")</f>
        <v>ja</v>
      </c>
      <c r="J1008" s="15" t="n">
        <f aca="false">ROUND(Annahmen!$K$35*(1+Annahmen!$B$20*D1008/1000),0)</f>
        <v>847</v>
      </c>
      <c r="K1008" s="15" t="n">
        <f aca="false">ROUND(Annahmen!$K$36*(1+Annahmen!$B$20*D1008/1000),0)</f>
        <v>1100</v>
      </c>
      <c r="L1008" s="15" t="n">
        <f aca="false">ROUND(Annahmen!$K$37*(1+Annahmen!$B$20*D1008/1000),0)</f>
        <v>1125</v>
      </c>
      <c r="M1008" s="15" t="n">
        <f aca="false">ROUND(Annahmen!$K$38*(1+Annahmen!$B$20*D1008/1000),0)</f>
        <v>1125</v>
      </c>
      <c r="N1008" s="16" t="s">
        <v>102</v>
      </c>
    </row>
    <row r="1009" customFormat="false" ht="15" hidden="false" customHeight="false" outlineLevel="0" collapsed="false">
      <c r="A1009" s="13" t="s">
        <v>2075</v>
      </c>
      <c r="B1009" s="14" t="s">
        <v>2076</v>
      </c>
      <c r="C1009" s="15" t="n">
        <v>1499</v>
      </c>
      <c r="D1009" s="15" t="n">
        <v>407</v>
      </c>
      <c r="E1009" s="13" t="s">
        <v>82</v>
      </c>
      <c r="F1009" s="15" t="str">
        <f aca="false">IF(C1009&gt;=J1009,"ja","nein")</f>
        <v>ja</v>
      </c>
      <c r="G1009" s="15" t="str">
        <f aca="false">IF(C1009&gt;=K1009,"ja","nein")</f>
        <v>ja</v>
      </c>
      <c r="H1009" s="15" t="str">
        <f aca="false">IF(C1009&gt;=L1009,"ja","nein")</f>
        <v>ja</v>
      </c>
      <c r="I1009" s="15" t="str">
        <f aca="false">IF(C1009&gt;=M1009,"ja","nein")</f>
        <v>ja</v>
      </c>
      <c r="J1009" s="15" t="n">
        <f aca="false">ROUND(Annahmen!$K$35*(1+Annahmen!$B$20*D1009/1000),0)</f>
        <v>871</v>
      </c>
      <c r="K1009" s="15" t="n">
        <f aca="false">ROUND(Annahmen!$K$36*(1+Annahmen!$B$20*D1009/1000),0)</f>
        <v>1131</v>
      </c>
      <c r="L1009" s="15" t="n">
        <f aca="false">ROUND(Annahmen!$K$37*(1+Annahmen!$B$20*D1009/1000),0)</f>
        <v>1156</v>
      </c>
      <c r="M1009" s="15" t="n">
        <f aca="false">ROUND(Annahmen!$K$38*(1+Annahmen!$B$20*D1009/1000),0)</f>
        <v>1156</v>
      </c>
      <c r="N1009" s="16" t="s">
        <v>86</v>
      </c>
    </row>
    <row r="1010" customFormat="false" ht="15" hidden="false" customHeight="false" outlineLevel="0" collapsed="false">
      <c r="A1010" s="13" t="s">
        <v>2077</v>
      </c>
      <c r="B1010" s="14" t="s">
        <v>2078</v>
      </c>
      <c r="C1010" s="15" t="n">
        <v>1316</v>
      </c>
      <c r="D1010" s="15" t="n">
        <v>785</v>
      </c>
      <c r="E1010" s="13" t="s">
        <v>82</v>
      </c>
      <c r="F1010" s="15" t="str">
        <f aca="false">IF(C1010&gt;=J1010,"ja","nein")</f>
        <v>ja</v>
      </c>
      <c r="G1010" s="15" t="str">
        <f aca="false">IF(C1010&gt;=K1010,"ja","nein")</f>
        <v>ja</v>
      </c>
      <c r="H1010" s="15" t="str">
        <f aca="false">IF(C1010&gt;=L1010,"ja","nein")</f>
        <v>ja</v>
      </c>
      <c r="I1010" s="15" t="str">
        <f aca="false">IF(C1010&gt;=M1010,"ja","nein")</f>
        <v>ja</v>
      </c>
      <c r="J1010" s="15" t="n">
        <f aca="false">ROUND(Annahmen!$K$35*(1+Annahmen!$B$20*D1010/1000),0)</f>
        <v>899</v>
      </c>
      <c r="K1010" s="15" t="n">
        <f aca="false">ROUND(Annahmen!$K$36*(1+Annahmen!$B$20*D1010/1000),0)</f>
        <v>1168</v>
      </c>
      <c r="L1010" s="15" t="n">
        <f aca="false">ROUND(Annahmen!$K$37*(1+Annahmen!$B$20*D1010/1000),0)</f>
        <v>1194</v>
      </c>
      <c r="M1010" s="15" t="n">
        <f aca="false">ROUND(Annahmen!$K$38*(1+Annahmen!$B$20*D1010/1000),0)</f>
        <v>1194</v>
      </c>
      <c r="N1010" s="16" t="s">
        <v>102</v>
      </c>
    </row>
    <row r="1011" customFormat="false" ht="15" hidden="false" customHeight="false" outlineLevel="0" collapsed="false">
      <c r="A1011" s="13" t="s">
        <v>2079</v>
      </c>
      <c r="B1011" s="14" t="s">
        <v>2080</v>
      </c>
      <c r="C1011" s="15" t="n">
        <v>1204</v>
      </c>
      <c r="D1011" s="15" t="n">
        <v>1549</v>
      </c>
      <c r="E1011" s="13" t="s">
        <v>82</v>
      </c>
      <c r="F1011" s="15" t="str">
        <f aca="false">IF(C1011&gt;=J1011,"ja","nein")</f>
        <v>ja</v>
      </c>
      <c r="G1011" s="15" t="str">
        <f aca="false">IF(C1011&gt;=K1011,"ja","nein")</f>
        <v>nein</v>
      </c>
      <c r="H1011" s="15" t="str">
        <f aca="false">IF(C1011&gt;=L1011,"ja","nein")</f>
        <v>nein</v>
      </c>
      <c r="I1011" s="15" t="str">
        <f aca="false">IF(C1011&gt;=M1011,"ja","nein")</f>
        <v>nein</v>
      </c>
      <c r="J1011" s="15" t="n">
        <f aca="false">ROUND(Annahmen!$K$35*(1+Annahmen!$B$20*D1011/1000),0)</f>
        <v>957</v>
      </c>
      <c r="K1011" s="15" t="n">
        <f aca="false">ROUND(Annahmen!$K$36*(1+Annahmen!$B$20*D1011/1000),0)</f>
        <v>1243</v>
      </c>
      <c r="L1011" s="15" t="n">
        <f aca="false">ROUND(Annahmen!$K$37*(1+Annahmen!$B$20*D1011/1000),0)</f>
        <v>1270</v>
      </c>
      <c r="M1011" s="15" t="n">
        <f aca="false">ROUND(Annahmen!$K$38*(1+Annahmen!$B$20*D1011/1000),0)</f>
        <v>1270</v>
      </c>
      <c r="N1011" s="16" t="s">
        <v>102</v>
      </c>
    </row>
    <row r="1012" customFormat="false" ht="15" hidden="false" customHeight="false" outlineLevel="0" collapsed="false">
      <c r="A1012" s="13" t="s">
        <v>2081</v>
      </c>
      <c r="B1012" s="14" t="s">
        <v>2082</v>
      </c>
      <c r="C1012" s="15" t="n">
        <v>1199</v>
      </c>
      <c r="D1012" s="15" t="n">
        <v>118</v>
      </c>
      <c r="E1012" s="13" t="s">
        <v>82</v>
      </c>
      <c r="F1012" s="15" t="str">
        <f aca="false">IF(C1012&gt;=J1012,"ja","nein")</f>
        <v>ja</v>
      </c>
      <c r="G1012" s="15" t="str">
        <f aca="false">IF(C1012&gt;=K1012,"ja","nein")</f>
        <v>ja</v>
      </c>
      <c r="H1012" s="15" t="str">
        <f aca="false">IF(C1012&gt;=L1012,"ja","nein")</f>
        <v>ja</v>
      </c>
      <c r="I1012" s="15" t="str">
        <f aca="false">IF(C1012&gt;=M1012,"ja","nein")</f>
        <v>ja</v>
      </c>
      <c r="J1012" s="15" t="n">
        <f aca="false">ROUND(Annahmen!$K$35*(1+Annahmen!$B$20*D1012/1000),0)</f>
        <v>849</v>
      </c>
      <c r="K1012" s="15" t="n">
        <f aca="false">ROUND(Annahmen!$K$36*(1+Annahmen!$B$20*D1012/1000),0)</f>
        <v>1103</v>
      </c>
      <c r="L1012" s="15" t="n">
        <f aca="false">ROUND(Annahmen!$K$37*(1+Annahmen!$B$20*D1012/1000),0)</f>
        <v>1127</v>
      </c>
      <c r="M1012" s="15" t="n">
        <f aca="false">ROUND(Annahmen!$K$38*(1+Annahmen!$B$20*D1012/1000),0)</f>
        <v>1127</v>
      </c>
      <c r="N1012" s="16" t="s">
        <v>102</v>
      </c>
    </row>
    <row r="1013" customFormat="false" ht="15" hidden="false" customHeight="false" outlineLevel="0" collapsed="false">
      <c r="A1013" s="13" t="s">
        <v>2083</v>
      </c>
      <c r="B1013" s="14" t="s">
        <v>2084</v>
      </c>
      <c r="C1013" s="15" t="n">
        <v>1180</v>
      </c>
      <c r="D1013" s="15" t="n">
        <v>194</v>
      </c>
      <c r="E1013" s="13" t="s">
        <v>82</v>
      </c>
      <c r="F1013" s="15" t="str">
        <f aca="false">IF(C1013&gt;=J1013,"ja","nein")</f>
        <v>ja</v>
      </c>
      <c r="G1013" s="15" t="str">
        <f aca="false">IF(C1013&gt;=K1013,"ja","nein")</f>
        <v>ja</v>
      </c>
      <c r="H1013" s="15" t="str">
        <f aca="false">IF(C1013&gt;=L1013,"ja","nein")</f>
        <v>ja</v>
      </c>
      <c r="I1013" s="15" t="str">
        <f aca="false">IF(C1013&gt;=M1013,"ja","nein")</f>
        <v>ja</v>
      </c>
      <c r="J1013" s="15" t="n">
        <f aca="false">ROUND(Annahmen!$K$35*(1+Annahmen!$B$20*D1013/1000),0)</f>
        <v>855</v>
      </c>
      <c r="K1013" s="15" t="n">
        <f aca="false">ROUND(Annahmen!$K$36*(1+Annahmen!$B$20*D1013/1000),0)</f>
        <v>1110</v>
      </c>
      <c r="L1013" s="15" t="n">
        <f aca="false">ROUND(Annahmen!$K$37*(1+Annahmen!$B$20*D1013/1000),0)</f>
        <v>1134</v>
      </c>
      <c r="M1013" s="15" t="n">
        <f aca="false">ROUND(Annahmen!$K$38*(1+Annahmen!$B$20*D1013/1000),0)</f>
        <v>1134</v>
      </c>
      <c r="N1013" s="16" t="s">
        <v>102</v>
      </c>
    </row>
    <row r="1014" customFormat="false" ht="15" hidden="false" customHeight="false" outlineLevel="0" collapsed="false">
      <c r="A1014" s="13" t="s">
        <v>2085</v>
      </c>
      <c r="B1014" s="14" t="s">
        <v>2086</v>
      </c>
      <c r="C1014" s="15" t="n">
        <v>1152</v>
      </c>
      <c r="D1014" s="15" t="n">
        <v>538</v>
      </c>
      <c r="E1014" s="13" t="s">
        <v>82</v>
      </c>
      <c r="F1014" s="15" t="str">
        <f aca="false">IF(C1014&gt;=J1014,"ja","nein")</f>
        <v>ja</v>
      </c>
      <c r="G1014" s="15" t="str">
        <f aca="false">IF(C1014&gt;=K1014,"ja","nein")</f>
        <v>ja</v>
      </c>
      <c r="H1014" s="15" t="str">
        <f aca="false">IF(C1014&gt;=L1014,"ja","nein")</f>
        <v>nein</v>
      </c>
      <c r="I1014" s="15" t="str">
        <f aca="false">IF(C1014&gt;=M1014,"ja","nein")</f>
        <v>nein</v>
      </c>
      <c r="J1014" s="15" t="n">
        <f aca="false">ROUND(Annahmen!$K$35*(1+Annahmen!$B$20*D1014/1000),0)</f>
        <v>881</v>
      </c>
      <c r="K1014" s="15" t="n">
        <f aca="false">ROUND(Annahmen!$K$36*(1+Annahmen!$B$20*D1014/1000),0)</f>
        <v>1144</v>
      </c>
      <c r="L1014" s="15" t="n">
        <f aca="false">ROUND(Annahmen!$K$37*(1+Annahmen!$B$20*D1014/1000),0)</f>
        <v>1169</v>
      </c>
      <c r="M1014" s="15" t="n">
        <f aca="false">ROUND(Annahmen!$K$38*(1+Annahmen!$B$20*D1014/1000),0)</f>
        <v>1169</v>
      </c>
      <c r="N1014" s="16" t="s">
        <v>102</v>
      </c>
    </row>
    <row r="1015" customFormat="false" ht="15" hidden="false" customHeight="false" outlineLevel="0" collapsed="false">
      <c r="A1015" s="13" t="s">
        <v>2087</v>
      </c>
      <c r="B1015" s="14" t="s">
        <v>2088</v>
      </c>
      <c r="C1015" s="15" t="n">
        <v>1150</v>
      </c>
      <c r="D1015" s="15" t="n">
        <v>237</v>
      </c>
      <c r="E1015" s="13" t="s">
        <v>82</v>
      </c>
      <c r="F1015" s="15" t="str">
        <f aca="false">IF(C1015&gt;=J1015,"ja","nein")</f>
        <v>ja</v>
      </c>
      <c r="G1015" s="15" t="str">
        <f aca="false">IF(C1015&gt;=K1015,"ja","nein")</f>
        <v>ja</v>
      </c>
      <c r="H1015" s="15" t="str">
        <f aca="false">IF(C1015&gt;=L1015,"ja","nein")</f>
        <v>ja</v>
      </c>
      <c r="I1015" s="15" t="str">
        <f aca="false">IF(C1015&gt;=M1015,"ja","nein")</f>
        <v>ja</v>
      </c>
      <c r="J1015" s="15" t="n">
        <f aca="false">ROUND(Annahmen!$K$35*(1+Annahmen!$B$20*D1015/1000),0)</f>
        <v>858</v>
      </c>
      <c r="K1015" s="15" t="n">
        <f aca="false">ROUND(Annahmen!$K$36*(1+Annahmen!$B$20*D1015/1000),0)</f>
        <v>1114</v>
      </c>
      <c r="L1015" s="15" t="n">
        <f aca="false">ROUND(Annahmen!$K$37*(1+Annahmen!$B$20*D1015/1000),0)</f>
        <v>1139</v>
      </c>
      <c r="M1015" s="15" t="n">
        <f aca="false">ROUND(Annahmen!$K$38*(1+Annahmen!$B$20*D1015/1000),0)</f>
        <v>1139</v>
      </c>
      <c r="N1015" s="16" t="s">
        <v>102</v>
      </c>
    </row>
    <row r="1016" customFormat="false" ht="15" hidden="false" customHeight="false" outlineLevel="0" collapsed="false">
      <c r="A1016" s="13" t="s">
        <v>2089</v>
      </c>
      <c r="B1016" s="14" t="s">
        <v>2090</v>
      </c>
      <c r="C1016" s="15" t="n">
        <v>1085</v>
      </c>
      <c r="D1016" s="15" t="n">
        <v>59</v>
      </c>
      <c r="E1016" s="13" t="s">
        <v>82</v>
      </c>
      <c r="F1016" s="15" t="str">
        <f aca="false">IF(C1016&gt;=J1016,"ja","nein")</f>
        <v>ja</v>
      </c>
      <c r="G1016" s="15" t="str">
        <f aca="false">IF(C1016&gt;=K1016,"ja","nein")</f>
        <v>nein</v>
      </c>
      <c r="H1016" s="15" t="str">
        <f aca="false">IF(C1016&gt;=L1016,"ja","nein")</f>
        <v>nein</v>
      </c>
      <c r="I1016" s="15" t="str">
        <f aca="false">IF(C1016&gt;=M1016,"ja","nein")</f>
        <v>nein</v>
      </c>
      <c r="J1016" s="15" t="n">
        <f aca="false">ROUND(Annahmen!$K$35*(1+Annahmen!$B$20*D1016/1000),0)</f>
        <v>844</v>
      </c>
      <c r="K1016" s="15" t="n">
        <f aca="false">ROUND(Annahmen!$K$36*(1+Annahmen!$B$20*D1016/1000),0)</f>
        <v>1097</v>
      </c>
      <c r="L1016" s="15" t="n">
        <f aca="false">ROUND(Annahmen!$K$37*(1+Annahmen!$B$20*D1016/1000),0)</f>
        <v>1121</v>
      </c>
      <c r="M1016" s="15" t="n">
        <f aca="false">ROUND(Annahmen!$K$38*(1+Annahmen!$B$20*D1016/1000),0)</f>
        <v>1121</v>
      </c>
      <c r="N1016" s="16" t="s">
        <v>86</v>
      </c>
    </row>
    <row r="1017" customFormat="false" ht="15" hidden="false" customHeight="false" outlineLevel="0" collapsed="false">
      <c r="A1017" s="13" t="s">
        <v>2091</v>
      </c>
      <c r="B1017" s="14" t="s">
        <v>2092</v>
      </c>
      <c r="C1017" s="15" t="n">
        <v>1000</v>
      </c>
      <c r="D1017" s="15" t="n">
        <v>507</v>
      </c>
      <c r="E1017" s="13" t="s">
        <v>82</v>
      </c>
      <c r="F1017" s="15" t="str">
        <f aca="false">IF(C1017&gt;=J1017,"ja","nein")</f>
        <v>ja</v>
      </c>
      <c r="G1017" s="15" t="str">
        <f aca="false">IF(C1017&gt;=K1017,"ja","nein")</f>
        <v>nein</v>
      </c>
      <c r="H1017" s="15" t="str">
        <f aca="false">IF(C1017&gt;=L1017,"ja","nein")</f>
        <v>nein</v>
      </c>
      <c r="I1017" s="15" t="str">
        <f aca="false">IF(C1017&gt;=M1017,"ja","nein")</f>
        <v>nein</v>
      </c>
      <c r="J1017" s="15" t="n">
        <f aca="false">ROUND(Annahmen!$K$35*(1+Annahmen!$B$20*D1017/1000),0)</f>
        <v>878</v>
      </c>
      <c r="K1017" s="15" t="n">
        <f aca="false">ROUND(Annahmen!$K$36*(1+Annahmen!$B$20*D1017/1000),0)</f>
        <v>1141</v>
      </c>
      <c r="L1017" s="15" t="n">
        <f aca="false">ROUND(Annahmen!$K$37*(1+Annahmen!$B$20*D1017/1000),0)</f>
        <v>1166</v>
      </c>
      <c r="M1017" s="15" t="n">
        <f aca="false">ROUND(Annahmen!$K$38*(1+Annahmen!$B$20*D1017/1000),0)</f>
        <v>1166</v>
      </c>
      <c r="N1017" s="16" t="s">
        <v>102</v>
      </c>
    </row>
    <row r="1018" customFormat="false" ht="15" hidden="false" customHeight="false" outlineLevel="0" collapsed="false">
      <c r="A1018" s="13" t="s">
        <v>2093</v>
      </c>
      <c r="B1018" s="14" t="s">
        <v>2094</v>
      </c>
      <c r="C1018" s="15" t="n">
        <v>1000</v>
      </c>
      <c r="D1018" s="15" t="n">
        <v>1119</v>
      </c>
      <c r="E1018" s="13" t="s">
        <v>82</v>
      </c>
      <c r="F1018" s="15" t="str">
        <f aca="false">IF(C1018&gt;=J1018,"ja","nein")</f>
        <v>ja</v>
      </c>
      <c r="G1018" s="15" t="str">
        <f aca="false">IF(C1018&gt;=K1018,"ja","nein")</f>
        <v>nein</v>
      </c>
      <c r="H1018" s="15" t="str">
        <f aca="false">IF(C1018&gt;=L1018,"ja","nein")</f>
        <v>nein</v>
      </c>
      <c r="I1018" s="15" t="str">
        <f aca="false">IF(C1018&gt;=M1018,"ja","nein")</f>
        <v>nein</v>
      </c>
      <c r="J1018" s="15" t="n">
        <f aca="false">ROUND(Annahmen!$K$35*(1+Annahmen!$B$20*D1018/1000),0)</f>
        <v>925</v>
      </c>
      <c r="K1018" s="15" t="n">
        <f aca="false">ROUND(Annahmen!$K$36*(1+Annahmen!$B$20*D1018/1000),0)</f>
        <v>1201</v>
      </c>
      <c r="L1018" s="15" t="n">
        <f aca="false">ROUND(Annahmen!$K$37*(1+Annahmen!$B$20*D1018/1000),0)</f>
        <v>1227</v>
      </c>
      <c r="M1018" s="15" t="n">
        <f aca="false">ROUND(Annahmen!$K$38*(1+Annahmen!$B$20*D1018/1000),0)</f>
        <v>1227</v>
      </c>
      <c r="N1018" s="16" t="s">
        <v>102</v>
      </c>
    </row>
    <row r="1019" customFormat="false" ht="15" hidden="false" customHeight="false" outlineLevel="0" collapsed="false">
      <c r="A1019" s="13" t="s">
        <v>2095</v>
      </c>
      <c r="B1019" s="14" t="s">
        <v>2096</v>
      </c>
      <c r="C1019" s="15" t="n">
        <v>1000</v>
      </c>
      <c r="D1019" s="15" t="n">
        <v>1460</v>
      </c>
      <c r="E1019" s="13" t="s">
        <v>82</v>
      </c>
      <c r="F1019" s="15" t="str">
        <f aca="false">IF(C1019&gt;=J1019,"ja","nein")</f>
        <v>ja</v>
      </c>
      <c r="G1019" s="15" t="str">
        <f aca="false">IF(C1019&gt;=K1019,"ja","nein")</f>
        <v>nein</v>
      </c>
      <c r="H1019" s="15" t="str">
        <f aca="false">IF(C1019&gt;=L1019,"ja","nein")</f>
        <v>nein</v>
      </c>
      <c r="I1019" s="15" t="str">
        <f aca="false">IF(C1019&gt;=M1019,"ja","nein")</f>
        <v>nein</v>
      </c>
      <c r="J1019" s="15" t="n">
        <f aca="false">ROUND(Annahmen!$K$35*(1+Annahmen!$B$20*D1019/1000),0)</f>
        <v>950</v>
      </c>
      <c r="K1019" s="15" t="n">
        <f aca="false">ROUND(Annahmen!$K$36*(1+Annahmen!$B$20*D1019/1000),0)</f>
        <v>1234</v>
      </c>
      <c r="L1019" s="15" t="n">
        <f aca="false">ROUND(Annahmen!$K$37*(1+Annahmen!$B$20*D1019/1000),0)</f>
        <v>1262</v>
      </c>
      <c r="M1019" s="15" t="n">
        <f aca="false">ROUND(Annahmen!$K$38*(1+Annahmen!$B$20*D1019/1000),0)</f>
        <v>1262</v>
      </c>
      <c r="N1019" s="16" t="s">
        <v>102</v>
      </c>
    </row>
    <row r="1020" customFormat="false" ht="15" hidden="false" customHeight="false" outlineLevel="0" collapsed="false">
      <c r="A1020" s="13" t="s">
        <v>2097</v>
      </c>
      <c r="B1020" s="14" t="s">
        <v>2098</v>
      </c>
      <c r="C1020" s="15" t="n">
        <v>1000</v>
      </c>
      <c r="D1020" s="15" t="n">
        <v>1236</v>
      </c>
      <c r="E1020" s="13" t="s">
        <v>82</v>
      </c>
      <c r="F1020" s="15" t="str">
        <f aca="false">IF(C1020&gt;=J1020,"ja","nein")</f>
        <v>ja</v>
      </c>
      <c r="G1020" s="15" t="str">
        <f aca="false">IF(C1020&gt;=K1020,"ja","nein")</f>
        <v>nein</v>
      </c>
      <c r="H1020" s="15" t="str">
        <f aca="false">IF(C1020&gt;=L1020,"ja","nein")</f>
        <v>nein</v>
      </c>
      <c r="I1020" s="15" t="str">
        <f aca="false">IF(C1020&gt;=M1020,"ja","nein")</f>
        <v>nein</v>
      </c>
      <c r="J1020" s="15" t="n">
        <f aca="false">ROUND(Annahmen!$K$35*(1+Annahmen!$B$20*D1020/1000),0)</f>
        <v>933</v>
      </c>
      <c r="K1020" s="15" t="n">
        <f aca="false">ROUND(Annahmen!$K$36*(1+Annahmen!$B$20*D1020/1000),0)</f>
        <v>1212</v>
      </c>
      <c r="L1020" s="15" t="n">
        <f aca="false">ROUND(Annahmen!$K$37*(1+Annahmen!$B$20*D1020/1000),0)</f>
        <v>1239</v>
      </c>
      <c r="M1020" s="15" t="n">
        <f aca="false">ROUND(Annahmen!$K$38*(1+Annahmen!$B$20*D1020/1000),0)</f>
        <v>1239</v>
      </c>
      <c r="N1020" s="16" t="s">
        <v>102</v>
      </c>
    </row>
    <row r="1021" customFormat="false" ht="15" hidden="false" customHeight="false" outlineLevel="0" collapsed="false">
      <c r="A1021" s="13" t="s">
        <v>2099</v>
      </c>
      <c r="B1021" s="14" t="s">
        <v>2100</v>
      </c>
      <c r="C1021" s="15" t="n">
        <v>1000</v>
      </c>
      <c r="D1021" s="15" t="n">
        <v>43</v>
      </c>
      <c r="E1021" s="13" t="s">
        <v>82</v>
      </c>
      <c r="F1021" s="15" t="str">
        <f aca="false">IF(C1021&gt;=J1021,"ja","nein")</f>
        <v>ja</v>
      </c>
      <c r="G1021" s="15" t="str">
        <f aca="false">IF(C1021&gt;=K1021,"ja","nein")</f>
        <v>nein</v>
      </c>
      <c r="H1021" s="15" t="str">
        <f aca="false">IF(C1021&gt;=L1021,"ja","nein")</f>
        <v>nein</v>
      </c>
      <c r="I1021" s="15" t="str">
        <f aca="false">IF(C1021&gt;=M1021,"ja","nein")</f>
        <v>nein</v>
      </c>
      <c r="J1021" s="15" t="n">
        <f aca="false">ROUND(Annahmen!$K$35*(1+Annahmen!$B$20*D1021/1000),0)</f>
        <v>843</v>
      </c>
      <c r="K1021" s="15" t="n">
        <f aca="false">ROUND(Annahmen!$K$36*(1+Annahmen!$B$20*D1021/1000),0)</f>
        <v>1095</v>
      </c>
      <c r="L1021" s="15" t="n">
        <f aca="false">ROUND(Annahmen!$K$37*(1+Annahmen!$B$20*D1021/1000),0)</f>
        <v>1119</v>
      </c>
      <c r="M1021" s="15" t="n">
        <f aca="false">ROUND(Annahmen!$K$38*(1+Annahmen!$B$20*D1021/1000),0)</f>
        <v>1119</v>
      </c>
      <c r="N1021" s="16" t="s">
        <v>102</v>
      </c>
    </row>
    <row r="1022" customFormat="false" ht="15" hidden="false" customHeight="false" outlineLevel="0" collapsed="false">
      <c r="A1022" s="13" t="s">
        <v>2101</v>
      </c>
      <c r="B1022" s="14" t="s">
        <v>2102</v>
      </c>
      <c r="C1022" s="15" t="n">
        <v>1000</v>
      </c>
      <c r="D1022" s="15" t="n">
        <v>683</v>
      </c>
      <c r="E1022" s="13" t="s">
        <v>82</v>
      </c>
      <c r="F1022" s="15" t="str">
        <f aca="false">IF(C1022&gt;=J1022,"ja","nein")</f>
        <v>ja</v>
      </c>
      <c r="G1022" s="15" t="str">
        <f aca="false">IF(C1022&gt;=K1022,"ja","nein")</f>
        <v>nein</v>
      </c>
      <c r="H1022" s="15" t="str">
        <f aca="false">IF(C1022&gt;=L1022,"ja","nein")</f>
        <v>nein</v>
      </c>
      <c r="I1022" s="15" t="str">
        <f aca="false">IF(C1022&gt;=M1022,"ja","nein")</f>
        <v>nein</v>
      </c>
      <c r="J1022" s="15" t="n">
        <f aca="false">ROUND(Annahmen!$K$35*(1+Annahmen!$B$20*D1022/1000),0)</f>
        <v>892</v>
      </c>
      <c r="K1022" s="15" t="n">
        <f aca="false">ROUND(Annahmen!$K$36*(1+Annahmen!$B$20*D1022/1000),0)</f>
        <v>1158</v>
      </c>
      <c r="L1022" s="15" t="n">
        <f aca="false">ROUND(Annahmen!$K$37*(1+Annahmen!$B$20*D1022/1000),0)</f>
        <v>1184</v>
      </c>
      <c r="M1022" s="15" t="n">
        <f aca="false">ROUND(Annahmen!$K$38*(1+Annahmen!$B$20*D1022/1000),0)</f>
        <v>1184</v>
      </c>
      <c r="N1022" s="16" t="s">
        <v>102</v>
      </c>
    </row>
    <row r="1023" customFormat="false" ht="15" hidden="false" customHeight="false" outlineLevel="0" collapsed="false">
      <c r="A1023" s="13" t="s">
        <v>2103</v>
      </c>
      <c r="B1023" s="14" t="s">
        <v>2104</v>
      </c>
      <c r="C1023" s="15" t="n">
        <v>900</v>
      </c>
      <c r="D1023" s="15" t="n">
        <v>318</v>
      </c>
      <c r="E1023" s="13" t="s">
        <v>82</v>
      </c>
      <c r="F1023" s="15" t="str">
        <f aca="false">IF(C1023&gt;=J1023,"ja","nein")</f>
        <v>ja</v>
      </c>
      <c r="G1023" s="15" t="str">
        <f aca="false">IF(C1023&gt;=K1023,"ja","nein")</f>
        <v>nein</v>
      </c>
      <c r="H1023" s="15" t="str">
        <f aca="false">IF(C1023&gt;=L1023,"ja","nein")</f>
        <v>nein</v>
      </c>
      <c r="I1023" s="15" t="str">
        <f aca="false">IF(C1023&gt;=M1023,"ja","nein")</f>
        <v>nein</v>
      </c>
      <c r="J1023" s="15" t="n">
        <f aca="false">ROUND(Annahmen!$K$35*(1+Annahmen!$B$20*D1023/1000),0)</f>
        <v>864</v>
      </c>
      <c r="K1023" s="15" t="n">
        <f aca="false">ROUND(Annahmen!$K$36*(1+Annahmen!$B$20*D1023/1000),0)</f>
        <v>1122</v>
      </c>
      <c r="L1023" s="15" t="n">
        <f aca="false">ROUND(Annahmen!$K$37*(1+Annahmen!$B$20*D1023/1000),0)</f>
        <v>1147</v>
      </c>
      <c r="M1023" s="15" t="n">
        <f aca="false">ROUND(Annahmen!$K$38*(1+Annahmen!$B$20*D1023/1000),0)</f>
        <v>1147</v>
      </c>
      <c r="N1023" s="16" t="s">
        <v>102</v>
      </c>
    </row>
    <row r="1024" customFormat="false" ht="15" hidden="false" customHeight="false" outlineLevel="0" collapsed="false">
      <c r="A1024" s="13" t="s">
        <v>2105</v>
      </c>
      <c r="B1024" s="14" t="s">
        <v>2106</v>
      </c>
      <c r="C1024" s="15" t="n">
        <v>850</v>
      </c>
      <c r="D1024" s="15" t="n">
        <v>129</v>
      </c>
      <c r="E1024" s="13" t="s">
        <v>82</v>
      </c>
      <c r="F1024" s="15" t="str">
        <f aca="false">IF(C1024&gt;=J1024,"ja","nein")</f>
        <v>ja</v>
      </c>
      <c r="G1024" s="15" t="str">
        <f aca="false">IF(C1024&gt;=K1024,"ja","nein")</f>
        <v>nein</v>
      </c>
      <c r="H1024" s="15" t="str">
        <f aca="false">IF(C1024&gt;=L1024,"ja","nein")</f>
        <v>nein</v>
      </c>
      <c r="I1024" s="15" t="str">
        <f aca="false">IF(C1024&gt;=M1024,"ja","nein")</f>
        <v>nein</v>
      </c>
      <c r="J1024" s="15" t="n">
        <f aca="false">ROUND(Annahmen!$K$35*(1+Annahmen!$B$20*D1024/1000),0)</f>
        <v>850</v>
      </c>
      <c r="K1024" s="15" t="n">
        <f aca="false">ROUND(Annahmen!$K$36*(1+Annahmen!$B$20*D1024/1000),0)</f>
        <v>1104</v>
      </c>
      <c r="L1024" s="15" t="n">
        <f aca="false">ROUND(Annahmen!$K$37*(1+Annahmen!$B$20*D1024/1000),0)</f>
        <v>1128</v>
      </c>
      <c r="M1024" s="15" t="n">
        <f aca="false">ROUND(Annahmen!$K$38*(1+Annahmen!$B$20*D1024/1000),0)</f>
        <v>1128</v>
      </c>
      <c r="N1024" s="16" t="s">
        <v>102</v>
      </c>
    </row>
    <row r="1025" customFormat="false" ht="15" hidden="false" customHeight="false" outlineLevel="0" collapsed="false">
      <c r="A1025" s="13" t="s">
        <v>2107</v>
      </c>
      <c r="B1025" s="14" t="s">
        <v>2108</v>
      </c>
      <c r="C1025" s="15" t="n">
        <v>850</v>
      </c>
      <c r="D1025" s="15" t="n">
        <v>33</v>
      </c>
      <c r="E1025" s="13" t="s">
        <v>82</v>
      </c>
      <c r="F1025" s="15" t="str">
        <f aca="false">IF(C1025&gt;=J1025,"ja","nein")</f>
        <v>ja</v>
      </c>
      <c r="G1025" s="15" t="str">
        <f aca="false">IF(C1025&gt;=K1025,"ja","nein")</f>
        <v>nein</v>
      </c>
      <c r="H1025" s="15" t="str">
        <f aca="false">IF(C1025&gt;=L1025,"ja","nein")</f>
        <v>nein</v>
      </c>
      <c r="I1025" s="15" t="str">
        <f aca="false">IF(C1025&gt;=M1025,"ja","nein")</f>
        <v>nein</v>
      </c>
      <c r="J1025" s="15" t="n">
        <f aca="false">ROUND(Annahmen!$K$35*(1+Annahmen!$B$20*D1025/1000),0)</f>
        <v>842</v>
      </c>
      <c r="K1025" s="15" t="n">
        <f aca="false">ROUND(Annahmen!$K$36*(1+Annahmen!$B$20*D1025/1000),0)</f>
        <v>1094</v>
      </c>
      <c r="L1025" s="15" t="n">
        <f aca="false">ROUND(Annahmen!$K$37*(1+Annahmen!$B$20*D1025/1000),0)</f>
        <v>1118</v>
      </c>
      <c r="M1025" s="15" t="n">
        <f aca="false">ROUND(Annahmen!$K$38*(1+Annahmen!$B$20*D1025/1000),0)</f>
        <v>1118</v>
      </c>
      <c r="N1025" s="16" t="s">
        <v>102</v>
      </c>
    </row>
    <row r="1026" customFormat="false" ht="15" hidden="false" customHeight="false" outlineLevel="0" collapsed="false">
      <c r="A1026" s="13" t="s">
        <v>2109</v>
      </c>
      <c r="B1026" s="14" t="s">
        <v>2110</v>
      </c>
      <c r="C1026" s="15" t="n">
        <v>849</v>
      </c>
      <c r="D1026" s="15" t="n">
        <v>0</v>
      </c>
      <c r="E1026" s="13" t="s">
        <v>82</v>
      </c>
      <c r="F1026" s="15" t="str">
        <f aca="false">IF(C1026&gt;=J1026,"ja","nein")</f>
        <v>ja</v>
      </c>
      <c r="G1026" s="15" t="str">
        <f aca="false">IF(C1026&gt;=K1026,"ja","nein")</f>
        <v>nein</v>
      </c>
      <c r="H1026" s="15" t="str">
        <f aca="false">IF(C1026&gt;=L1026,"ja","nein")</f>
        <v>nein</v>
      </c>
      <c r="I1026" s="15" t="str">
        <f aca="false">IF(C1026&gt;=M1026,"ja","nein")</f>
        <v>nein</v>
      </c>
      <c r="J1026" s="15" t="n">
        <f aca="false">ROUND(Annahmen!$K$35*(1+Annahmen!$B$20*D1026/1000),0)</f>
        <v>840</v>
      </c>
      <c r="K1026" s="15" t="n">
        <f aca="false">ROUND(Annahmen!$K$36*(1+Annahmen!$B$20*D1026/1000),0)</f>
        <v>1091</v>
      </c>
      <c r="L1026" s="15" t="n">
        <f aca="false">ROUND(Annahmen!$K$37*(1+Annahmen!$B$20*D1026/1000),0)</f>
        <v>1115</v>
      </c>
      <c r="M1026" s="15" t="n">
        <f aca="false">ROUND(Annahmen!$K$38*(1+Annahmen!$B$20*D1026/1000),0)</f>
        <v>1115</v>
      </c>
      <c r="N1026" s="16" t="s">
        <v>102</v>
      </c>
    </row>
    <row r="1027" customFormat="false" ht="15" hidden="false" customHeight="false" outlineLevel="0" collapsed="false">
      <c r="A1027" s="13" t="s">
        <v>2111</v>
      </c>
      <c r="B1027" s="14" t="s">
        <v>2112</v>
      </c>
      <c r="C1027" s="15" t="n">
        <v>838</v>
      </c>
      <c r="D1027" s="15" t="n">
        <v>611</v>
      </c>
      <c r="E1027" s="13" t="s">
        <v>82</v>
      </c>
      <c r="F1027" s="15" t="str">
        <f aca="false">IF(C1027&gt;=J1027,"ja","nein")</f>
        <v>nein</v>
      </c>
      <c r="G1027" s="15" t="str">
        <f aca="false">IF(C1027&gt;=K1027,"ja","nein")</f>
        <v>nein</v>
      </c>
      <c r="H1027" s="15" t="str">
        <f aca="false">IF(C1027&gt;=L1027,"ja","nein")</f>
        <v>nein</v>
      </c>
      <c r="I1027" s="15" t="str">
        <f aca="false">IF(C1027&gt;=M1027,"ja","nein")</f>
        <v>nein</v>
      </c>
      <c r="J1027" s="15" t="n">
        <f aca="false">ROUND(Annahmen!$K$35*(1+Annahmen!$B$20*D1027/1000),0)</f>
        <v>886</v>
      </c>
      <c r="K1027" s="15" t="n">
        <f aca="false">ROUND(Annahmen!$K$36*(1+Annahmen!$B$20*D1027/1000),0)</f>
        <v>1151</v>
      </c>
      <c r="L1027" s="15" t="n">
        <f aca="false">ROUND(Annahmen!$K$37*(1+Annahmen!$B$20*D1027/1000),0)</f>
        <v>1176</v>
      </c>
      <c r="M1027" s="15" t="n">
        <f aca="false">ROUND(Annahmen!$K$38*(1+Annahmen!$B$20*D1027/1000),0)</f>
        <v>1176</v>
      </c>
      <c r="N1027" s="16" t="s">
        <v>102</v>
      </c>
    </row>
    <row r="1028" customFormat="false" ht="15" hidden="false" customHeight="false" outlineLevel="0" collapsed="false">
      <c r="A1028" s="13" t="s">
        <v>2113</v>
      </c>
      <c r="B1028" s="14" t="s">
        <v>2114</v>
      </c>
      <c r="C1028" s="15" t="n">
        <v>838</v>
      </c>
      <c r="D1028" s="15" t="n">
        <v>1047</v>
      </c>
      <c r="E1028" s="13" t="s">
        <v>82</v>
      </c>
      <c r="F1028" s="15" t="str">
        <f aca="false">IF(C1028&gt;=J1028,"ja","nein")</f>
        <v>nein</v>
      </c>
      <c r="G1028" s="15" t="str">
        <f aca="false">IF(C1028&gt;=K1028,"ja","nein")</f>
        <v>nein</v>
      </c>
      <c r="H1028" s="15" t="str">
        <f aca="false">IF(C1028&gt;=L1028,"ja","nein")</f>
        <v>nein</v>
      </c>
      <c r="I1028" s="15" t="str">
        <f aca="false">IF(C1028&gt;=M1028,"ja","nein")</f>
        <v>nein</v>
      </c>
      <c r="J1028" s="15" t="n">
        <f aca="false">ROUND(Annahmen!$K$35*(1+Annahmen!$B$20*D1028/1000),0)</f>
        <v>919</v>
      </c>
      <c r="K1028" s="15" t="n">
        <f aca="false">ROUND(Annahmen!$K$36*(1+Annahmen!$B$20*D1028/1000),0)</f>
        <v>1194</v>
      </c>
      <c r="L1028" s="15" t="n">
        <f aca="false">ROUND(Annahmen!$K$37*(1+Annahmen!$B$20*D1028/1000),0)</f>
        <v>1220</v>
      </c>
      <c r="M1028" s="15" t="n">
        <f aca="false">ROUND(Annahmen!$K$38*(1+Annahmen!$B$20*D1028/1000),0)</f>
        <v>1220</v>
      </c>
      <c r="N1028" s="16" t="s">
        <v>102</v>
      </c>
    </row>
    <row r="1029" customFormat="false" ht="15" hidden="false" customHeight="false" outlineLevel="0" collapsed="false">
      <c r="A1029" s="13" t="s">
        <v>2115</v>
      </c>
      <c r="B1029" s="14" t="s">
        <v>2116</v>
      </c>
      <c r="C1029" s="15" t="n">
        <v>819</v>
      </c>
      <c r="D1029" s="15" t="n">
        <v>894</v>
      </c>
      <c r="E1029" s="13" t="s">
        <v>82</v>
      </c>
      <c r="F1029" s="15" t="str">
        <f aca="false">IF(C1029&gt;=J1029,"ja","nein")</f>
        <v>nein</v>
      </c>
      <c r="G1029" s="15" t="str">
        <f aca="false">IF(C1029&gt;=K1029,"ja","nein")</f>
        <v>nein</v>
      </c>
      <c r="H1029" s="15" t="str">
        <f aca="false">IF(C1029&gt;=L1029,"ja","nein")</f>
        <v>nein</v>
      </c>
      <c r="I1029" s="15" t="str">
        <f aca="false">IF(C1029&gt;=M1029,"ja","nein")</f>
        <v>nein</v>
      </c>
      <c r="J1029" s="15" t="n">
        <f aca="false">ROUND(Annahmen!$K$35*(1+Annahmen!$B$20*D1029/1000),0)</f>
        <v>908</v>
      </c>
      <c r="K1029" s="15" t="n">
        <f aca="false">ROUND(Annahmen!$K$36*(1+Annahmen!$B$20*D1029/1000),0)</f>
        <v>1179</v>
      </c>
      <c r="L1029" s="15" t="n">
        <f aca="false">ROUND(Annahmen!$K$37*(1+Annahmen!$B$20*D1029/1000),0)</f>
        <v>1205</v>
      </c>
      <c r="M1029" s="15" t="n">
        <f aca="false">ROUND(Annahmen!$K$38*(1+Annahmen!$B$20*D1029/1000),0)</f>
        <v>1205</v>
      </c>
      <c r="N1029" s="16" t="s">
        <v>102</v>
      </c>
    </row>
    <row r="1030" customFormat="false" ht="15" hidden="false" customHeight="false" outlineLevel="0" collapsed="false">
      <c r="A1030" s="13" t="s">
        <v>2117</v>
      </c>
      <c r="B1030" s="14" t="s">
        <v>2118</v>
      </c>
      <c r="C1030" s="15" t="n">
        <v>800</v>
      </c>
      <c r="D1030" s="15" t="n">
        <v>588</v>
      </c>
      <c r="E1030" s="13" t="s">
        <v>82</v>
      </c>
      <c r="F1030" s="15" t="str">
        <f aca="false">IF(C1030&gt;=J1030,"ja","nein")</f>
        <v>nein</v>
      </c>
      <c r="G1030" s="15" t="str">
        <f aca="false">IF(C1030&gt;=K1030,"ja","nein")</f>
        <v>nein</v>
      </c>
      <c r="H1030" s="15" t="str">
        <f aca="false">IF(C1030&gt;=L1030,"ja","nein")</f>
        <v>nein</v>
      </c>
      <c r="I1030" s="15" t="str">
        <f aca="false">IF(C1030&gt;=M1030,"ja","nein")</f>
        <v>nein</v>
      </c>
      <c r="J1030" s="15" t="n">
        <f aca="false">ROUND(Annahmen!$K$35*(1+Annahmen!$B$20*D1030/1000),0)</f>
        <v>884</v>
      </c>
      <c r="K1030" s="15" t="n">
        <f aca="false">ROUND(Annahmen!$K$36*(1+Annahmen!$B$20*D1030/1000),0)</f>
        <v>1149</v>
      </c>
      <c r="L1030" s="15" t="n">
        <f aca="false">ROUND(Annahmen!$K$37*(1+Annahmen!$B$20*D1030/1000),0)</f>
        <v>1174</v>
      </c>
      <c r="M1030" s="15" t="n">
        <f aca="false">ROUND(Annahmen!$K$38*(1+Annahmen!$B$20*D1030/1000),0)</f>
        <v>1174</v>
      </c>
      <c r="N1030" s="16" t="s">
        <v>102</v>
      </c>
    </row>
    <row r="1031" customFormat="false" ht="15" hidden="false" customHeight="false" outlineLevel="0" collapsed="false">
      <c r="A1031" s="13" t="s">
        <v>2119</v>
      </c>
      <c r="B1031" s="14" t="s">
        <v>2120</v>
      </c>
      <c r="C1031" s="15" t="n">
        <v>800</v>
      </c>
      <c r="D1031" s="15" t="n">
        <v>770</v>
      </c>
      <c r="E1031" s="13" t="s">
        <v>82</v>
      </c>
      <c r="F1031" s="15" t="str">
        <f aca="false">IF(C1031&gt;=J1031,"ja","nein")</f>
        <v>nein</v>
      </c>
      <c r="G1031" s="15" t="str">
        <f aca="false">IF(C1031&gt;=K1031,"ja","nein")</f>
        <v>nein</v>
      </c>
      <c r="H1031" s="15" t="str">
        <f aca="false">IF(C1031&gt;=L1031,"ja","nein")</f>
        <v>nein</v>
      </c>
      <c r="I1031" s="15" t="str">
        <f aca="false">IF(C1031&gt;=M1031,"ja","nein")</f>
        <v>nein</v>
      </c>
      <c r="J1031" s="15" t="n">
        <f aca="false">ROUND(Annahmen!$K$35*(1+Annahmen!$B$20*D1031/1000),0)</f>
        <v>898</v>
      </c>
      <c r="K1031" s="15" t="n">
        <f aca="false">ROUND(Annahmen!$K$36*(1+Annahmen!$B$20*D1031/1000),0)</f>
        <v>1167</v>
      </c>
      <c r="L1031" s="15" t="n">
        <f aca="false">ROUND(Annahmen!$K$37*(1+Annahmen!$B$20*D1031/1000),0)</f>
        <v>1192</v>
      </c>
      <c r="M1031" s="15" t="n">
        <f aca="false">ROUND(Annahmen!$K$38*(1+Annahmen!$B$20*D1031/1000),0)</f>
        <v>1192</v>
      </c>
      <c r="N1031" s="16" t="s">
        <v>102</v>
      </c>
    </row>
    <row r="1032" customFormat="false" ht="15" hidden="false" customHeight="false" outlineLevel="0" collapsed="false">
      <c r="A1032" s="13" t="s">
        <v>2121</v>
      </c>
      <c r="B1032" s="14" t="s">
        <v>2122</v>
      </c>
      <c r="C1032" s="15" t="n">
        <v>800</v>
      </c>
      <c r="D1032" s="15" t="n">
        <v>540</v>
      </c>
      <c r="E1032" s="13" t="s">
        <v>82</v>
      </c>
      <c r="F1032" s="15" t="str">
        <f aca="false">IF(C1032&gt;=J1032,"ja","nein")</f>
        <v>nein</v>
      </c>
      <c r="G1032" s="15" t="str">
        <f aca="false">IF(C1032&gt;=K1032,"ja","nein")</f>
        <v>nein</v>
      </c>
      <c r="H1032" s="15" t="str">
        <f aca="false">IF(C1032&gt;=L1032,"ja","nein")</f>
        <v>nein</v>
      </c>
      <c r="I1032" s="15" t="str">
        <f aca="false">IF(C1032&gt;=M1032,"ja","nein")</f>
        <v>nein</v>
      </c>
      <c r="J1032" s="15" t="n">
        <f aca="false">ROUND(Annahmen!$K$35*(1+Annahmen!$B$20*D1032/1000),0)</f>
        <v>881</v>
      </c>
      <c r="K1032" s="15" t="n">
        <f aca="false">ROUND(Annahmen!$K$36*(1+Annahmen!$B$20*D1032/1000),0)</f>
        <v>1144</v>
      </c>
      <c r="L1032" s="15" t="n">
        <f aca="false">ROUND(Annahmen!$K$37*(1+Annahmen!$B$20*D1032/1000),0)</f>
        <v>1169</v>
      </c>
      <c r="M1032" s="15" t="n">
        <f aca="false">ROUND(Annahmen!$K$38*(1+Annahmen!$B$20*D1032/1000),0)</f>
        <v>1169</v>
      </c>
      <c r="N1032" s="16" t="s">
        <v>102</v>
      </c>
    </row>
    <row r="1033" customFormat="false" ht="15" hidden="false" customHeight="false" outlineLevel="0" collapsed="false">
      <c r="A1033" s="13" t="s">
        <v>2123</v>
      </c>
      <c r="B1033" s="14" t="s">
        <v>2124</v>
      </c>
      <c r="C1033" s="15" t="n">
        <v>800</v>
      </c>
      <c r="D1033" s="15" t="n">
        <v>39</v>
      </c>
      <c r="E1033" s="13" t="s">
        <v>82</v>
      </c>
      <c r="F1033" s="15" t="str">
        <f aca="false">IF(C1033&gt;=J1033,"ja","nein")</f>
        <v>nein</v>
      </c>
      <c r="G1033" s="15" t="str">
        <f aca="false">IF(C1033&gt;=K1033,"ja","nein")</f>
        <v>nein</v>
      </c>
      <c r="H1033" s="15" t="str">
        <f aca="false">IF(C1033&gt;=L1033,"ja","nein")</f>
        <v>nein</v>
      </c>
      <c r="I1033" s="15" t="str">
        <f aca="false">IF(C1033&gt;=M1033,"ja","nein")</f>
        <v>nein</v>
      </c>
      <c r="J1033" s="15" t="n">
        <f aca="false">ROUND(Annahmen!$K$35*(1+Annahmen!$B$20*D1033/1000),0)</f>
        <v>843</v>
      </c>
      <c r="K1033" s="15" t="n">
        <f aca="false">ROUND(Annahmen!$K$36*(1+Annahmen!$B$20*D1033/1000),0)</f>
        <v>1095</v>
      </c>
      <c r="L1033" s="15" t="n">
        <f aca="false">ROUND(Annahmen!$K$37*(1+Annahmen!$B$20*D1033/1000),0)</f>
        <v>1119</v>
      </c>
      <c r="M1033" s="15" t="n">
        <f aca="false">ROUND(Annahmen!$K$38*(1+Annahmen!$B$20*D1033/1000),0)</f>
        <v>1119</v>
      </c>
      <c r="N1033" s="16" t="s">
        <v>102</v>
      </c>
    </row>
    <row r="1034" customFormat="false" ht="15" hidden="false" customHeight="false" outlineLevel="0" collapsed="false">
      <c r="A1034" s="13" t="s">
        <v>2125</v>
      </c>
      <c r="B1034" s="14" t="s">
        <v>2126</v>
      </c>
      <c r="C1034" s="15" t="n">
        <v>799</v>
      </c>
      <c r="D1034" s="15" t="n">
        <v>296</v>
      </c>
      <c r="E1034" s="13" t="s">
        <v>82</v>
      </c>
      <c r="F1034" s="15" t="str">
        <f aca="false">IF(C1034&gt;=J1034,"ja","nein")</f>
        <v>nein</v>
      </c>
      <c r="G1034" s="15" t="str">
        <f aca="false">IF(C1034&gt;=K1034,"ja","nein")</f>
        <v>nein</v>
      </c>
      <c r="H1034" s="15" t="str">
        <f aca="false">IF(C1034&gt;=L1034,"ja","nein")</f>
        <v>nein</v>
      </c>
      <c r="I1034" s="15" t="str">
        <f aca="false">IF(C1034&gt;=M1034,"ja","nein")</f>
        <v>nein</v>
      </c>
      <c r="J1034" s="15" t="n">
        <f aca="false">ROUND(Annahmen!$K$35*(1+Annahmen!$B$20*D1034/1000),0)</f>
        <v>862</v>
      </c>
      <c r="K1034" s="15" t="n">
        <f aca="false">ROUND(Annahmen!$K$36*(1+Annahmen!$B$20*D1034/1000),0)</f>
        <v>1120</v>
      </c>
      <c r="L1034" s="15" t="n">
        <f aca="false">ROUND(Annahmen!$K$37*(1+Annahmen!$B$20*D1034/1000),0)</f>
        <v>1145</v>
      </c>
      <c r="M1034" s="15" t="n">
        <f aca="false">ROUND(Annahmen!$K$38*(1+Annahmen!$B$20*D1034/1000),0)</f>
        <v>1145</v>
      </c>
      <c r="N1034" s="16" t="s">
        <v>102</v>
      </c>
    </row>
    <row r="1035" customFormat="false" ht="15" hidden="false" customHeight="false" outlineLevel="0" collapsed="false">
      <c r="A1035" s="13" t="s">
        <v>2127</v>
      </c>
      <c r="B1035" s="14" t="s">
        <v>2128</v>
      </c>
      <c r="C1035" s="15" t="n">
        <v>799</v>
      </c>
      <c r="D1035" s="15" t="n">
        <v>423</v>
      </c>
      <c r="E1035" s="13" t="s">
        <v>82</v>
      </c>
      <c r="F1035" s="15" t="str">
        <f aca="false">IF(C1035&gt;=J1035,"ja","nein")</f>
        <v>nein</v>
      </c>
      <c r="G1035" s="15" t="str">
        <f aca="false">IF(C1035&gt;=K1035,"ja","nein")</f>
        <v>nein</v>
      </c>
      <c r="H1035" s="15" t="str">
        <f aca="false">IF(C1035&gt;=L1035,"ja","nein")</f>
        <v>nein</v>
      </c>
      <c r="I1035" s="15" t="str">
        <f aca="false">IF(C1035&gt;=M1035,"ja","nein")</f>
        <v>nein</v>
      </c>
      <c r="J1035" s="15" t="n">
        <f aca="false">ROUND(Annahmen!$K$35*(1+Annahmen!$B$20*D1035/1000),0)</f>
        <v>872</v>
      </c>
      <c r="K1035" s="15" t="n">
        <f aca="false">ROUND(Annahmen!$K$36*(1+Annahmen!$B$20*D1035/1000),0)</f>
        <v>1133</v>
      </c>
      <c r="L1035" s="15" t="n">
        <f aca="false">ROUND(Annahmen!$K$37*(1+Annahmen!$B$20*D1035/1000),0)</f>
        <v>1157</v>
      </c>
      <c r="M1035" s="15" t="n">
        <f aca="false">ROUND(Annahmen!$K$38*(1+Annahmen!$B$20*D1035/1000),0)</f>
        <v>1157</v>
      </c>
      <c r="N1035" s="16" t="s">
        <v>102</v>
      </c>
    </row>
    <row r="1036" customFormat="false" ht="15" hidden="false" customHeight="false" outlineLevel="0" collapsed="false">
      <c r="A1036" s="13" t="s">
        <v>2129</v>
      </c>
      <c r="B1036" s="14" t="s">
        <v>2130</v>
      </c>
      <c r="C1036" s="15" t="n">
        <v>789</v>
      </c>
      <c r="D1036" s="15" t="n">
        <v>200</v>
      </c>
      <c r="E1036" s="13" t="s">
        <v>82</v>
      </c>
      <c r="F1036" s="15" t="str">
        <f aca="false">IF(C1036&gt;=J1036,"ja","nein")</f>
        <v>nein</v>
      </c>
      <c r="G1036" s="15" t="str">
        <f aca="false">IF(C1036&gt;=K1036,"ja","nein")</f>
        <v>nein</v>
      </c>
      <c r="H1036" s="15" t="str">
        <f aca="false">IF(C1036&gt;=L1036,"ja","nein")</f>
        <v>nein</v>
      </c>
      <c r="I1036" s="15" t="str">
        <f aca="false">IF(C1036&gt;=M1036,"ja","nein")</f>
        <v>nein</v>
      </c>
      <c r="J1036" s="15" t="n">
        <f aca="false">ROUND(Annahmen!$K$35*(1+Annahmen!$B$20*D1036/1000),0)</f>
        <v>855</v>
      </c>
      <c r="K1036" s="15" t="n">
        <f aca="false">ROUND(Annahmen!$K$36*(1+Annahmen!$B$20*D1036/1000),0)</f>
        <v>1111</v>
      </c>
      <c r="L1036" s="15" t="n">
        <f aca="false">ROUND(Annahmen!$K$37*(1+Annahmen!$B$20*D1036/1000),0)</f>
        <v>1135</v>
      </c>
      <c r="M1036" s="15" t="n">
        <f aca="false">ROUND(Annahmen!$K$38*(1+Annahmen!$B$20*D1036/1000),0)</f>
        <v>1135</v>
      </c>
      <c r="N1036" s="16" t="s">
        <v>102</v>
      </c>
    </row>
    <row r="1037" customFormat="false" ht="15" hidden="false" customHeight="false" outlineLevel="0" collapsed="false">
      <c r="A1037" s="13" t="s">
        <v>2131</v>
      </c>
      <c r="B1037" s="14" t="s">
        <v>2132</v>
      </c>
      <c r="C1037" s="15" t="n">
        <v>762</v>
      </c>
      <c r="D1037" s="15" t="n">
        <v>0</v>
      </c>
      <c r="E1037" s="13" t="s">
        <v>82</v>
      </c>
      <c r="F1037" s="15" t="str">
        <f aca="false">IF(C1037&gt;=J1037,"ja","nein")</f>
        <v>nein</v>
      </c>
      <c r="G1037" s="15" t="str">
        <f aca="false">IF(C1037&gt;=K1037,"ja","nein")</f>
        <v>nein</v>
      </c>
      <c r="H1037" s="15" t="str">
        <f aca="false">IF(C1037&gt;=L1037,"ja","nein")</f>
        <v>nein</v>
      </c>
      <c r="I1037" s="15" t="str">
        <f aca="false">IF(C1037&gt;=M1037,"ja","nein")</f>
        <v>nein</v>
      </c>
      <c r="J1037" s="15" t="n">
        <f aca="false">ROUND(Annahmen!$K$35*(1+Annahmen!$B$20*D1037/1000),0)</f>
        <v>840</v>
      </c>
      <c r="K1037" s="15" t="n">
        <f aca="false">ROUND(Annahmen!$K$36*(1+Annahmen!$B$20*D1037/1000),0)</f>
        <v>1091</v>
      </c>
      <c r="L1037" s="15" t="n">
        <f aca="false">ROUND(Annahmen!$K$37*(1+Annahmen!$B$20*D1037/1000),0)</f>
        <v>1115</v>
      </c>
      <c r="M1037" s="15" t="n">
        <f aca="false">ROUND(Annahmen!$K$38*(1+Annahmen!$B$20*D1037/1000),0)</f>
        <v>1115</v>
      </c>
      <c r="N1037" s="16" t="s">
        <v>102</v>
      </c>
    </row>
    <row r="1038" customFormat="false" ht="15" hidden="false" customHeight="false" outlineLevel="0" collapsed="false">
      <c r="A1038" s="13" t="s">
        <v>2133</v>
      </c>
      <c r="B1038" s="14" t="s">
        <v>2134</v>
      </c>
      <c r="C1038" s="15" t="n">
        <v>676</v>
      </c>
      <c r="D1038" s="15" t="n">
        <v>69</v>
      </c>
      <c r="E1038" s="13" t="s">
        <v>82</v>
      </c>
      <c r="F1038" s="15" t="str">
        <f aca="false">IF(C1038&gt;=J1038,"ja","nein")</f>
        <v>nein</v>
      </c>
      <c r="G1038" s="15" t="str">
        <f aca="false">IF(C1038&gt;=K1038,"ja","nein")</f>
        <v>nein</v>
      </c>
      <c r="H1038" s="15" t="str">
        <f aca="false">IF(C1038&gt;=L1038,"ja","nein")</f>
        <v>nein</v>
      </c>
      <c r="I1038" s="15" t="str">
        <f aca="false">IF(C1038&gt;=M1038,"ja","nein")</f>
        <v>nein</v>
      </c>
      <c r="J1038" s="15" t="n">
        <f aca="false">ROUND(Annahmen!$K$35*(1+Annahmen!$B$20*D1038/1000),0)</f>
        <v>845</v>
      </c>
      <c r="K1038" s="15" t="n">
        <f aca="false">ROUND(Annahmen!$K$36*(1+Annahmen!$B$20*D1038/1000),0)</f>
        <v>1098</v>
      </c>
      <c r="L1038" s="15" t="n">
        <f aca="false">ROUND(Annahmen!$K$37*(1+Annahmen!$B$20*D1038/1000),0)</f>
        <v>1122</v>
      </c>
      <c r="M1038" s="15" t="n">
        <f aca="false">ROUND(Annahmen!$K$38*(1+Annahmen!$B$20*D1038/1000),0)</f>
        <v>1122</v>
      </c>
      <c r="N1038" s="16" t="s">
        <v>102</v>
      </c>
    </row>
    <row r="1039" customFormat="false" ht="15" hidden="false" customHeight="false" outlineLevel="0" collapsed="false">
      <c r="A1039" s="13" t="s">
        <v>2135</v>
      </c>
      <c r="B1039" s="14" t="s">
        <v>2136</v>
      </c>
      <c r="C1039" s="15" t="n">
        <v>618</v>
      </c>
      <c r="D1039" s="15" t="n">
        <v>210</v>
      </c>
      <c r="E1039" s="13" t="s">
        <v>82</v>
      </c>
      <c r="F1039" s="15" t="str">
        <f aca="false">IF(C1039&gt;=J1039,"ja","nein")</f>
        <v>nein</v>
      </c>
      <c r="G1039" s="15" t="str">
        <f aca="false">IF(C1039&gt;=K1039,"ja","nein")</f>
        <v>nein</v>
      </c>
      <c r="H1039" s="15" t="str">
        <f aca="false">IF(C1039&gt;=L1039,"ja","nein")</f>
        <v>nein</v>
      </c>
      <c r="I1039" s="15" t="str">
        <f aca="false">IF(C1039&gt;=M1039,"ja","nein")</f>
        <v>nein</v>
      </c>
      <c r="J1039" s="15" t="n">
        <f aca="false">ROUND(Annahmen!$K$35*(1+Annahmen!$B$20*D1039/1000),0)</f>
        <v>856</v>
      </c>
      <c r="K1039" s="15" t="n">
        <f aca="false">ROUND(Annahmen!$K$36*(1+Annahmen!$B$20*D1039/1000),0)</f>
        <v>1112</v>
      </c>
      <c r="L1039" s="15" t="n">
        <f aca="false">ROUND(Annahmen!$K$37*(1+Annahmen!$B$20*D1039/1000),0)</f>
        <v>1136</v>
      </c>
      <c r="M1039" s="15" t="n">
        <f aca="false">ROUND(Annahmen!$K$38*(1+Annahmen!$B$20*D1039/1000),0)</f>
        <v>1136</v>
      </c>
      <c r="N1039" s="16" t="s">
        <v>102</v>
      </c>
    </row>
    <row r="1040" customFormat="false" ht="15" hidden="false" customHeight="false" outlineLevel="0" collapsed="false">
      <c r="A1040" s="13" t="s">
        <v>2137</v>
      </c>
      <c r="B1040" s="14" t="s">
        <v>2138</v>
      </c>
      <c r="C1040" s="15" t="n">
        <v>600</v>
      </c>
      <c r="D1040" s="15" t="n">
        <v>27</v>
      </c>
      <c r="E1040" s="13" t="s">
        <v>82</v>
      </c>
      <c r="F1040" s="15" t="str">
        <f aca="false">IF(C1040&gt;=J1040,"ja","nein")</f>
        <v>nein</v>
      </c>
      <c r="G1040" s="15" t="str">
        <f aca="false">IF(C1040&gt;=K1040,"ja","nein")</f>
        <v>nein</v>
      </c>
      <c r="H1040" s="15" t="str">
        <f aca="false">IF(C1040&gt;=L1040,"ja","nein")</f>
        <v>nein</v>
      </c>
      <c r="I1040" s="15" t="str">
        <f aca="false">IF(C1040&gt;=M1040,"ja","nein")</f>
        <v>nein</v>
      </c>
      <c r="J1040" s="15" t="n">
        <f aca="false">ROUND(Annahmen!$K$35*(1+Annahmen!$B$20*D1040/1000),0)</f>
        <v>842</v>
      </c>
      <c r="K1040" s="15" t="n">
        <f aca="false">ROUND(Annahmen!$K$36*(1+Annahmen!$B$20*D1040/1000),0)</f>
        <v>1094</v>
      </c>
      <c r="L1040" s="15" t="n">
        <f aca="false">ROUND(Annahmen!$K$37*(1+Annahmen!$B$20*D1040/1000),0)</f>
        <v>1118</v>
      </c>
      <c r="M1040" s="15" t="n">
        <f aca="false">ROUND(Annahmen!$K$38*(1+Annahmen!$B$20*D1040/1000),0)</f>
        <v>1118</v>
      </c>
      <c r="N1040" s="16" t="s">
        <v>102</v>
      </c>
    </row>
    <row r="1041" customFormat="false" ht="15" hidden="false" customHeight="false" outlineLevel="0" collapsed="false">
      <c r="A1041" s="11" t="s">
        <v>2139</v>
      </c>
      <c r="B1041" s="12"/>
      <c r="C1041" s="12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</row>
    <row r="1042" customFormat="false" ht="15" hidden="false" customHeight="false" outlineLevel="0" collapsed="false">
      <c r="A1042" s="13" t="s">
        <v>2140</v>
      </c>
      <c r="B1042" s="14" t="s">
        <v>2141</v>
      </c>
      <c r="C1042" s="15" t="n">
        <v>3900</v>
      </c>
      <c r="D1042" s="15" t="n">
        <v>1411</v>
      </c>
      <c r="E1042" s="13" t="s">
        <v>82</v>
      </c>
      <c r="F1042" s="15" t="str">
        <f aca="false">IF(C1042&gt;=J1042,"ja","nein")</f>
        <v>ja</v>
      </c>
      <c r="G1042" s="15" t="str">
        <f aca="false">IF(C1042&gt;=K1042,"ja","nein")</f>
        <v>ja</v>
      </c>
      <c r="H1042" s="15" t="str">
        <f aca="false">IF(C1042&gt;=L1042,"ja","nein")</f>
        <v>ja</v>
      </c>
      <c r="I1042" s="15" t="str">
        <f aca="false">IF(C1042&gt;=M1042,"ja","nein")</f>
        <v>ja</v>
      </c>
      <c r="J1042" s="15" t="n">
        <f aca="false">ROUND(Annahmen!$K$35*(1+Annahmen!$B$20*D1042/1000),0)</f>
        <v>947</v>
      </c>
      <c r="K1042" s="15" t="n">
        <f aca="false">ROUND(Annahmen!$K$36*(1+Annahmen!$B$20*D1042/1000),0)</f>
        <v>1230</v>
      </c>
      <c r="L1042" s="15" t="n">
        <f aca="false">ROUND(Annahmen!$K$37*(1+Annahmen!$B$20*D1042/1000),0)</f>
        <v>1257</v>
      </c>
      <c r="M1042" s="15" t="n">
        <f aca="false">ROUND(Annahmen!$K$38*(1+Annahmen!$B$20*D1042/1000),0)</f>
        <v>1257</v>
      </c>
      <c r="N1042" s="16" t="s">
        <v>83</v>
      </c>
    </row>
    <row r="1043" customFormat="false" ht="15" hidden="false" customHeight="false" outlineLevel="0" collapsed="false">
      <c r="A1043" s="13" t="s">
        <v>2142</v>
      </c>
      <c r="B1043" s="14" t="s">
        <v>2143</v>
      </c>
      <c r="C1043" s="15" t="n">
        <v>3700</v>
      </c>
      <c r="D1043" s="15" t="n">
        <v>1417</v>
      </c>
      <c r="E1043" s="13" t="s">
        <v>82</v>
      </c>
      <c r="F1043" s="15" t="str">
        <f aca="false">IF(C1043&gt;=J1043,"ja","nein")</f>
        <v>ja</v>
      </c>
      <c r="G1043" s="15" t="str">
        <f aca="false">IF(C1043&gt;=K1043,"ja","nein")</f>
        <v>ja</v>
      </c>
      <c r="H1043" s="15" t="str">
        <f aca="false">IF(C1043&gt;=L1043,"ja","nein")</f>
        <v>ja</v>
      </c>
      <c r="I1043" s="15" t="str">
        <f aca="false">IF(C1043&gt;=M1043,"ja","nein")</f>
        <v>ja</v>
      </c>
      <c r="J1043" s="15" t="n">
        <f aca="false">ROUND(Annahmen!$K$35*(1+Annahmen!$B$20*D1043/1000),0)</f>
        <v>947</v>
      </c>
      <c r="K1043" s="15" t="n">
        <f aca="false">ROUND(Annahmen!$K$36*(1+Annahmen!$B$20*D1043/1000),0)</f>
        <v>1230</v>
      </c>
      <c r="L1043" s="15" t="n">
        <f aca="false">ROUND(Annahmen!$K$37*(1+Annahmen!$B$20*D1043/1000),0)</f>
        <v>1257</v>
      </c>
      <c r="M1043" s="15" t="n">
        <f aca="false">ROUND(Annahmen!$K$38*(1+Annahmen!$B$20*D1043/1000),0)</f>
        <v>1257</v>
      </c>
      <c r="N1043" s="16" t="s">
        <v>83</v>
      </c>
    </row>
    <row r="1044" customFormat="false" ht="15" hidden="false" customHeight="false" outlineLevel="0" collapsed="false">
      <c r="A1044" s="13" t="s">
        <v>2144</v>
      </c>
      <c r="B1044" s="14" t="s">
        <v>2145</v>
      </c>
      <c r="C1044" s="15" t="n">
        <v>2000</v>
      </c>
      <c r="D1044" s="15" t="n">
        <v>1582</v>
      </c>
      <c r="E1044" s="13" t="s">
        <v>82</v>
      </c>
      <c r="F1044" s="15" t="str">
        <f aca="false">IF(C1044&gt;=J1044,"ja","nein")</f>
        <v>ja</v>
      </c>
      <c r="G1044" s="15" t="str">
        <f aca="false">IF(C1044&gt;=K1044,"ja","nein")</f>
        <v>ja</v>
      </c>
      <c r="H1044" s="15" t="str">
        <f aca="false">IF(C1044&gt;=L1044,"ja","nein")</f>
        <v>ja</v>
      </c>
      <c r="I1044" s="15" t="str">
        <f aca="false">IF(C1044&gt;=M1044,"ja","nein")</f>
        <v>ja</v>
      </c>
      <c r="J1044" s="15" t="n">
        <f aca="false">ROUND(Annahmen!$K$35*(1+Annahmen!$B$20*D1044/1000),0)</f>
        <v>960</v>
      </c>
      <c r="K1044" s="15" t="n">
        <f aca="false">ROUND(Annahmen!$K$36*(1+Annahmen!$B$20*D1044/1000),0)</f>
        <v>1246</v>
      </c>
      <c r="L1044" s="15" t="n">
        <f aca="false">ROUND(Annahmen!$K$37*(1+Annahmen!$B$20*D1044/1000),0)</f>
        <v>1274</v>
      </c>
      <c r="M1044" s="15" t="n">
        <f aca="false">ROUND(Annahmen!$K$38*(1+Annahmen!$B$20*D1044/1000),0)</f>
        <v>1274</v>
      </c>
      <c r="N1044" s="16" t="s">
        <v>86</v>
      </c>
    </row>
    <row r="1045" customFormat="false" ht="15" hidden="false" customHeight="false" outlineLevel="0" collapsed="false">
      <c r="A1045" s="13" t="s">
        <v>2146</v>
      </c>
      <c r="B1045" s="14" t="s">
        <v>2147</v>
      </c>
      <c r="C1045" s="15" t="n">
        <v>2000</v>
      </c>
      <c r="D1045" s="15" t="n">
        <v>1475</v>
      </c>
      <c r="E1045" s="13" t="s">
        <v>82</v>
      </c>
      <c r="F1045" s="15" t="str">
        <f aca="false">IF(C1045&gt;=J1045,"ja","nein")</f>
        <v>ja</v>
      </c>
      <c r="G1045" s="15" t="str">
        <f aca="false">IF(C1045&gt;=K1045,"ja","nein")</f>
        <v>ja</v>
      </c>
      <c r="H1045" s="15" t="str">
        <f aca="false">IF(C1045&gt;=L1045,"ja","nein")</f>
        <v>ja</v>
      </c>
      <c r="I1045" s="15" t="str">
        <f aca="false">IF(C1045&gt;=M1045,"ja","nein")</f>
        <v>ja</v>
      </c>
      <c r="J1045" s="15" t="n">
        <f aca="false">ROUND(Annahmen!$K$35*(1+Annahmen!$B$20*D1045/1000),0)</f>
        <v>952</v>
      </c>
      <c r="K1045" s="15" t="n">
        <f aca="false">ROUND(Annahmen!$K$36*(1+Annahmen!$B$20*D1045/1000),0)</f>
        <v>1236</v>
      </c>
      <c r="L1045" s="15" t="n">
        <f aca="false">ROUND(Annahmen!$K$37*(1+Annahmen!$B$20*D1045/1000),0)</f>
        <v>1263</v>
      </c>
      <c r="M1045" s="15" t="n">
        <f aca="false">ROUND(Annahmen!$K$38*(1+Annahmen!$B$20*D1045/1000),0)</f>
        <v>1263</v>
      </c>
      <c r="N1045" s="16" t="s">
        <v>102</v>
      </c>
    </row>
    <row r="1046" customFormat="false" ht="15" hidden="false" customHeight="false" outlineLevel="0" collapsed="false">
      <c r="A1046" s="13" t="s">
        <v>2148</v>
      </c>
      <c r="B1046" s="14" t="s">
        <v>2149</v>
      </c>
      <c r="C1046" s="15" t="n">
        <v>1800</v>
      </c>
      <c r="D1046" s="15" t="n">
        <v>1485</v>
      </c>
      <c r="E1046" s="13" t="s">
        <v>82</v>
      </c>
      <c r="F1046" s="15" t="str">
        <f aca="false">IF(C1046&gt;=J1046,"ja","nein")</f>
        <v>ja</v>
      </c>
      <c r="G1046" s="15" t="str">
        <f aca="false">IF(C1046&gt;=K1046,"ja","nein")</f>
        <v>ja</v>
      </c>
      <c r="H1046" s="15" t="str">
        <f aca="false">IF(C1046&gt;=L1046,"ja","nein")</f>
        <v>ja</v>
      </c>
      <c r="I1046" s="15" t="str">
        <f aca="false">IF(C1046&gt;=M1046,"ja","nein")</f>
        <v>ja</v>
      </c>
      <c r="J1046" s="15" t="n">
        <f aca="false">ROUND(Annahmen!$K$35*(1+Annahmen!$B$20*D1046/1000),0)</f>
        <v>952</v>
      </c>
      <c r="K1046" s="15" t="n">
        <f aca="false">ROUND(Annahmen!$K$36*(1+Annahmen!$B$20*D1046/1000),0)</f>
        <v>1237</v>
      </c>
      <c r="L1046" s="15" t="n">
        <f aca="false">ROUND(Annahmen!$K$37*(1+Annahmen!$B$20*D1046/1000),0)</f>
        <v>1264</v>
      </c>
      <c r="M1046" s="15" t="n">
        <f aca="false">ROUND(Annahmen!$K$38*(1+Annahmen!$B$20*D1046/1000),0)</f>
        <v>1264</v>
      </c>
      <c r="N1046" s="16" t="s">
        <v>102</v>
      </c>
    </row>
    <row r="1047" customFormat="false" ht="15" hidden="false" customHeight="false" outlineLevel="0" collapsed="false">
      <c r="A1047" s="13" t="s">
        <v>2150</v>
      </c>
      <c r="B1047" s="14" t="s">
        <v>2151</v>
      </c>
      <c r="C1047" s="15" t="n">
        <v>1800</v>
      </c>
      <c r="D1047" s="15" t="n">
        <v>5600</v>
      </c>
      <c r="E1047" s="13" t="s">
        <v>82</v>
      </c>
      <c r="F1047" s="15" t="str">
        <f aca="false">IF(C1047&gt;=J1047,"ja","nein")</f>
        <v>ja</v>
      </c>
      <c r="G1047" s="15" t="str">
        <f aca="false">IF(C1047&gt;=K1047,"ja","nein")</f>
        <v>ja</v>
      </c>
      <c r="H1047" s="15" t="str">
        <f aca="false">IF(C1047&gt;=L1047,"ja","nein")</f>
        <v>ja</v>
      </c>
      <c r="I1047" s="15" t="str">
        <f aca="false">IF(C1047&gt;=M1047,"ja","nein")</f>
        <v>ja</v>
      </c>
      <c r="J1047" s="15" t="n">
        <f aca="false">ROUND(Annahmen!$K$35*(1+Annahmen!$B$20*D1047/1000),0)</f>
        <v>1263</v>
      </c>
      <c r="K1047" s="15" t="n">
        <f aca="false">ROUND(Annahmen!$K$36*(1+Annahmen!$B$20*D1047/1000),0)</f>
        <v>1641</v>
      </c>
      <c r="L1047" s="15" t="n">
        <f aca="false">ROUND(Annahmen!$K$37*(1+Annahmen!$B$20*D1047/1000),0)</f>
        <v>1677</v>
      </c>
      <c r="M1047" s="15" t="n">
        <f aca="false">ROUND(Annahmen!$K$38*(1+Annahmen!$B$20*D1047/1000),0)</f>
        <v>1677</v>
      </c>
      <c r="N1047" s="16" t="s">
        <v>86</v>
      </c>
    </row>
    <row r="1048" customFormat="false" ht="15" hidden="false" customHeight="false" outlineLevel="0" collapsed="false">
      <c r="A1048" s="13" t="s">
        <v>2152</v>
      </c>
      <c r="B1048" s="14" t="s">
        <v>2153</v>
      </c>
      <c r="C1048" s="15" t="n">
        <v>1740</v>
      </c>
      <c r="D1048" s="15" t="n">
        <v>3304</v>
      </c>
      <c r="E1048" s="13" t="s">
        <v>82</v>
      </c>
      <c r="F1048" s="15" t="str">
        <f aca="false">IF(C1048&gt;=J1048,"ja","nein")</f>
        <v>ja</v>
      </c>
      <c r="G1048" s="15" t="str">
        <f aca="false">IF(C1048&gt;=K1048,"ja","nein")</f>
        <v>ja</v>
      </c>
      <c r="H1048" s="15" t="str">
        <f aca="false">IF(C1048&gt;=L1048,"ja","nein")</f>
        <v>ja</v>
      </c>
      <c r="I1048" s="15" t="str">
        <f aca="false">IF(C1048&gt;=M1048,"ja","nein")</f>
        <v>ja</v>
      </c>
      <c r="J1048" s="15" t="n">
        <f aca="false">ROUND(Annahmen!$K$35*(1+Annahmen!$B$20*D1048/1000),0)</f>
        <v>1090</v>
      </c>
      <c r="K1048" s="15" t="n">
        <f aca="false">ROUND(Annahmen!$K$36*(1+Annahmen!$B$20*D1048/1000),0)</f>
        <v>1415</v>
      </c>
      <c r="L1048" s="15" t="n">
        <f aca="false">ROUND(Annahmen!$K$37*(1+Annahmen!$B$20*D1048/1000),0)</f>
        <v>1447</v>
      </c>
      <c r="M1048" s="15" t="n">
        <f aca="false">ROUND(Annahmen!$K$38*(1+Annahmen!$B$20*D1048/1000),0)</f>
        <v>1447</v>
      </c>
      <c r="N1048" s="16" t="s">
        <v>102</v>
      </c>
    </row>
    <row r="1049" customFormat="false" ht="15" hidden="false" customHeight="false" outlineLevel="0" collapsed="false">
      <c r="A1049" s="13" t="s">
        <v>2154</v>
      </c>
      <c r="B1049" s="14" t="s">
        <v>2155</v>
      </c>
      <c r="C1049" s="15" t="n">
        <v>1730</v>
      </c>
      <c r="D1049" s="15" t="n">
        <v>1671</v>
      </c>
      <c r="E1049" s="13" t="s">
        <v>82</v>
      </c>
      <c r="F1049" s="15" t="str">
        <f aca="false">IF(C1049&gt;=J1049,"ja","nein")</f>
        <v>ja</v>
      </c>
      <c r="G1049" s="15" t="str">
        <f aca="false">IF(C1049&gt;=K1049,"ja","nein")</f>
        <v>ja</v>
      </c>
      <c r="H1049" s="15" t="str">
        <f aca="false">IF(C1049&gt;=L1049,"ja","nein")</f>
        <v>ja</v>
      </c>
      <c r="I1049" s="15" t="str">
        <f aca="false">IF(C1049&gt;=M1049,"ja","nein")</f>
        <v>ja</v>
      </c>
      <c r="J1049" s="15" t="n">
        <f aca="false">ROUND(Annahmen!$K$35*(1+Annahmen!$B$20*D1049/1000),0)</f>
        <v>966</v>
      </c>
      <c r="K1049" s="15" t="n">
        <f aca="false">ROUND(Annahmen!$K$36*(1+Annahmen!$B$20*D1049/1000),0)</f>
        <v>1255</v>
      </c>
      <c r="L1049" s="15" t="n">
        <f aca="false">ROUND(Annahmen!$K$37*(1+Annahmen!$B$20*D1049/1000),0)</f>
        <v>1283</v>
      </c>
      <c r="M1049" s="15" t="n">
        <f aca="false">ROUND(Annahmen!$K$38*(1+Annahmen!$B$20*D1049/1000),0)</f>
        <v>1283</v>
      </c>
      <c r="N1049" s="16" t="s">
        <v>86</v>
      </c>
    </row>
    <row r="1050" customFormat="false" ht="15" hidden="false" customHeight="false" outlineLevel="0" collapsed="false">
      <c r="A1050" s="13" t="s">
        <v>2156</v>
      </c>
      <c r="B1050" s="14" t="s">
        <v>2157</v>
      </c>
      <c r="C1050" s="15" t="n">
        <v>1466</v>
      </c>
      <c r="D1050" s="15" t="n">
        <v>3307</v>
      </c>
      <c r="E1050" s="13" t="s">
        <v>82</v>
      </c>
      <c r="F1050" s="15" t="str">
        <f aca="false">IF(C1050&gt;=J1050,"ja","nein")</f>
        <v>ja</v>
      </c>
      <c r="G1050" s="15" t="str">
        <f aca="false">IF(C1050&gt;=K1050,"ja","nein")</f>
        <v>ja</v>
      </c>
      <c r="H1050" s="15" t="str">
        <f aca="false">IF(C1050&gt;=L1050,"ja","nein")</f>
        <v>ja</v>
      </c>
      <c r="I1050" s="15" t="str">
        <f aca="false">IF(C1050&gt;=M1050,"ja","nein")</f>
        <v>ja</v>
      </c>
      <c r="J1050" s="15" t="n">
        <f aca="false">ROUND(Annahmen!$K$35*(1+Annahmen!$B$20*D1050/1000),0)</f>
        <v>1090</v>
      </c>
      <c r="K1050" s="15" t="n">
        <f aca="false">ROUND(Annahmen!$K$36*(1+Annahmen!$B$20*D1050/1000),0)</f>
        <v>1416</v>
      </c>
      <c r="L1050" s="15" t="n">
        <f aca="false">ROUND(Annahmen!$K$37*(1+Annahmen!$B$20*D1050/1000),0)</f>
        <v>1447</v>
      </c>
      <c r="M1050" s="15" t="n">
        <f aca="false">ROUND(Annahmen!$K$38*(1+Annahmen!$B$20*D1050/1000),0)</f>
        <v>1447</v>
      </c>
      <c r="N1050" s="16" t="s">
        <v>102</v>
      </c>
    </row>
    <row r="1051" customFormat="false" ht="15" hidden="false" customHeight="false" outlineLevel="0" collapsed="false">
      <c r="A1051" s="13" t="s">
        <v>2158</v>
      </c>
      <c r="B1051" s="14" t="s">
        <v>2159</v>
      </c>
      <c r="C1051" s="15" t="n">
        <v>1455</v>
      </c>
      <c r="D1051" s="15" t="n">
        <v>1306</v>
      </c>
      <c r="E1051" s="13" t="s">
        <v>82</v>
      </c>
      <c r="F1051" s="15" t="str">
        <f aca="false">IF(C1051&gt;=J1051,"ja","nein")</f>
        <v>ja</v>
      </c>
      <c r="G1051" s="15" t="str">
        <f aca="false">IF(C1051&gt;=K1051,"ja","nein")</f>
        <v>ja</v>
      </c>
      <c r="H1051" s="15" t="str">
        <f aca="false">IF(C1051&gt;=L1051,"ja","nein")</f>
        <v>ja</v>
      </c>
      <c r="I1051" s="15" t="str">
        <f aca="false">IF(C1051&gt;=M1051,"ja","nein")</f>
        <v>ja</v>
      </c>
      <c r="J1051" s="15" t="n">
        <f aca="false">ROUND(Annahmen!$K$35*(1+Annahmen!$B$20*D1051/1000),0)</f>
        <v>939</v>
      </c>
      <c r="K1051" s="15" t="n">
        <f aca="false">ROUND(Annahmen!$K$36*(1+Annahmen!$B$20*D1051/1000),0)</f>
        <v>1219</v>
      </c>
      <c r="L1051" s="15" t="n">
        <f aca="false">ROUND(Annahmen!$K$37*(1+Annahmen!$B$20*D1051/1000),0)</f>
        <v>1246</v>
      </c>
      <c r="M1051" s="15" t="n">
        <f aca="false">ROUND(Annahmen!$K$38*(1+Annahmen!$B$20*D1051/1000),0)</f>
        <v>1246</v>
      </c>
      <c r="N1051" s="16" t="s">
        <v>86</v>
      </c>
    </row>
    <row r="1052" customFormat="false" ht="15" hidden="false" customHeight="false" outlineLevel="0" collapsed="false">
      <c r="A1052" s="13" t="s">
        <v>2160</v>
      </c>
      <c r="B1052" s="14" t="s">
        <v>2161</v>
      </c>
      <c r="C1052" s="15" t="n">
        <v>1415</v>
      </c>
      <c r="D1052" s="15" t="n">
        <v>915</v>
      </c>
      <c r="E1052" s="13" t="s">
        <v>82</v>
      </c>
      <c r="F1052" s="15" t="str">
        <f aca="false">IF(C1052&gt;=J1052,"ja","nein")</f>
        <v>ja</v>
      </c>
      <c r="G1052" s="15" t="str">
        <f aca="false">IF(C1052&gt;=K1052,"ja","nein")</f>
        <v>ja</v>
      </c>
      <c r="H1052" s="15" t="str">
        <f aca="false">IF(C1052&gt;=L1052,"ja","nein")</f>
        <v>ja</v>
      </c>
      <c r="I1052" s="15" t="str">
        <f aca="false">IF(C1052&gt;=M1052,"ja","nein")</f>
        <v>ja</v>
      </c>
      <c r="J1052" s="15" t="n">
        <f aca="false">ROUND(Annahmen!$K$35*(1+Annahmen!$B$20*D1052/1000),0)</f>
        <v>909</v>
      </c>
      <c r="K1052" s="15" t="n">
        <f aca="false">ROUND(Annahmen!$K$36*(1+Annahmen!$B$20*D1052/1000),0)</f>
        <v>1181</v>
      </c>
      <c r="L1052" s="15" t="n">
        <f aca="false">ROUND(Annahmen!$K$37*(1+Annahmen!$B$20*D1052/1000),0)</f>
        <v>1207</v>
      </c>
      <c r="M1052" s="15" t="n">
        <f aca="false">ROUND(Annahmen!$K$38*(1+Annahmen!$B$20*D1052/1000),0)</f>
        <v>1207</v>
      </c>
      <c r="N1052" s="16" t="s">
        <v>86</v>
      </c>
    </row>
    <row r="1053" customFormat="false" ht="15" hidden="false" customHeight="false" outlineLevel="0" collapsed="false">
      <c r="A1053" s="13" t="s">
        <v>2162</v>
      </c>
      <c r="B1053" s="14" t="s">
        <v>2163</v>
      </c>
      <c r="C1053" s="15" t="n">
        <v>1237</v>
      </c>
      <c r="D1053" s="15" t="n">
        <v>3241</v>
      </c>
      <c r="E1053" s="13" t="s">
        <v>82</v>
      </c>
      <c r="F1053" s="15" t="str">
        <f aca="false">IF(C1053&gt;=J1053,"ja","nein")</f>
        <v>ja</v>
      </c>
      <c r="G1053" s="15" t="str">
        <f aca="false">IF(C1053&gt;=K1053,"ja","nein")</f>
        <v>nein</v>
      </c>
      <c r="H1053" s="15" t="str">
        <f aca="false">IF(C1053&gt;=L1053,"ja","nein")</f>
        <v>nein</v>
      </c>
      <c r="I1053" s="15" t="str">
        <f aca="false">IF(C1053&gt;=M1053,"ja","nein")</f>
        <v>nein</v>
      </c>
      <c r="J1053" s="15" t="n">
        <f aca="false">ROUND(Annahmen!$K$35*(1+Annahmen!$B$20*D1053/1000),0)</f>
        <v>1085</v>
      </c>
      <c r="K1053" s="15" t="n">
        <f aca="false">ROUND(Annahmen!$K$36*(1+Annahmen!$B$20*D1053/1000),0)</f>
        <v>1409</v>
      </c>
      <c r="L1053" s="15" t="n">
        <f aca="false">ROUND(Annahmen!$K$37*(1+Annahmen!$B$20*D1053/1000),0)</f>
        <v>1440</v>
      </c>
      <c r="M1053" s="15" t="n">
        <f aca="false">ROUND(Annahmen!$K$38*(1+Annahmen!$B$20*D1053/1000),0)</f>
        <v>1440</v>
      </c>
      <c r="N1053" s="16" t="s">
        <v>102</v>
      </c>
    </row>
    <row r="1054" customFormat="false" ht="15" hidden="false" customHeight="false" outlineLevel="0" collapsed="false">
      <c r="A1054" s="13" t="s">
        <v>2164</v>
      </c>
      <c r="B1054" s="14" t="s">
        <v>2165</v>
      </c>
      <c r="C1054" s="15" t="n">
        <v>1130</v>
      </c>
      <c r="D1054" s="15" t="n">
        <v>3368</v>
      </c>
      <c r="E1054" s="13" t="s">
        <v>82</v>
      </c>
      <c r="F1054" s="15" t="str">
        <f aca="false">IF(C1054&gt;=J1054,"ja","nein")</f>
        <v>ja</v>
      </c>
      <c r="G1054" s="15" t="str">
        <f aca="false">IF(C1054&gt;=K1054,"ja","nein")</f>
        <v>nein</v>
      </c>
      <c r="H1054" s="15" t="str">
        <f aca="false">IF(C1054&gt;=L1054,"ja","nein")</f>
        <v>nein</v>
      </c>
      <c r="I1054" s="15" t="str">
        <f aca="false">IF(C1054&gt;=M1054,"ja","nein")</f>
        <v>nein</v>
      </c>
      <c r="J1054" s="15" t="n">
        <f aca="false">ROUND(Annahmen!$K$35*(1+Annahmen!$B$20*D1054/1000),0)</f>
        <v>1095</v>
      </c>
      <c r="K1054" s="15" t="n">
        <f aca="false">ROUND(Annahmen!$K$36*(1+Annahmen!$B$20*D1054/1000),0)</f>
        <v>1422</v>
      </c>
      <c r="L1054" s="15" t="n">
        <f aca="false">ROUND(Annahmen!$K$37*(1+Annahmen!$B$20*D1054/1000),0)</f>
        <v>1453</v>
      </c>
      <c r="M1054" s="15" t="n">
        <f aca="false">ROUND(Annahmen!$K$38*(1+Annahmen!$B$20*D1054/1000),0)</f>
        <v>1453</v>
      </c>
      <c r="N1054" s="16" t="s">
        <v>86</v>
      </c>
    </row>
    <row r="1055" customFormat="false" ht="15" hidden="false" customHeight="false" outlineLevel="0" collapsed="false">
      <c r="A1055" s="13" t="s">
        <v>2166</v>
      </c>
      <c r="B1055" s="14" t="s">
        <v>2167</v>
      </c>
      <c r="C1055" s="15" t="n">
        <v>1000</v>
      </c>
      <c r="D1055" s="15" t="n">
        <v>1411</v>
      </c>
      <c r="E1055" s="13" t="s">
        <v>82</v>
      </c>
      <c r="F1055" s="15" t="str">
        <f aca="false">IF(C1055&gt;=J1055,"ja","nein")</f>
        <v>ja</v>
      </c>
      <c r="G1055" s="15" t="str">
        <f aca="false">IF(C1055&gt;=K1055,"ja","nein")</f>
        <v>nein</v>
      </c>
      <c r="H1055" s="15" t="str">
        <f aca="false">IF(C1055&gt;=L1055,"ja","nein")</f>
        <v>nein</v>
      </c>
      <c r="I1055" s="15" t="str">
        <f aca="false">IF(C1055&gt;=M1055,"ja","nein")</f>
        <v>nein</v>
      </c>
      <c r="J1055" s="15" t="n">
        <f aca="false">ROUND(Annahmen!$K$35*(1+Annahmen!$B$20*D1055/1000),0)</f>
        <v>947</v>
      </c>
      <c r="K1055" s="15" t="n">
        <f aca="false">ROUND(Annahmen!$K$36*(1+Annahmen!$B$20*D1055/1000),0)</f>
        <v>1230</v>
      </c>
      <c r="L1055" s="15" t="n">
        <f aca="false">ROUND(Annahmen!$K$37*(1+Annahmen!$B$20*D1055/1000),0)</f>
        <v>1257</v>
      </c>
      <c r="M1055" s="15" t="n">
        <f aca="false">ROUND(Annahmen!$K$38*(1+Annahmen!$B$20*D1055/1000),0)</f>
        <v>1257</v>
      </c>
      <c r="N1055" s="16" t="s">
        <v>86</v>
      </c>
    </row>
    <row r="1056" customFormat="false" ht="15" hidden="false" customHeight="false" outlineLevel="0" collapsed="false">
      <c r="A1056" s="13" t="s">
        <v>2168</v>
      </c>
      <c r="B1056" s="14" t="s">
        <v>2169</v>
      </c>
      <c r="C1056" s="15" t="n">
        <v>900</v>
      </c>
      <c r="D1056" s="15" t="n">
        <v>1525</v>
      </c>
      <c r="E1056" s="13" t="s">
        <v>82</v>
      </c>
      <c r="F1056" s="15" t="str">
        <f aca="false">IF(C1056&gt;=J1056,"ja","nein")</f>
        <v>nein</v>
      </c>
      <c r="G1056" s="15" t="str">
        <f aca="false">IF(C1056&gt;=K1056,"ja","nein")</f>
        <v>nein</v>
      </c>
      <c r="H1056" s="15" t="str">
        <f aca="false">IF(C1056&gt;=L1056,"ja","nein")</f>
        <v>nein</v>
      </c>
      <c r="I1056" s="15" t="str">
        <f aca="false">IF(C1056&gt;=M1056,"ja","nein")</f>
        <v>nein</v>
      </c>
      <c r="J1056" s="15" t="n">
        <f aca="false">ROUND(Annahmen!$K$35*(1+Annahmen!$B$20*D1056/1000),0)</f>
        <v>955</v>
      </c>
      <c r="K1056" s="15" t="n">
        <f aca="false">ROUND(Annahmen!$K$36*(1+Annahmen!$B$20*D1056/1000),0)</f>
        <v>1241</v>
      </c>
      <c r="L1056" s="15" t="n">
        <f aca="false">ROUND(Annahmen!$K$37*(1+Annahmen!$B$20*D1056/1000),0)</f>
        <v>1268</v>
      </c>
      <c r="M1056" s="15" t="n">
        <f aca="false">ROUND(Annahmen!$K$38*(1+Annahmen!$B$20*D1056/1000),0)</f>
        <v>1268</v>
      </c>
      <c r="N1056" s="16" t="s">
        <v>102</v>
      </c>
    </row>
    <row r="1057" customFormat="false" ht="15" hidden="false" customHeight="false" outlineLevel="0" collapsed="false">
      <c r="A1057" s="13" t="s">
        <v>2170</v>
      </c>
      <c r="B1057" s="14" t="s">
        <v>2171</v>
      </c>
      <c r="C1057" s="15" t="n">
        <v>875</v>
      </c>
      <c r="D1057" s="15" t="n">
        <v>2041</v>
      </c>
      <c r="E1057" s="13" t="s">
        <v>82</v>
      </c>
      <c r="F1057" s="15" t="str">
        <f aca="false">IF(C1057&gt;=J1057,"ja","nein")</f>
        <v>nein</v>
      </c>
      <c r="G1057" s="15" t="str">
        <f aca="false">IF(C1057&gt;=K1057,"ja","nein")</f>
        <v>nein</v>
      </c>
      <c r="H1057" s="15" t="str">
        <f aca="false">IF(C1057&gt;=L1057,"ja","nein")</f>
        <v>nein</v>
      </c>
      <c r="I1057" s="15" t="str">
        <f aca="false">IF(C1057&gt;=M1057,"ja","nein")</f>
        <v>nein</v>
      </c>
      <c r="J1057" s="15" t="n">
        <f aca="false">ROUND(Annahmen!$K$35*(1+Annahmen!$B$20*D1057/1000),0)</f>
        <v>994</v>
      </c>
      <c r="K1057" s="15" t="n">
        <f aca="false">ROUND(Annahmen!$K$36*(1+Annahmen!$B$20*D1057/1000),0)</f>
        <v>1291</v>
      </c>
      <c r="L1057" s="15" t="n">
        <f aca="false">ROUND(Annahmen!$K$37*(1+Annahmen!$B$20*D1057/1000),0)</f>
        <v>1320</v>
      </c>
      <c r="M1057" s="15" t="n">
        <f aca="false">ROUND(Annahmen!$K$38*(1+Annahmen!$B$20*D1057/1000),0)</f>
        <v>1320</v>
      </c>
      <c r="N1057" s="16" t="s">
        <v>102</v>
      </c>
    </row>
    <row r="1058" customFormat="false" ht="15" hidden="false" customHeight="false" outlineLevel="0" collapsed="false">
      <c r="A1058" s="13" t="s">
        <v>2172</v>
      </c>
      <c r="B1058" s="14" t="s">
        <v>2173</v>
      </c>
      <c r="C1058" s="15" t="n">
        <v>872</v>
      </c>
      <c r="D1058" s="15" t="n">
        <v>1421</v>
      </c>
      <c r="E1058" s="13" t="s">
        <v>82</v>
      </c>
      <c r="F1058" s="15" t="str">
        <f aca="false">IF(C1058&gt;=J1058,"ja","nein")</f>
        <v>nein</v>
      </c>
      <c r="G1058" s="15" t="str">
        <f aca="false">IF(C1058&gt;=K1058,"ja","nein")</f>
        <v>nein</v>
      </c>
      <c r="H1058" s="15" t="str">
        <f aca="false">IF(C1058&gt;=L1058,"ja","nein")</f>
        <v>nein</v>
      </c>
      <c r="I1058" s="15" t="str">
        <f aca="false">IF(C1058&gt;=M1058,"ja","nein")</f>
        <v>nein</v>
      </c>
      <c r="J1058" s="15" t="n">
        <f aca="false">ROUND(Annahmen!$K$35*(1+Annahmen!$B$20*D1058/1000),0)</f>
        <v>947</v>
      </c>
      <c r="K1058" s="15" t="n">
        <f aca="false">ROUND(Annahmen!$K$36*(1+Annahmen!$B$20*D1058/1000),0)</f>
        <v>1231</v>
      </c>
      <c r="L1058" s="15" t="n">
        <f aca="false">ROUND(Annahmen!$K$37*(1+Annahmen!$B$20*D1058/1000),0)</f>
        <v>1258</v>
      </c>
      <c r="M1058" s="15" t="n">
        <f aca="false">ROUND(Annahmen!$K$38*(1+Annahmen!$B$20*D1058/1000),0)</f>
        <v>1258</v>
      </c>
      <c r="N1058" s="16" t="s">
        <v>102</v>
      </c>
    </row>
    <row r="1059" customFormat="false" ht="15" hidden="false" customHeight="false" outlineLevel="0" collapsed="false">
      <c r="A1059" s="13" t="s">
        <v>2174</v>
      </c>
      <c r="B1059" s="14" t="s">
        <v>2175</v>
      </c>
      <c r="C1059" s="15" t="n">
        <v>839</v>
      </c>
      <c r="D1059" s="15" t="n">
        <v>2029</v>
      </c>
      <c r="E1059" s="13" t="s">
        <v>82</v>
      </c>
      <c r="F1059" s="15" t="str">
        <f aca="false">IF(C1059&gt;=J1059,"ja","nein")</f>
        <v>nein</v>
      </c>
      <c r="G1059" s="15" t="str">
        <f aca="false">IF(C1059&gt;=K1059,"ja","nein")</f>
        <v>nein</v>
      </c>
      <c r="H1059" s="15" t="str">
        <f aca="false">IF(C1059&gt;=L1059,"ja","nein")</f>
        <v>nein</v>
      </c>
      <c r="I1059" s="15" t="str">
        <f aca="false">IF(C1059&gt;=M1059,"ja","nein")</f>
        <v>nein</v>
      </c>
      <c r="J1059" s="15" t="n">
        <f aca="false">ROUND(Annahmen!$K$35*(1+Annahmen!$B$20*D1059/1000),0)</f>
        <v>993</v>
      </c>
      <c r="K1059" s="15" t="n">
        <f aca="false">ROUND(Annahmen!$K$36*(1+Annahmen!$B$20*D1059/1000),0)</f>
        <v>1290</v>
      </c>
      <c r="L1059" s="15" t="n">
        <f aca="false">ROUND(Annahmen!$K$37*(1+Annahmen!$B$20*D1059/1000),0)</f>
        <v>1319</v>
      </c>
      <c r="M1059" s="15" t="n">
        <f aca="false">ROUND(Annahmen!$K$38*(1+Annahmen!$B$20*D1059/1000),0)</f>
        <v>1319</v>
      </c>
      <c r="N1059" s="16" t="s">
        <v>102</v>
      </c>
    </row>
    <row r="1060" customFormat="false" ht="15" hidden="false" customHeight="false" outlineLevel="0" collapsed="false">
      <c r="A1060" s="13" t="s">
        <v>2176</v>
      </c>
      <c r="B1060" s="14" t="s">
        <v>2177</v>
      </c>
      <c r="C1060" s="15" t="n">
        <v>800</v>
      </c>
      <c r="D1060" s="15" t="n">
        <v>2293</v>
      </c>
      <c r="E1060" s="13" t="s">
        <v>82</v>
      </c>
      <c r="F1060" s="15" t="str">
        <f aca="false">IF(C1060&gt;=J1060,"ja","nein")</f>
        <v>nein</v>
      </c>
      <c r="G1060" s="15" t="str">
        <f aca="false">IF(C1060&gt;=K1060,"ja","nein")</f>
        <v>nein</v>
      </c>
      <c r="H1060" s="15" t="str">
        <f aca="false">IF(C1060&gt;=L1060,"ja","nein")</f>
        <v>nein</v>
      </c>
      <c r="I1060" s="15" t="str">
        <f aca="false">IF(C1060&gt;=M1060,"ja","nein")</f>
        <v>nein</v>
      </c>
      <c r="J1060" s="15" t="n">
        <f aca="false">ROUND(Annahmen!$K$35*(1+Annahmen!$B$20*D1060/1000),0)</f>
        <v>1013</v>
      </c>
      <c r="K1060" s="15" t="n">
        <f aca="false">ROUND(Annahmen!$K$36*(1+Annahmen!$B$20*D1060/1000),0)</f>
        <v>1316</v>
      </c>
      <c r="L1060" s="15" t="n">
        <f aca="false">ROUND(Annahmen!$K$37*(1+Annahmen!$B$20*D1060/1000),0)</f>
        <v>1345</v>
      </c>
      <c r="M1060" s="15" t="n">
        <f aca="false">ROUND(Annahmen!$K$38*(1+Annahmen!$B$20*D1060/1000),0)</f>
        <v>1345</v>
      </c>
      <c r="N1060" s="16" t="s">
        <v>102</v>
      </c>
    </row>
    <row r="1061" customFormat="false" ht="15" hidden="false" customHeight="false" outlineLevel="0" collapsed="false">
      <c r="A1061" s="13" t="s">
        <v>2178</v>
      </c>
      <c r="B1061" s="14" t="s">
        <v>2179</v>
      </c>
      <c r="C1061" s="15" t="n">
        <v>800</v>
      </c>
      <c r="D1061" s="15" t="n">
        <v>650</v>
      </c>
      <c r="E1061" s="13" t="s">
        <v>82</v>
      </c>
      <c r="F1061" s="15" t="str">
        <f aca="false">IF(C1061&gt;=J1061,"ja","nein")</f>
        <v>nein</v>
      </c>
      <c r="G1061" s="15" t="str">
        <f aca="false">IF(C1061&gt;=K1061,"ja","nein")</f>
        <v>nein</v>
      </c>
      <c r="H1061" s="15" t="str">
        <f aca="false">IF(C1061&gt;=L1061,"ja","nein")</f>
        <v>nein</v>
      </c>
      <c r="I1061" s="15" t="str">
        <f aca="false">IF(C1061&gt;=M1061,"ja","nein")</f>
        <v>nein</v>
      </c>
      <c r="J1061" s="15" t="n">
        <f aca="false">ROUND(Annahmen!$K$35*(1+Annahmen!$B$20*D1061/1000),0)</f>
        <v>889</v>
      </c>
      <c r="K1061" s="15" t="n">
        <f aca="false">ROUND(Annahmen!$K$36*(1+Annahmen!$B$20*D1061/1000),0)</f>
        <v>1155</v>
      </c>
      <c r="L1061" s="15" t="n">
        <f aca="false">ROUND(Annahmen!$K$37*(1+Annahmen!$B$20*D1061/1000),0)</f>
        <v>1180</v>
      </c>
      <c r="M1061" s="15" t="n">
        <f aca="false">ROUND(Annahmen!$K$38*(1+Annahmen!$B$20*D1061/1000),0)</f>
        <v>1180</v>
      </c>
      <c r="N1061" s="16" t="s">
        <v>102</v>
      </c>
    </row>
    <row r="1062" customFormat="false" ht="15" hidden="false" customHeight="false" outlineLevel="0" collapsed="false">
      <c r="A1062" s="13" t="s">
        <v>2180</v>
      </c>
      <c r="B1062" s="14" t="s">
        <v>2181</v>
      </c>
      <c r="C1062" s="15" t="n">
        <v>800</v>
      </c>
      <c r="D1062" s="15" t="n">
        <v>1866</v>
      </c>
      <c r="E1062" s="13" t="s">
        <v>82</v>
      </c>
      <c r="F1062" s="15" t="str">
        <f aca="false">IF(C1062&gt;=J1062,"ja","nein")</f>
        <v>nein</v>
      </c>
      <c r="G1062" s="15" t="str">
        <f aca="false">IF(C1062&gt;=K1062,"ja","nein")</f>
        <v>nein</v>
      </c>
      <c r="H1062" s="15" t="str">
        <f aca="false">IF(C1062&gt;=L1062,"ja","nein")</f>
        <v>nein</v>
      </c>
      <c r="I1062" s="15" t="str">
        <f aca="false">IF(C1062&gt;=M1062,"ja","nein")</f>
        <v>nein</v>
      </c>
      <c r="J1062" s="15" t="n">
        <f aca="false">ROUND(Annahmen!$K$35*(1+Annahmen!$B$20*D1062/1000),0)</f>
        <v>981</v>
      </c>
      <c r="K1062" s="15" t="n">
        <f aca="false">ROUND(Annahmen!$K$36*(1+Annahmen!$B$20*D1062/1000),0)</f>
        <v>1274</v>
      </c>
      <c r="L1062" s="15" t="n">
        <f aca="false">ROUND(Annahmen!$K$37*(1+Annahmen!$B$20*D1062/1000),0)</f>
        <v>1302</v>
      </c>
      <c r="M1062" s="15" t="n">
        <f aca="false">ROUND(Annahmen!$K$38*(1+Annahmen!$B$20*D1062/1000),0)</f>
        <v>1302</v>
      </c>
      <c r="N1062" s="16" t="s">
        <v>102</v>
      </c>
    </row>
    <row r="1063" customFormat="false" ht="15" hidden="false" customHeight="false" outlineLevel="0" collapsed="false">
      <c r="A1063" s="13" t="s">
        <v>2182</v>
      </c>
      <c r="B1063" s="14" t="s">
        <v>2183</v>
      </c>
      <c r="C1063" s="15" t="n">
        <v>718</v>
      </c>
      <c r="D1063" s="15" t="n">
        <v>1300</v>
      </c>
      <c r="E1063" s="13" t="s">
        <v>82</v>
      </c>
      <c r="F1063" s="15" t="str">
        <f aca="false">IF(C1063&gt;=J1063,"ja","nein")</f>
        <v>nein</v>
      </c>
      <c r="G1063" s="15" t="str">
        <f aca="false">IF(C1063&gt;=K1063,"ja","nein")</f>
        <v>nein</v>
      </c>
      <c r="H1063" s="15" t="str">
        <f aca="false">IF(C1063&gt;=L1063,"ja","nein")</f>
        <v>nein</v>
      </c>
      <c r="I1063" s="15" t="str">
        <f aca="false">IF(C1063&gt;=M1063,"ja","nein")</f>
        <v>nein</v>
      </c>
      <c r="J1063" s="15" t="n">
        <f aca="false">ROUND(Annahmen!$K$35*(1+Annahmen!$B$20*D1063/1000),0)</f>
        <v>938</v>
      </c>
      <c r="K1063" s="15" t="n">
        <f aca="false">ROUND(Annahmen!$K$36*(1+Annahmen!$B$20*D1063/1000),0)</f>
        <v>1219</v>
      </c>
      <c r="L1063" s="15" t="n">
        <f aca="false">ROUND(Annahmen!$K$37*(1+Annahmen!$B$20*D1063/1000),0)</f>
        <v>1245</v>
      </c>
      <c r="M1063" s="15" t="n">
        <f aca="false">ROUND(Annahmen!$K$38*(1+Annahmen!$B$20*D1063/1000),0)</f>
        <v>1245</v>
      </c>
      <c r="N1063" s="16" t="s">
        <v>102</v>
      </c>
    </row>
    <row r="1064" customFormat="false" ht="15" hidden="false" customHeight="false" outlineLevel="0" collapsed="false">
      <c r="A1064" s="13" t="s">
        <v>2184</v>
      </c>
      <c r="B1064" s="14" t="s">
        <v>2185</v>
      </c>
      <c r="C1064" s="15" t="n">
        <v>700</v>
      </c>
      <c r="D1064" s="15" t="n">
        <v>1427</v>
      </c>
      <c r="E1064" s="13" t="s">
        <v>82</v>
      </c>
      <c r="F1064" s="15" t="str">
        <f aca="false">IF(C1064&gt;=J1064,"ja","nein")</f>
        <v>nein</v>
      </c>
      <c r="G1064" s="15" t="str">
        <f aca="false">IF(C1064&gt;=K1064,"ja","nein")</f>
        <v>nein</v>
      </c>
      <c r="H1064" s="15" t="str">
        <f aca="false">IF(C1064&gt;=L1064,"ja","nein")</f>
        <v>nein</v>
      </c>
      <c r="I1064" s="15" t="str">
        <f aca="false">IF(C1064&gt;=M1064,"ja","nein")</f>
        <v>nein</v>
      </c>
      <c r="J1064" s="15" t="n">
        <f aca="false">ROUND(Annahmen!$K$35*(1+Annahmen!$B$20*D1064/1000),0)</f>
        <v>948</v>
      </c>
      <c r="K1064" s="15" t="n">
        <f aca="false">ROUND(Annahmen!$K$36*(1+Annahmen!$B$20*D1064/1000),0)</f>
        <v>1231</v>
      </c>
      <c r="L1064" s="15" t="n">
        <f aca="false">ROUND(Annahmen!$K$37*(1+Annahmen!$B$20*D1064/1000),0)</f>
        <v>1258</v>
      </c>
      <c r="M1064" s="15" t="n">
        <f aca="false">ROUND(Annahmen!$K$38*(1+Annahmen!$B$20*D1064/1000),0)</f>
        <v>1258</v>
      </c>
      <c r="N1064" s="16" t="s">
        <v>102</v>
      </c>
    </row>
    <row r="1065" customFormat="false" ht="15" hidden="false" customHeight="false" outlineLevel="0" collapsed="false">
      <c r="A1065" s="13" t="s">
        <v>2186</v>
      </c>
      <c r="B1065" s="14" t="s">
        <v>2187</v>
      </c>
      <c r="C1065" s="15" t="n">
        <v>700</v>
      </c>
      <c r="D1065" s="15" t="n">
        <v>1928</v>
      </c>
      <c r="E1065" s="13" t="s">
        <v>82</v>
      </c>
      <c r="F1065" s="15" t="str">
        <f aca="false">IF(C1065&gt;=J1065,"ja","nein")</f>
        <v>nein</v>
      </c>
      <c r="G1065" s="15" t="str">
        <f aca="false">IF(C1065&gt;=K1065,"ja","nein")</f>
        <v>nein</v>
      </c>
      <c r="H1065" s="15" t="str">
        <f aca="false">IF(C1065&gt;=L1065,"ja","nein")</f>
        <v>nein</v>
      </c>
      <c r="I1065" s="15" t="str">
        <f aca="false">IF(C1065&gt;=M1065,"ja","nein")</f>
        <v>nein</v>
      </c>
      <c r="J1065" s="15" t="n">
        <f aca="false">ROUND(Annahmen!$K$35*(1+Annahmen!$B$20*D1065/1000),0)</f>
        <v>986</v>
      </c>
      <c r="K1065" s="15" t="n">
        <f aca="false">ROUND(Annahmen!$K$36*(1+Annahmen!$B$20*D1065/1000),0)</f>
        <v>1280</v>
      </c>
      <c r="L1065" s="15" t="n">
        <f aca="false">ROUND(Annahmen!$K$37*(1+Annahmen!$B$20*D1065/1000),0)</f>
        <v>1308</v>
      </c>
      <c r="M1065" s="15" t="n">
        <f aca="false">ROUND(Annahmen!$K$38*(1+Annahmen!$B$20*D1065/1000),0)</f>
        <v>1308</v>
      </c>
      <c r="N1065" s="16" t="s">
        <v>102</v>
      </c>
    </row>
    <row r="1066" customFormat="false" ht="15" hidden="false" customHeight="false" outlineLevel="0" collapsed="false">
      <c r="A1066" s="13" t="s">
        <v>2188</v>
      </c>
      <c r="B1066" s="14" t="s">
        <v>2189</v>
      </c>
      <c r="C1066" s="15" t="n">
        <v>587</v>
      </c>
      <c r="D1066" s="15" t="n">
        <v>3068</v>
      </c>
      <c r="E1066" s="13" t="s">
        <v>82</v>
      </c>
      <c r="F1066" s="15" t="str">
        <f aca="false">IF(C1066&gt;=J1066,"ja","nein")</f>
        <v>nein</v>
      </c>
      <c r="G1066" s="15" t="str">
        <f aca="false">IF(C1066&gt;=K1066,"ja","nein")</f>
        <v>nein</v>
      </c>
      <c r="H1066" s="15" t="str">
        <f aca="false">IF(C1066&gt;=L1066,"ja","nein")</f>
        <v>nein</v>
      </c>
      <c r="I1066" s="15" t="str">
        <f aca="false">IF(C1066&gt;=M1066,"ja","nein")</f>
        <v>nein</v>
      </c>
      <c r="J1066" s="15" t="n">
        <f aca="false">ROUND(Annahmen!$K$35*(1+Annahmen!$B$20*D1066/1000),0)</f>
        <v>1072</v>
      </c>
      <c r="K1066" s="15" t="n">
        <f aca="false">ROUND(Annahmen!$K$36*(1+Annahmen!$B$20*D1066/1000),0)</f>
        <v>1392</v>
      </c>
      <c r="L1066" s="15" t="n">
        <f aca="false">ROUND(Annahmen!$K$37*(1+Annahmen!$B$20*D1066/1000),0)</f>
        <v>1423</v>
      </c>
      <c r="M1066" s="15" t="n">
        <f aca="false">ROUND(Annahmen!$K$38*(1+Annahmen!$B$20*D1066/1000),0)</f>
        <v>1423</v>
      </c>
      <c r="N1066" s="16" t="s">
        <v>102</v>
      </c>
    </row>
    <row r="1067" customFormat="false" ht="15" hidden="false" customHeight="false" outlineLevel="0" collapsed="false">
      <c r="A1067" s="13" t="s">
        <v>2190</v>
      </c>
      <c r="B1067" s="14" t="s">
        <v>2191</v>
      </c>
      <c r="C1067" s="15" t="n">
        <v>585</v>
      </c>
      <c r="D1067" s="15" t="n">
        <v>1575</v>
      </c>
      <c r="E1067" s="13" t="s">
        <v>82</v>
      </c>
      <c r="F1067" s="15" t="str">
        <f aca="false">IF(C1067&gt;=J1067,"ja","nein")</f>
        <v>nein</v>
      </c>
      <c r="G1067" s="15" t="str">
        <f aca="false">IF(C1067&gt;=K1067,"ja","nein")</f>
        <v>nein</v>
      </c>
      <c r="H1067" s="15" t="str">
        <f aca="false">IF(C1067&gt;=L1067,"ja","nein")</f>
        <v>nein</v>
      </c>
      <c r="I1067" s="15" t="str">
        <f aca="false">IF(C1067&gt;=M1067,"ja","nein")</f>
        <v>nein</v>
      </c>
      <c r="J1067" s="15" t="n">
        <f aca="false">ROUND(Annahmen!$K$35*(1+Annahmen!$B$20*D1067/1000),0)</f>
        <v>959</v>
      </c>
      <c r="K1067" s="15" t="n">
        <f aca="false">ROUND(Annahmen!$K$36*(1+Annahmen!$B$20*D1067/1000),0)</f>
        <v>1246</v>
      </c>
      <c r="L1067" s="15" t="n">
        <f aca="false">ROUND(Annahmen!$K$37*(1+Annahmen!$B$20*D1067/1000),0)</f>
        <v>1273</v>
      </c>
      <c r="M1067" s="15" t="n">
        <f aca="false">ROUND(Annahmen!$K$38*(1+Annahmen!$B$20*D1067/1000),0)</f>
        <v>1273</v>
      </c>
      <c r="N1067" s="16" t="s">
        <v>102</v>
      </c>
    </row>
    <row r="1068" customFormat="false" ht="15" hidden="false" customHeight="false" outlineLevel="0" collapsed="false">
      <c r="A1068" s="13" t="s">
        <v>2192</v>
      </c>
      <c r="B1068" s="14" t="s">
        <v>2193</v>
      </c>
      <c r="C1068" s="15" t="n">
        <v>570</v>
      </c>
      <c r="D1068" s="15" t="n">
        <v>1594</v>
      </c>
      <c r="E1068" s="13" t="s">
        <v>82</v>
      </c>
      <c r="F1068" s="15" t="str">
        <f aca="false">IF(C1068&gt;=J1068,"ja","nein")</f>
        <v>nein</v>
      </c>
      <c r="G1068" s="15" t="str">
        <f aca="false">IF(C1068&gt;=K1068,"ja","nein")</f>
        <v>nein</v>
      </c>
      <c r="H1068" s="15" t="str">
        <f aca="false">IF(C1068&gt;=L1068,"ja","nein")</f>
        <v>nein</v>
      </c>
      <c r="I1068" s="15" t="str">
        <f aca="false">IF(C1068&gt;=M1068,"ja","nein")</f>
        <v>nein</v>
      </c>
      <c r="J1068" s="15" t="n">
        <f aca="false">ROUND(Annahmen!$K$35*(1+Annahmen!$B$20*D1068/1000),0)</f>
        <v>961</v>
      </c>
      <c r="K1068" s="15" t="n">
        <f aca="false">ROUND(Annahmen!$K$36*(1+Annahmen!$B$20*D1068/1000),0)</f>
        <v>1248</v>
      </c>
      <c r="L1068" s="15" t="n">
        <f aca="false">ROUND(Annahmen!$K$37*(1+Annahmen!$B$20*D1068/1000),0)</f>
        <v>1275</v>
      </c>
      <c r="M1068" s="15" t="n">
        <f aca="false">ROUND(Annahmen!$K$38*(1+Annahmen!$B$20*D1068/1000),0)</f>
        <v>1275</v>
      </c>
      <c r="N1068" s="16" t="s">
        <v>102</v>
      </c>
    </row>
    <row r="1069" customFormat="false" ht="15" hidden="false" customHeight="false" outlineLevel="0" collapsed="false">
      <c r="A1069" s="13" t="s">
        <v>2194</v>
      </c>
      <c r="B1069" s="14" t="s">
        <v>2195</v>
      </c>
      <c r="C1069" s="15" t="n">
        <v>520</v>
      </c>
      <c r="D1069" s="15" t="n">
        <v>1365</v>
      </c>
      <c r="E1069" s="13" t="s">
        <v>82</v>
      </c>
      <c r="F1069" s="15" t="str">
        <f aca="false">IF(C1069&gt;=J1069,"ja","nein")</f>
        <v>nein</v>
      </c>
      <c r="G1069" s="15" t="str">
        <f aca="false">IF(C1069&gt;=K1069,"ja","nein")</f>
        <v>nein</v>
      </c>
      <c r="H1069" s="15" t="str">
        <f aca="false">IF(C1069&gt;=L1069,"ja","nein")</f>
        <v>nein</v>
      </c>
      <c r="I1069" s="15" t="str">
        <f aca="false">IF(C1069&gt;=M1069,"ja","nein")</f>
        <v>nein</v>
      </c>
      <c r="J1069" s="15" t="n">
        <f aca="false">ROUND(Annahmen!$K$35*(1+Annahmen!$B$20*D1069/1000),0)</f>
        <v>943</v>
      </c>
      <c r="K1069" s="15" t="n">
        <f aca="false">ROUND(Annahmen!$K$36*(1+Annahmen!$B$20*D1069/1000),0)</f>
        <v>1225</v>
      </c>
      <c r="L1069" s="15" t="n">
        <f aca="false">ROUND(Annahmen!$K$37*(1+Annahmen!$B$20*D1069/1000),0)</f>
        <v>1252</v>
      </c>
      <c r="M1069" s="15" t="n">
        <f aca="false">ROUND(Annahmen!$K$38*(1+Annahmen!$B$20*D1069/1000),0)</f>
        <v>1252</v>
      </c>
      <c r="N1069" s="16" t="s">
        <v>102</v>
      </c>
    </row>
    <row r="1070" customFormat="false" ht="15" hidden="false" customHeight="false" outlineLevel="0" collapsed="false">
      <c r="A1070" s="11" t="s">
        <v>2196</v>
      </c>
      <c r="B1070" s="12"/>
      <c r="C1070" s="12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</row>
    <row r="1071" customFormat="false" ht="15" hidden="false" customHeight="false" outlineLevel="0" collapsed="false">
      <c r="A1071" s="13" t="s">
        <v>2197</v>
      </c>
      <c r="B1071" s="14" t="s">
        <v>2198</v>
      </c>
      <c r="C1071" s="15" t="n">
        <v>3500</v>
      </c>
      <c r="D1071" s="15" t="n">
        <v>335</v>
      </c>
      <c r="E1071" s="13" t="s">
        <v>82</v>
      </c>
      <c r="F1071" s="15" t="str">
        <f aca="false">IF(C1071&gt;=J1071,"ja","nein")</f>
        <v>ja</v>
      </c>
      <c r="G1071" s="15" t="str">
        <f aca="false">IF(C1071&gt;=K1071,"ja","nein")</f>
        <v>ja</v>
      </c>
      <c r="H1071" s="15" t="str">
        <f aca="false">IF(C1071&gt;=L1071,"ja","nein")</f>
        <v>ja</v>
      </c>
      <c r="I1071" s="15" t="str">
        <f aca="false">IF(C1071&gt;=M1071,"ja","nein")</f>
        <v>ja</v>
      </c>
      <c r="J1071" s="15" t="n">
        <f aca="false">ROUND(Annahmen!$K$35*(1+Annahmen!$B$20*D1071/1000),0)</f>
        <v>865</v>
      </c>
      <c r="K1071" s="15" t="n">
        <f aca="false">ROUND(Annahmen!$K$36*(1+Annahmen!$B$20*D1071/1000),0)</f>
        <v>1124</v>
      </c>
      <c r="L1071" s="15" t="n">
        <f aca="false">ROUND(Annahmen!$K$37*(1+Annahmen!$B$20*D1071/1000),0)</f>
        <v>1149</v>
      </c>
      <c r="M1071" s="15" t="n">
        <f aca="false">ROUND(Annahmen!$K$38*(1+Annahmen!$B$20*D1071/1000),0)</f>
        <v>1149</v>
      </c>
      <c r="N1071" s="16" t="s">
        <v>83</v>
      </c>
    </row>
    <row r="1072" customFormat="false" ht="15" hidden="false" customHeight="false" outlineLevel="0" collapsed="false">
      <c r="A1072" s="13" t="s">
        <v>2199</v>
      </c>
      <c r="B1072" s="14" t="s">
        <v>2200</v>
      </c>
      <c r="C1072" s="15" t="n">
        <v>3088</v>
      </c>
      <c r="D1072" s="15" t="n">
        <v>2966</v>
      </c>
      <c r="E1072" s="13" t="s">
        <v>82</v>
      </c>
      <c r="F1072" s="15" t="str">
        <f aca="false">IF(C1072&gt;=J1072,"ja","nein")</f>
        <v>ja</v>
      </c>
      <c r="G1072" s="15" t="str">
        <f aca="false">IF(C1072&gt;=K1072,"ja","nein")</f>
        <v>ja</v>
      </c>
      <c r="H1072" s="15" t="str">
        <f aca="false">IF(C1072&gt;=L1072,"ja","nein")</f>
        <v>ja</v>
      </c>
      <c r="I1072" s="15" t="str">
        <f aca="false">IF(C1072&gt;=M1072,"ja","nein")</f>
        <v>ja</v>
      </c>
      <c r="J1072" s="15" t="n">
        <f aca="false">ROUND(Annahmen!$K$35*(1+Annahmen!$B$20*D1072/1000),0)</f>
        <v>1064</v>
      </c>
      <c r="K1072" s="15" t="n">
        <f aca="false">ROUND(Annahmen!$K$36*(1+Annahmen!$B$20*D1072/1000),0)</f>
        <v>1382</v>
      </c>
      <c r="L1072" s="15" t="n">
        <f aca="false">ROUND(Annahmen!$K$37*(1+Annahmen!$B$20*D1072/1000),0)</f>
        <v>1413</v>
      </c>
      <c r="M1072" s="15" t="n">
        <f aca="false">ROUND(Annahmen!$K$38*(1+Annahmen!$B$20*D1072/1000),0)</f>
        <v>1413</v>
      </c>
      <c r="N1072" s="16" t="s">
        <v>86</v>
      </c>
    </row>
    <row r="1073" customFormat="false" ht="15" hidden="false" customHeight="false" outlineLevel="0" collapsed="false">
      <c r="A1073" s="13" t="s">
        <v>2201</v>
      </c>
      <c r="B1073" s="14" t="s">
        <v>2202</v>
      </c>
      <c r="C1073" s="15" t="n">
        <v>2500</v>
      </c>
      <c r="D1073" s="15" t="n">
        <v>648</v>
      </c>
      <c r="E1073" s="13" t="s">
        <v>82</v>
      </c>
      <c r="F1073" s="15" t="str">
        <f aca="false">IF(C1073&gt;=J1073,"ja","nein")</f>
        <v>ja</v>
      </c>
      <c r="G1073" s="15" t="str">
        <f aca="false">IF(C1073&gt;=K1073,"ja","nein")</f>
        <v>ja</v>
      </c>
      <c r="H1073" s="15" t="str">
        <f aca="false">IF(C1073&gt;=L1073,"ja","nein")</f>
        <v>ja</v>
      </c>
      <c r="I1073" s="15" t="str">
        <f aca="false">IF(C1073&gt;=M1073,"ja","nein")</f>
        <v>ja</v>
      </c>
      <c r="J1073" s="15" t="n">
        <f aca="false">ROUND(Annahmen!$K$35*(1+Annahmen!$B$20*D1073/1000),0)</f>
        <v>889</v>
      </c>
      <c r="K1073" s="15" t="n">
        <f aca="false">ROUND(Annahmen!$K$36*(1+Annahmen!$B$20*D1073/1000),0)</f>
        <v>1155</v>
      </c>
      <c r="L1073" s="15" t="n">
        <f aca="false">ROUND(Annahmen!$K$37*(1+Annahmen!$B$20*D1073/1000),0)</f>
        <v>1180</v>
      </c>
      <c r="M1073" s="15" t="n">
        <f aca="false">ROUND(Annahmen!$K$38*(1+Annahmen!$B$20*D1073/1000),0)</f>
        <v>1180</v>
      </c>
      <c r="N1073" s="16" t="s">
        <v>83</v>
      </c>
    </row>
    <row r="1074" customFormat="false" ht="15" hidden="false" customHeight="false" outlineLevel="0" collapsed="false">
      <c r="A1074" s="13" t="s">
        <v>2203</v>
      </c>
      <c r="B1074" s="14" t="s">
        <v>2204</v>
      </c>
      <c r="C1074" s="15" t="n">
        <v>2265</v>
      </c>
      <c r="D1074" s="15" t="n">
        <v>686</v>
      </c>
      <c r="E1074" s="13" t="s">
        <v>82</v>
      </c>
      <c r="F1074" s="15" t="str">
        <f aca="false">IF(C1074&gt;=J1074,"ja","nein")</f>
        <v>ja</v>
      </c>
      <c r="G1074" s="15" t="str">
        <f aca="false">IF(C1074&gt;=K1074,"ja","nein")</f>
        <v>ja</v>
      </c>
      <c r="H1074" s="15" t="str">
        <f aca="false">IF(C1074&gt;=L1074,"ja","nein")</f>
        <v>ja</v>
      </c>
      <c r="I1074" s="15" t="str">
        <f aca="false">IF(C1074&gt;=M1074,"ja","nein")</f>
        <v>ja</v>
      </c>
      <c r="J1074" s="15" t="n">
        <f aca="false">ROUND(Annahmen!$K$35*(1+Annahmen!$B$20*D1074/1000),0)</f>
        <v>892</v>
      </c>
      <c r="K1074" s="15" t="n">
        <f aca="false">ROUND(Annahmen!$K$36*(1+Annahmen!$B$20*D1074/1000),0)</f>
        <v>1158</v>
      </c>
      <c r="L1074" s="15" t="n">
        <f aca="false">ROUND(Annahmen!$K$37*(1+Annahmen!$B$20*D1074/1000),0)</f>
        <v>1184</v>
      </c>
      <c r="M1074" s="15" t="n">
        <f aca="false">ROUND(Annahmen!$K$38*(1+Annahmen!$B$20*D1074/1000),0)</f>
        <v>1184</v>
      </c>
      <c r="N1074" s="16" t="s">
        <v>86</v>
      </c>
    </row>
    <row r="1075" customFormat="false" ht="15" hidden="false" customHeight="false" outlineLevel="0" collapsed="false">
      <c r="A1075" s="13" t="s">
        <v>2205</v>
      </c>
      <c r="B1075" s="14" t="s">
        <v>2206</v>
      </c>
      <c r="C1075" s="15" t="n">
        <v>2184</v>
      </c>
      <c r="D1075" s="15" t="n">
        <v>280</v>
      </c>
      <c r="E1075" s="13" t="s">
        <v>82</v>
      </c>
      <c r="F1075" s="15" t="str">
        <f aca="false">IF(C1075&gt;=J1075,"ja","nein")</f>
        <v>ja</v>
      </c>
      <c r="G1075" s="15" t="str">
        <f aca="false">IF(C1075&gt;=K1075,"ja","nein")</f>
        <v>ja</v>
      </c>
      <c r="H1075" s="15" t="str">
        <f aca="false">IF(C1075&gt;=L1075,"ja","nein")</f>
        <v>ja</v>
      </c>
      <c r="I1075" s="15" t="str">
        <f aca="false">IF(C1075&gt;=M1075,"ja","nein")</f>
        <v>ja</v>
      </c>
      <c r="J1075" s="15" t="n">
        <f aca="false">ROUND(Annahmen!$K$35*(1+Annahmen!$B$20*D1075/1000),0)</f>
        <v>861</v>
      </c>
      <c r="K1075" s="15" t="n">
        <f aca="false">ROUND(Annahmen!$K$36*(1+Annahmen!$B$20*D1075/1000),0)</f>
        <v>1118</v>
      </c>
      <c r="L1075" s="15" t="n">
        <f aca="false">ROUND(Annahmen!$K$37*(1+Annahmen!$B$20*D1075/1000),0)</f>
        <v>1143</v>
      </c>
      <c r="M1075" s="15" t="n">
        <f aca="false">ROUND(Annahmen!$K$38*(1+Annahmen!$B$20*D1075/1000),0)</f>
        <v>1143</v>
      </c>
      <c r="N1075" s="16" t="s">
        <v>102</v>
      </c>
    </row>
    <row r="1076" customFormat="false" ht="15" hidden="false" customHeight="false" outlineLevel="0" collapsed="false">
      <c r="A1076" s="13" t="s">
        <v>2207</v>
      </c>
      <c r="B1076" s="14" t="s">
        <v>2208</v>
      </c>
      <c r="C1076" s="15" t="n">
        <v>1086</v>
      </c>
      <c r="D1076" s="15" t="n">
        <v>1266</v>
      </c>
      <c r="E1076" s="13" t="s">
        <v>82</v>
      </c>
      <c r="F1076" s="15" t="str">
        <f aca="false">IF(C1076&gt;=J1076,"ja","nein")</f>
        <v>ja</v>
      </c>
      <c r="G1076" s="15" t="str">
        <f aca="false">IF(C1076&gt;=K1076,"ja","nein")</f>
        <v>nein</v>
      </c>
      <c r="H1076" s="15" t="str">
        <f aca="false">IF(C1076&gt;=L1076,"ja","nein")</f>
        <v>nein</v>
      </c>
      <c r="I1076" s="15" t="str">
        <f aca="false">IF(C1076&gt;=M1076,"ja","nein")</f>
        <v>nein</v>
      </c>
      <c r="J1076" s="15" t="n">
        <f aca="false">ROUND(Annahmen!$K$35*(1+Annahmen!$B$20*D1076/1000),0)</f>
        <v>936</v>
      </c>
      <c r="K1076" s="15" t="n">
        <f aca="false">ROUND(Annahmen!$K$36*(1+Annahmen!$B$20*D1076/1000),0)</f>
        <v>1215</v>
      </c>
      <c r="L1076" s="15" t="n">
        <f aca="false">ROUND(Annahmen!$K$37*(1+Annahmen!$B$20*D1076/1000),0)</f>
        <v>1242</v>
      </c>
      <c r="M1076" s="15" t="n">
        <f aca="false">ROUND(Annahmen!$K$38*(1+Annahmen!$B$20*D1076/1000),0)</f>
        <v>1242</v>
      </c>
      <c r="N1076" s="16" t="s">
        <v>102</v>
      </c>
    </row>
    <row r="1077" customFormat="false" ht="15" hidden="false" customHeight="false" outlineLevel="0" collapsed="false">
      <c r="A1077" s="13" t="s">
        <v>2209</v>
      </c>
      <c r="B1077" s="14" t="s">
        <v>2210</v>
      </c>
      <c r="C1077" s="15" t="n">
        <v>1000</v>
      </c>
      <c r="D1077" s="15" t="n">
        <v>276</v>
      </c>
      <c r="E1077" s="13" t="s">
        <v>82</v>
      </c>
      <c r="F1077" s="15" t="str">
        <f aca="false">IF(C1077&gt;=J1077,"ja","nein")</f>
        <v>ja</v>
      </c>
      <c r="G1077" s="15" t="str">
        <f aca="false">IF(C1077&gt;=K1077,"ja","nein")</f>
        <v>nein</v>
      </c>
      <c r="H1077" s="15" t="str">
        <f aca="false">IF(C1077&gt;=L1077,"ja","nein")</f>
        <v>nein</v>
      </c>
      <c r="I1077" s="15" t="str">
        <f aca="false">IF(C1077&gt;=M1077,"ja","nein")</f>
        <v>nein</v>
      </c>
      <c r="J1077" s="15" t="n">
        <f aca="false">ROUND(Annahmen!$K$35*(1+Annahmen!$B$20*D1077/1000),0)</f>
        <v>861</v>
      </c>
      <c r="K1077" s="15" t="n">
        <f aca="false">ROUND(Annahmen!$K$36*(1+Annahmen!$B$20*D1077/1000),0)</f>
        <v>1118</v>
      </c>
      <c r="L1077" s="15" t="n">
        <f aca="false">ROUND(Annahmen!$K$37*(1+Annahmen!$B$20*D1077/1000),0)</f>
        <v>1143</v>
      </c>
      <c r="M1077" s="15" t="n">
        <f aca="false">ROUND(Annahmen!$K$38*(1+Annahmen!$B$20*D1077/1000),0)</f>
        <v>1143</v>
      </c>
      <c r="N1077" s="16" t="s">
        <v>102</v>
      </c>
    </row>
    <row r="1078" customFormat="false" ht="15" hidden="false" customHeight="false" outlineLevel="0" collapsed="false">
      <c r="A1078" s="11" t="s">
        <v>2211</v>
      </c>
      <c r="B1078" s="12"/>
      <c r="C1078" s="12"/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</row>
    <row r="1079" customFormat="false" ht="15" hidden="false" customHeight="false" outlineLevel="0" collapsed="false">
      <c r="A1079" s="13" t="s">
        <v>2212</v>
      </c>
      <c r="B1079" s="14" t="s">
        <v>2213</v>
      </c>
      <c r="C1079" s="15" t="n">
        <v>3190</v>
      </c>
      <c r="D1079" s="15" t="n">
        <v>436</v>
      </c>
      <c r="E1079" s="13" t="s">
        <v>82</v>
      </c>
      <c r="F1079" s="15" t="str">
        <f aca="false">IF(C1079&gt;=J1079,"ja","nein")</f>
        <v>ja</v>
      </c>
      <c r="G1079" s="15" t="str">
        <f aca="false">IF(C1079&gt;=K1079,"ja","nein")</f>
        <v>ja</v>
      </c>
      <c r="H1079" s="15" t="str">
        <f aca="false">IF(C1079&gt;=L1079,"ja","nein")</f>
        <v>ja</v>
      </c>
      <c r="I1079" s="15" t="str">
        <f aca="false">IF(C1079&gt;=M1079,"ja","nein")</f>
        <v>ja</v>
      </c>
      <c r="J1079" s="15" t="n">
        <f aca="false">ROUND(Annahmen!$K$35*(1+Annahmen!$B$20*D1079/1000),0)</f>
        <v>873</v>
      </c>
      <c r="K1079" s="15" t="n">
        <f aca="false">ROUND(Annahmen!$K$36*(1+Annahmen!$B$20*D1079/1000),0)</f>
        <v>1134</v>
      </c>
      <c r="L1079" s="15" t="n">
        <f aca="false">ROUND(Annahmen!$K$37*(1+Annahmen!$B$20*D1079/1000),0)</f>
        <v>1159</v>
      </c>
      <c r="M1079" s="15" t="n">
        <f aca="false">ROUND(Annahmen!$K$38*(1+Annahmen!$B$20*D1079/1000),0)</f>
        <v>1159</v>
      </c>
      <c r="N1079" s="16" t="s">
        <v>83</v>
      </c>
    </row>
    <row r="1080" customFormat="false" ht="15" hidden="false" customHeight="false" outlineLevel="0" collapsed="false">
      <c r="A1080" s="13" t="s">
        <v>2214</v>
      </c>
      <c r="B1080" s="14" t="s">
        <v>2215</v>
      </c>
      <c r="C1080" s="15" t="n">
        <v>3100</v>
      </c>
      <c r="D1080" s="15" t="n">
        <v>755</v>
      </c>
      <c r="E1080" s="13" t="s">
        <v>82</v>
      </c>
      <c r="F1080" s="15" t="str">
        <f aca="false">IF(C1080&gt;=J1080,"ja","nein")</f>
        <v>ja</v>
      </c>
      <c r="G1080" s="15" t="str">
        <f aca="false">IF(C1080&gt;=K1080,"ja","nein")</f>
        <v>ja</v>
      </c>
      <c r="H1080" s="15" t="str">
        <f aca="false">IF(C1080&gt;=L1080,"ja","nein")</f>
        <v>ja</v>
      </c>
      <c r="I1080" s="15" t="str">
        <f aca="false">IF(C1080&gt;=M1080,"ja","nein")</f>
        <v>ja</v>
      </c>
      <c r="J1080" s="15" t="n">
        <f aca="false">ROUND(Annahmen!$K$35*(1+Annahmen!$B$20*D1080/1000),0)</f>
        <v>897</v>
      </c>
      <c r="K1080" s="15" t="n">
        <f aca="false">ROUND(Annahmen!$K$36*(1+Annahmen!$B$20*D1080/1000),0)</f>
        <v>1165</v>
      </c>
      <c r="L1080" s="15" t="n">
        <f aca="false">ROUND(Annahmen!$K$37*(1+Annahmen!$B$20*D1080/1000),0)</f>
        <v>1191</v>
      </c>
      <c r="M1080" s="15" t="n">
        <f aca="false">ROUND(Annahmen!$K$38*(1+Annahmen!$B$20*D1080/1000),0)</f>
        <v>1191</v>
      </c>
      <c r="N1080" s="16" t="s">
        <v>86</v>
      </c>
    </row>
    <row r="1081" customFormat="false" ht="15" hidden="false" customHeight="false" outlineLevel="0" collapsed="false">
      <c r="A1081" s="13" t="s">
        <v>2216</v>
      </c>
      <c r="B1081" s="14" t="s">
        <v>2217</v>
      </c>
      <c r="C1081" s="15" t="n">
        <v>2600</v>
      </c>
      <c r="D1081" s="15" t="n">
        <v>2356</v>
      </c>
      <c r="E1081" s="13" t="s">
        <v>82</v>
      </c>
      <c r="F1081" s="15" t="str">
        <f aca="false">IF(C1081&gt;=J1081,"ja","nein")</f>
        <v>ja</v>
      </c>
      <c r="G1081" s="15" t="str">
        <f aca="false">IF(C1081&gt;=K1081,"ja","nein")</f>
        <v>ja</v>
      </c>
      <c r="H1081" s="15" t="str">
        <f aca="false">IF(C1081&gt;=L1081,"ja","nein")</f>
        <v>ja</v>
      </c>
      <c r="I1081" s="15" t="str">
        <f aca="false">IF(C1081&gt;=M1081,"ja","nein")</f>
        <v>ja</v>
      </c>
      <c r="J1081" s="15" t="n">
        <f aca="false">ROUND(Annahmen!$K$35*(1+Annahmen!$B$20*D1081/1000),0)</f>
        <v>1018</v>
      </c>
      <c r="K1081" s="15" t="n">
        <f aca="false">ROUND(Annahmen!$K$36*(1+Annahmen!$B$20*D1081/1000),0)</f>
        <v>1322</v>
      </c>
      <c r="L1081" s="15" t="n">
        <f aca="false">ROUND(Annahmen!$K$37*(1+Annahmen!$B$20*D1081/1000),0)</f>
        <v>1351</v>
      </c>
      <c r="M1081" s="15" t="n">
        <f aca="false">ROUND(Annahmen!$K$38*(1+Annahmen!$B$20*D1081/1000),0)</f>
        <v>1351</v>
      </c>
      <c r="N1081" s="16" t="s">
        <v>86</v>
      </c>
    </row>
    <row r="1082" customFormat="false" ht="15" hidden="false" customHeight="false" outlineLevel="0" collapsed="false">
      <c r="A1082" s="13" t="s">
        <v>2218</v>
      </c>
      <c r="B1082" s="14" t="s">
        <v>2219</v>
      </c>
      <c r="C1082" s="15" t="n">
        <v>2400</v>
      </c>
      <c r="D1082" s="15" t="n">
        <v>1043</v>
      </c>
      <c r="E1082" s="13" t="s">
        <v>82</v>
      </c>
      <c r="F1082" s="15" t="str">
        <f aca="false">IF(C1082&gt;=J1082,"ja","nein")</f>
        <v>ja</v>
      </c>
      <c r="G1082" s="15" t="str">
        <f aca="false">IF(C1082&gt;=K1082,"ja","nein")</f>
        <v>ja</v>
      </c>
      <c r="H1082" s="15" t="str">
        <f aca="false">IF(C1082&gt;=L1082,"ja","nein")</f>
        <v>ja</v>
      </c>
      <c r="I1082" s="15" t="str">
        <f aca="false">IF(C1082&gt;=M1082,"ja","nein")</f>
        <v>ja</v>
      </c>
      <c r="J1082" s="15" t="n">
        <f aca="false">ROUND(Annahmen!$K$35*(1+Annahmen!$B$20*D1082/1000),0)</f>
        <v>919</v>
      </c>
      <c r="K1082" s="15" t="n">
        <f aca="false">ROUND(Annahmen!$K$36*(1+Annahmen!$B$20*D1082/1000),0)</f>
        <v>1193</v>
      </c>
      <c r="L1082" s="15" t="n">
        <f aca="false">ROUND(Annahmen!$K$37*(1+Annahmen!$B$20*D1082/1000),0)</f>
        <v>1220</v>
      </c>
      <c r="M1082" s="15" t="n">
        <f aca="false">ROUND(Annahmen!$K$38*(1+Annahmen!$B$20*D1082/1000),0)</f>
        <v>1220</v>
      </c>
      <c r="N1082" s="16" t="s">
        <v>86</v>
      </c>
    </row>
    <row r="1083" customFormat="false" ht="15" hidden="false" customHeight="false" outlineLevel="0" collapsed="false">
      <c r="A1083" s="13" t="s">
        <v>2220</v>
      </c>
      <c r="B1083" s="14" t="s">
        <v>2221</v>
      </c>
      <c r="C1083" s="15" t="n">
        <v>2000</v>
      </c>
      <c r="D1083" s="15" t="n">
        <v>545</v>
      </c>
      <c r="E1083" s="13" t="s">
        <v>82</v>
      </c>
      <c r="F1083" s="15" t="str">
        <f aca="false">IF(C1083&gt;=J1083,"ja","nein")</f>
        <v>ja</v>
      </c>
      <c r="G1083" s="15" t="str">
        <f aca="false">IF(C1083&gt;=K1083,"ja","nein")</f>
        <v>ja</v>
      </c>
      <c r="H1083" s="15" t="str">
        <f aca="false">IF(C1083&gt;=L1083,"ja","nein")</f>
        <v>ja</v>
      </c>
      <c r="I1083" s="15" t="str">
        <f aca="false">IF(C1083&gt;=M1083,"ja","nein")</f>
        <v>ja</v>
      </c>
      <c r="J1083" s="15" t="n">
        <f aca="false">ROUND(Annahmen!$K$35*(1+Annahmen!$B$20*D1083/1000),0)</f>
        <v>881</v>
      </c>
      <c r="K1083" s="15" t="n">
        <f aca="false">ROUND(Annahmen!$K$36*(1+Annahmen!$B$20*D1083/1000),0)</f>
        <v>1145</v>
      </c>
      <c r="L1083" s="15" t="n">
        <f aca="false">ROUND(Annahmen!$K$37*(1+Annahmen!$B$20*D1083/1000),0)</f>
        <v>1170</v>
      </c>
      <c r="M1083" s="15" t="n">
        <f aca="false">ROUND(Annahmen!$K$38*(1+Annahmen!$B$20*D1083/1000),0)</f>
        <v>1170</v>
      </c>
      <c r="N1083" s="16" t="s">
        <v>86</v>
      </c>
    </row>
    <row r="1084" customFormat="false" ht="15" hidden="false" customHeight="false" outlineLevel="0" collapsed="false">
      <c r="A1084" s="13" t="s">
        <v>2222</v>
      </c>
      <c r="B1084" s="14" t="s">
        <v>2223</v>
      </c>
      <c r="C1084" s="15" t="n">
        <v>2000</v>
      </c>
      <c r="D1084" s="15" t="n">
        <v>676</v>
      </c>
      <c r="E1084" s="13" t="s">
        <v>82</v>
      </c>
      <c r="F1084" s="15" t="str">
        <f aca="false">IF(C1084&gt;=J1084,"ja","nein")</f>
        <v>ja</v>
      </c>
      <c r="G1084" s="15" t="str">
        <f aca="false">IF(C1084&gt;=K1084,"ja","nein")</f>
        <v>ja</v>
      </c>
      <c r="H1084" s="15" t="str">
        <f aca="false">IF(C1084&gt;=L1084,"ja","nein")</f>
        <v>ja</v>
      </c>
      <c r="I1084" s="15" t="str">
        <f aca="false">IF(C1084&gt;=M1084,"ja","nein")</f>
        <v>ja</v>
      </c>
      <c r="J1084" s="15" t="n">
        <f aca="false">ROUND(Annahmen!$K$35*(1+Annahmen!$B$20*D1084/1000),0)</f>
        <v>891</v>
      </c>
      <c r="K1084" s="15" t="n">
        <f aca="false">ROUND(Annahmen!$K$36*(1+Annahmen!$B$20*D1084/1000),0)</f>
        <v>1157</v>
      </c>
      <c r="L1084" s="15" t="n">
        <f aca="false">ROUND(Annahmen!$K$37*(1+Annahmen!$B$20*D1084/1000),0)</f>
        <v>1183</v>
      </c>
      <c r="M1084" s="15" t="n">
        <f aca="false">ROUND(Annahmen!$K$38*(1+Annahmen!$B$20*D1084/1000),0)</f>
        <v>1183</v>
      </c>
      <c r="N1084" s="16" t="s">
        <v>102</v>
      </c>
    </row>
    <row r="1085" customFormat="false" ht="15" hidden="false" customHeight="false" outlineLevel="0" collapsed="false">
      <c r="A1085" s="13" t="s">
        <v>2224</v>
      </c>
      <c r="B1085" s="14" t="s">
        <v>2225</v>
      </c>
      <c r="C1085" s="15" t="n">
        <v>1150</v>
      </c>
      <c r="D1085" s="15" t="n">
        <v>1020</v>
      </c>
      <c r="E1085" s="13" t="s">
        <v>82</v>
      </c>
      <c r="F1085" s="15" t="str">
        <f aca="false">IF(C1085&gt;=J1085,"ja","nein")</f>
        <v>ja</v>
      </c>
      <c r="G1085" s="15" t="str">
        <f aca="false">IF(C1085&gt;=K1085,"ja","nein")</f>
        <v>nein</v>
      </c>
      <c r="H1085" s="15" t="str">
        <f aca="false">IF(C1085&gt;=L1085,"ja","nein")</f>
        <v>nein</v>
      </c>
      <c r="I1085" s="15" t="str">
        <f aca="false">IF(C1085&gt;=M1085,"ja","nein")</f>
        <v>nein</v>
      </c>
      <c r="J1085" s="15" t="n">
        <f aca="false">ROUND(Annahmen!$K$35*(1+Annahmen!$B$20*D1085/1000),0)</f>
        <v>917</v>
      </c>
      <c r="K1085" s="15" t="n">
        <f aca="false">ROUND(Annahmen!$K$36*(1+Annahmen!$B$20*D1085/1000),0)</f>
        <v>1191</v>
      </c>
      <c r="L1085" s="15" t="n">
        <f aca="false">ROUND(Annahmen!$K$37*(1+Annahmen!$B$20*D1085/1000),0)</f>
        <v>1217</v>
      </c>
      <c r="M1085" s="15" t="n">
        <f aca="false">ROUND(Annahmen!$K$38*(1+Annahmen!$B$20*D1085/1000),0)</f>
        <v>1217</v>
      </c>
      <c r="N1085" s="16" t="s">
        <v>86</v>
      </c>
    </row>
    <row r="1086" customFormat="false" ht="15" hidden="false" customHeight="false" outlineLevel="0" collapsed="false">
      <c r="A1086" s="13" t="s">
        <v>2226</v>
      </c>
      <c r="B1086" s="14" t="s">
        <v>2227</v>
      </c>
      <c r="C1086" s="15" t="n">
        <v>600</v>
      </c>
      <c r="D1086" s="15" t="n">
        <v>1545</v>
      </c>
      <c r="E1086" s="13" t="s">
        <v>82</v>
      </c>
      <c r="F1086" s="15" t="str">
        <f aca="false">IF(C1086&gt;=J1086,"ja","nein")</f>
        <v>nein</v>
      </c>
      <c r="G1086" s="15" t="str">
        <f aca="false">IF(C1086&gt;=K1086,"ja","nein")</f>
        <v>nein</v>
      </c>
      <c r="H1086" s="15" t="str">
        <f aca="false">IF(C1086&gt;=L1086,"ja","nein")</f>
        <v>nein</v>
      </c>
      <c r="I1086" s="15" t="str">
        <f aca="false">IF(C1086&gt;=M1086,"ja","nein")</f>
        <v>nein</v>
      </c>
      <c r="J1086" s="15" t="n">
        <f aca="false">ROUND(Annahmen!$K$35*(1+Annahmen!$B$20*D1086/1000),0)</f>
        <v>957</v>
      </c>
      <c r="K1086" s="15" t="n">
        <f aca="false">ROUND(Annahmen!$K$36*(1+Annahmen!$B$20*D1086/1000),0)</f>
        <v>1243</v>
      </c>
      <c r="L1086" s="15" t="n">
        <f aca="false">ROUND(Annahmen!$K$37*(1+Annahmen!$B$20*D1086/1000),0)</f>
        <v>1270</v>
      </c>
      <c r="M1086" s="15" t="n">
        <f aca="false">ROUND(Annahmen!$K$38*(1+Annahmen!$B$20*D1086/1000),0)</f>
        <v>1270</v>
      </c>
      <c r="N1086" s="16" t="s">
        <v>102</v>
      </c>
    </row>
    <row r="1087" customFormat="false" ht="15" hidden="false" customHeight="false" outlineLevel="0" collapsed="false">
      <c r="A1087" s="13" t="s">
        <v>2228</v>
      </c>
      <c r="B1087" s="14" t="s">
        <v>2229</v>
      </c>
      <c r="C1087" s="15" t="n">
        <v>570</v>
      </c>
      <c r="D1087" s="15" t="n">
        <v>1143</v>
      </c>
      <c r="E1087" s="13" t="s">
        <v>82</v>
      </c>
      <c r="F1087" s="15" t="str">
        <f aca="false">IF(C1087&gt;=J1087,"ja","nein")</f>
        <v>nein</v>
      </c>
      <c r="G1087" s="15" t="str">
        <f aca="false">IF(C1087&gt;=K1087,"ja","nein")</f>
        <v>nein</v>
      </c>
      <c r="H1087" s="15" t="str">
        <f aca="false">IF(C1087&gt;=L1087,"ja","nein")</f>
        <v>nein</v>
      </c>
      <c r="I1087" s="15" t="str">
        <f aca="false">IF(C1087&gt;=M1087,"ja","nein")</f>
        <v>nein</v>
      </c>
      <c r="J1087" s="15" t="n">
        <f aca="false">ROUND(Annahmen!$K$35*(1+Annahmen!$B$20*D1087/1000),0)</f>
        <v>926</v>
      </c>
      <c r="K1087" s="15" t="n">
        <f aca="false">ROUND(Annahmen!$K$36*(1+Annahmen!$B$20*D1087/1000),0)</f>
        <v>1203</v>
      </c>
      <c r="L1087" s="15" t="n">
        <f aca="false">ROUND(Annahmen!$K$37*(1+Annahmen!$B$20*D1087/1000),0)</f>
        <v>1230</v>
      </c>
      <c r="M1087" s="15" t="n">
        <f aca="false">ROUND(Annahmen!$K$38*(1+Annahmen!$B$20*D1087/1000),0)</f>
        <v>1230</v>
      </c>
      <c r="N1087" s="16" t="s">
        <v>102</v>
      </c>
    </row>
    <row r="1088" customFormat="false" ht="15" hidden="false" customHeight="false" outlineLevel="0" collapsed="false">
      <c r="A1088" s="13" t="s">
        <v>2230</v>
      </c>
      <c r="B1088" s="14" t="s">
        <v>2231</v>
      </c>
      <c r="C1088" s="15" t="n">
        <v>544</v>
      </c>
      <c r="D1088" s="15" t="n">
        <v>2103</v>
      </c>
      <c r="E1088" s="13" t="s">
        <v>82</v>
      </c>
      <c r="F1088" s="15" t="str">
        <f aca="false">IF(C1088&gt;=J1088,"ja","nein")</f>
        <v>nein</v>
      </c>
      <c r="G1088" s="15" t="str">
        <f aca="false">IF(C1088&gt;=K1088,"ja","nein")</f>
        <v>nein</v>
      </c>
      <c r="H1088" s="15" t="str">
        <f aca="false">IF(C1088&gt;=L1088,"ja","nein")</f>
        <v>nein</v>
      </c>
      <c r="I1088" s="15" t="str">
        <f aca="false">IF(C1088&gt;=M1088,"ja","nein")</f>
        <v>nein</v>
      </c>
      <c r="J1088" s="15" t="n">
        <f aca="false">ROUND(Annahmen!$K$35*(1+Annahmen!$B$20*D1088/1000),0)</f>
        <v>999</v>
      </c>
      <c r="K1088" s="15" t="n">
        <f aca="false">ROUND(Annahmen!$K$36*(1+Annahmen!$B$20*D1088/1000),0)</f>
        <v>1297</v>
      </c>
      <c r="L1088" s="15" t="n">
        <f aca="false">ROUND(Annahmen!$K$37*(1+Annahmen!$B$20*D1088/1000),0)</f>
        <v>1326</v>
      </c>
      <c r="M1088" s="15" t="n">
        <f aca="false">ROUND(Annahmen!$K$38*(1+Annahmen!$B$20*D1088/1000),0)</f>
        <v>1326</v>
      </c>
      <c r="N1088" s="16" t="s">
        <v>102</v>
      </c>
    </row>
    <row r="1089" customFormat="false" ht="15" hidden="false" customHeight="false" outlineLevel="0" collapsed="false">
      <c r="A1089" s="11" t="s">
        <v>2232</v>
      </c>
      <c r="B1089" s="12"/>
      <c r="C1089" s="12"/>
      <c r="D1089" s="12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</row>
    <row r="1090" customFormat="false" ht="15" hidden="false" customHeight="false" outlineLevel="0" collapsed="false">
      <c r="A1090" s="13" t="s">
        <v>2233</v>
      </c>
      <c r="B1090" s="14" t="s">
        <v>2234</v>
      </c>
      <c r="C1090" s="15" t="n">
        <v>3300</v>
      </c>
      <c r="D1090" s="15" t="n">
        <v>1273</v>
      </c>
      <c r="E1090" s="13" t="s">
        <v>82</v>
      </c>
      <c r="F1090" s="15" t="str">
        <f aca="false">IF(C1090&gt;=J1090,"ja","nein")</f>
        <v>ja</v>
      </c>
      <c r="G1090" s="15" t="str">
        <f aca="false">IF(C1090&gt;=K1090,"ja","nein")</f>
        <v>ja</v>
      </c>
      <c r="H1090" s="15" t="str">
        <f aca="false">IF(C1090&gt;=L1090,"ja","nein")</f>
        <v>ja</v>
      </c>
      <c r="I1090" s="15" t="str">
        <f aca="false">IF(C1090&gt;=M1090,"ja","nein")</f>
        <v>ja</v>
      </c>
      <c r="J1090" s="15" t="n">
        <f aca="false">ROUND(Annahmen!$K$35*(1+Annahmen!$B$20*D1090/1000),0)</f>
        <v>936</v>
      </c>
      <c r="K1090" s="15" t="n">
        <f aca="false">ROUND(Annahmen!$K$36*(1+Annahmen!$B$20*D1090/1000),0)</f>
        <v>1216</v>
      </c>
      <c r="L1090" s="15" t="n">
        <f aca="false">ROUND(Annahmen!$K$37*(1+Annahmen!$B$20*D1090/1000),0)</f>
        <v>1243</v>
      </c>
      <c r="M1090" s="15" t="n">
        <f aca="false">ROUND(Annahmen!$K$38*(1+Annahmen!$B$20*D1090/1000),0)</f>
        <v>1243</v>
      </c>
      <c r="N1090" s="16" t="s">
        <v>83</v>
      </c>
    </row>
    <row r="1091" customFormat="false" ht="15" hidden="false" customHeight="false" outlineLevel="0" collapsed="false">
      <c r="A1091" s="13" t="s">
        <v>2235</v>
      </c>
      <c r="B1091" s="14" t="s">
        <v>2236</v>
      </c>
      <c r="C1091" s="15" t="n">
        <v>2500</v>
      </c>
      <c r="D1091" s="15" t="n">
        <v>876</v>
      </c>
      <c r="E1091" s="13" t="s">
        <v>82</v>
      </c>
      <c r="F1091" s="15" t="str">
        <f aca="false">IF(C1091&gt;=J1091,"ja","nein")</f>
        <v>ja</v>
      </c>
      <c r="G1091" s="15" t="str">
        <f aca="false">IF(C1091&gt;=K1091,"ja","nein")</f>
        <v>ja</v>
      </c>
      <c r="H1091" s="15" t="str">
        <f aca="false">IF(C1091&gt;=L1091,"ja","nein")</f>
        <v>ja</v>
      </c>
      <c r="I1091" s="15" t="str">
        <f aca="false">IF(C1091&gt;=M1091,"ja","nein")</f>
        <v>ja</v>
      </c>
      <c r="J1091" s="15" t="n">
        <f aca="false">ROUND(Annahmen!$K$35*(1+Annahmen!$B$20*D1091/1000),0)</f>
        <v>906</v>
      </c>
      <c r="K1091" s="15" t="n">
        <f aca="false">ROUND(Annahmen!$K$36*(1+Annahmen!$B$20*D1091/1000),0)</f>
        <v>1177</v>
      </c>
      <c r="L1091" s="15" t="n">
        <f aca="false">ROUND(Annahmen!$K$37*(1+Annahmen!$B$20*D1091/1000),0)</f>
        <v>1203</v>
      </c>
      <c r="M1091" s="15" t="n">
        <f aca="false">ROUND(Annahmen!$K$38*(1+Annahmen!$B$20*D1091/1000),0)</f>
        <v>1203</v>
      </c>
      <c r="N1091" s="16" t="s">
        <v>86</v>
      </c>
    </row>
    <row r="1092" customFormat="false" ht="15" hidden="false" customHeight="false" outlineLevel="0" collapsed="false">
      <c r="A1092" s="13" t="s">
        <v>2237</v>
      </c>
      <c r="B1092" s="14" t="s">
        <v>2238</v>
      </c>
      <c r="C1092" s="15" t="n">
        <v>1204</v>
      </c>
      <c r="D1092" s="15" t="n">
        <v>1645</v>
      </c>
      <c r="E1092" s="13" t="s">
        <v>82</v>
      </c>
      <c r="F1092" s="15" t="str">
        <f aca="false">IF(C1092&gt;=J1092,"ja","nein")</f>
        <v>ja</v>
      </c>
      <c r="G1092" s="15" t="str">
        <f aca="false">IF(C1092&gt;=K1092,"ja","nein")</f>
        <v>nein</v>
      </c>
      <c r="H1092" s="15" t="str">
        <f aca="false">IF(C1092&gt;=L1092,"ja","nein")</f>
        <v>nein</v>
      </c>
      <c r="I1092" s="15" t="str">
        <f aca="false">IF(C1092&gt;=M1092,"ja","nein")</f>
        <v>nein</v>
      </c>
      <c r="J1092" s="15" t="n">
        <f aca="false">ROUND(Annahmen!$K$35*(1+Annahmen!$B$20*D1092/1000),0)</f>
        <v>964</v>
      </c>
      <c r="K1092" s="15" t="n">
        <f aca="false">ROUND(Annahmen!$K$36*(1+Annahmen!$B$20*D1092/1000),0)</f>
        <v>1253</v>
      </c>
      <c r="L1092" s="15" t="n">
        <f aca="false">ROUND(Annahmen!$K$37*(1+Annahmen!$B$20*D1092/1000),0)</f>
        <v>1280</v>
      </c>
      <c r="M1092" s="15" t="n">
        <f aca="false">ROUND(Annahmen!$K$38*(1+Annahmen!$B$20*D1092/1000),0)</f>
        <v>1280</v>
      </c>
      <c r="N1092" s="16" t="s">
        <v>102</v>
      </c>
    </row>
    <row r="1093" customFormat="false" ht="15" hidden="false" customHeight="false" outlineLevel="0" collapsed="false">
      <c r="A1093" s="13" t="s">
        <v>2239</v>
      </c>
      <c r="B1093" s="14" t="s">
        <v>2240</v>
      </c>
      <c r="C1093" s="15" t="n">
        <v>1201</v>
      </c>
      <c r="D1093" s="15" t="n">
        <v>7</v>
      </c>
      <c r="E1093" s="13" t="s">
        <v>82</v>
      </c>
      <c r="F1093" s="15" t="str">
        <f aca="false">IF(C1093&gt;=J1093,"ja","nein")</f>
        <v>ja</v>
      </c>
      <c r="G1093" s="15" t="str">
        <f aca="false">IF(C1093&gt;=K1093,"ja","nein")</f>
        <v>ja</v>
      </c>
      <c r="H1093" s="15" t="str">
        <f aca="false">IF(C1093&gt;=L1093,"ja","nein")</f>
        <v>ja</v>
      </c>
      <c r="I1093" s="15" t="str">
        <f aca="false">IF(C1093&gt;=M1093,"ja","nein")</f>
        <v>ja</v>
      </c>
      <c r="J1093" s="15" t="n">
        <f aca="false">ROUND(Annahmen!$K$35*(1+Annahmen!$B$20*D1093/1000),0)</f>
        <v>841</v>
      </c>
      <c r="K1093" s="15" t="n">
        <f aca="false">ROUND(Annahmen!$K$36*(1+Annahmen!$B$20*D1093/1000),0)</f>
        <v>1092</v>
      </c>
      <c r="L1093" s="15" t="n">
        <f aca="false">ROUND(Annahmen!$K$37*(1+Annahmen!$B$20*D1093/1000),0)</f>
        <v>1116</v>
      </c>
      <c r="M1093" s="15" t="n">
        <f aca="false">ROUND(Annahmen!$K$38*(1+Annahmen!$B$20*D1093/1000),0)</f>
        <v>1116</v>
      </c>
      <c r="N1093" s="16" t="s">
        <v>86</v>
      </c>
    </row>
    <row r="1094" customFormat="false" ht="15" hidden="false" customHeight="false" outlineLevel="0" collapsed="false">
      <c r="A1094" s="13" t="s">
        <v>2241</v>
      </c>
      <c r="B1094" s="14" t="s">
        <v>2242</v>
      </c>
      <c r="C1094" s="15" t="n">
        <v>1130</v>
      </c>
      <c r="D1094" s="15" t="n">
        <v>1654</v>
      </c>
      <c r="E1094" s="13" t="s">
        <v>82</v>
      </c>
      <c r="F1094" s="15" t="str">
        <f aca="false">IF(C1094&gt;=J1094,"ja","nein")</f>
        <v>ja</v>
      </c>
      <c r="G1094" s="15" t="str">
        <f aca="false">IF(C1094&gt;=K1094,"ja","nein")</f>
        <v>nein</v>
      </c>
      <c r="H1094" s="15" t="str">
        <f aca="false">IF(C1094&gt;=L1094,"ja","nein")</f>
        <v>nein</v>
      </c>
      <c r="I1094" s="15" t="str">
        <f aca="false">IF(C1094&gt;=M1094,"ja","nein")</f>
        <v>nein</v>
      </c>
      <c r="J1094" s="15" t="n">
        <f aca="false">ROUND(Annahmen!$K$35*(1+Annahmen!$B$20*D1094/1000),0)</f>
        <v>965</v>
      </c>
      <c r="K1094" s="15" t="n">
        <f aca="false">ROUND(Annahmen!$K$36*(1+Annahmen!$B$20*D1094/1000),0)</f>
        <v>1253</v>
      </c>
      <c r="L1094" s="15" t="n">
        <f aca="false">ROUND(Annahmen!$K$37*(1+Annahmen!$B$20*D1094/1000),0)</f>
        <v>1281</v>
      </c>
      <c r="M1094" s="15" t="n">
        <f aca="false">ROUND(Annahmen!$K$38*(1+Annahmen!$B$20*D1094/1000),0)</f>
        <v>1281</v>
      </c>
      <c r="N1094" s="16" t="s">
        <v>102</v>
      </c>
    </row>
    <row r="1095" customFormat="false" ht="15" hidden="false" customHeight="false" outlineLevel="0" collapsed="false">
      <c r="A1095" s="13" t="s">
        <v>2243</v>
      </c>
      <c r="B1095" s="14" t="s">
        <v>2244</v>
      </c>
      <c r="C1095" s="15" t="n">
        <v>800</v>
      </c>
      <c r="D1095" s="15" t="n">
        <v>1420</v>
      </c>
      <c r="E1095" s="13" t="s">
        <v>82</v>
      </c>
      <c r="F1095" s="15" t="str">
        <f aca="false">IF(C1095&gt;=J1095,"ja","nein")</f>
        <v>nein</v>
      </c>
      <c r="G1095" s="15" t="str">
        <f aca="false">IF(C1095&gt;=K1095,"ja","nein")</f>
        <v>nein</v>
      </c>
      <c r="H1095" s="15" t="str">
        <f aca="false">IF(C1095&gt;=L1095,"ja","nein")</f>
        <v>nein</v>
      </c>
      <c r="I1095" s="15" t="str">
        <f aca="false">IF(C1095&gt;=M1095,"ja","nein")</f>
        <v>nein</v>
      </c>
      <c r="J1095" s="15" t="n">
        <f aca="false">ROUND(Annahmen!$K$35*(1+Annahmen!$B$20*D1095/1000),0)</f>
        <v>947</v>
      </c>
      <c r="K1095" s="15" t="n">
        <f aca="false">ROUND(Annahmen!$K$36*(1+Annahmen!$B$20*D1095/1000),0)</f>
        <v>1230</v>
      </c>
      <c r="L1095" s="15" t="n">
        <f aca="false">ROUND(Annahmen!$K$37*(1+Annahmen!$B$20*D1095/1000),0)</f>
        <v>1257</v>
      </c>
      <c r="M1095" s="15" t="n">
        <f aca="false">ROUND(Annahmen!$K$38*(1+Annahmen!$B$20*D1095/1000),0)</f>
        <v>1257</v>
      </c>
      <c r="N1095" s="16" t="s">
        <v>102</v>
      </c>
    </row>
    <row r="1096" customFormat="false" ht="15" hidden="false" customHeight="false" outlineLevel="0" collapsed="false">
      <c r="A1096" s="13" t="s">
        <v>2245</v>
      </c>
      <c r="B1096" s="14" t="s">
        <v>2246</v>
      </c>
      <c r="C1096" s="15" t="n">
        <v>714</v>
      </c>
      <c r="D1096" s="15" t="n">
        <v>1283</v>
      </c>
      <c r="E1096" s="13" t="s">
        <v>82</v>
      </c>
      <c r="F1096" s="15" t="str">
        <f aca="false">IF(C1096&gt;=J1096,"ja","nein")</f>
        <v>nein</v>
      </c>
      <c r="G1096" s="15" t="str">
        <f aca="false">IF(C1096&gt;=K1096,"ja","nein")</f>
        <v>nein</v>
      </c>
      <c r="H1096" s="15" t="str">
        <f aca="false">IF(C1096&gt;=L1096,"ja","nein")</f>
        <v>nein</v>
      </c>
      <c r="I1096" s="15" t="str">
        <f aca="false">IF(C1096&gt;=M1096,"ja","nein")</f>
        <v>nein</v>
      </c>
      <c r="J1096" s="15" t="n">
        <f aca="false">ROUND(Annahmen!$K$35*(1+Annahmen!$B$20*D1096/1000),0)</f>
        <v>937</v>
      </c>
      <c r="K1096" s="15" t="n">
        <f aca="false">ROUND(Annahmen!$K$36*(1+Annahmen!$B$20*D1096/1000),0)</f>
        <v>1217</v>
      </c>
      <c r="L1096" s="15" t="n">
        <f aca="false">ROUND(Annahmen!$K$37*(1+Annahmen!$B$20*D1096/1000),0)</f>
        <v>1244</v>
      </c>
      <c r="M1096" s="15" t="n">
        <f aca="false">ROUND(Annahmen!$K$38*(1+Annahmen!$B$20*D1096/1000),0)</f>
        <v>1244</v>
      </c>
      <c r="N1096" s="16" t="s">
        <v>102</v>
      </c>
    </row>
    <row r="1097" customFormat="false" ht="15" hidden="false" customHeight="false" outlineLevel="0" collapsed="false">
      <c r="A1097" s="11" t="s">
        <v>2247</v>
      </c>
      <c r="B1097" s="12"/>
      <c r="C1097" s="12"/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</row>
    <row r="1098" customFormat="false" ht="15" hidden="false" customHeight="false" outlineLevel="0" collapsed="false">
      <c r="A1098" s="13" t="s">
        <v>2248</v>
      </c>
      <c r="B1098" s="14" t="s">
        <v>2249</v>
      </c>
      <c r="C1098" s="15" t="n">
        <v>4350</v>
      </c>
      <c r="D1098" s="15" t="n">
        <v>1998</v>
      </c>
      <c r="E1098" s="13" t="s">
        <v>82</v>
      </c>
      <c r="F1098" s="15" t="str">
        <f aca="false">IF(C1098&gt;=J1098,"ja","nein")</f>
        <v>ja</v>
      </c>
      <c r="G1098" s="15" t="str">
        <f aca="false">IF(C1098&gt;=K1098,"ja","nein")</f>
        <v>ja</v>
      </c>
      <c r="H1098" s="15" t="str">
        <f aca="false">IF(C1098&gt;=L1098,"ja","nein")</f>
        <v>ja</v>
      </c>
      <c r="I1098" s="15" t="str">
        <f aca="false">IF(C1098&gt;=M1098,"ja","nein")</f>
        <v>ja</v>
      </c>
      <c r="J1098" s="15" t="n">
        <f aca="false">ROUND(Annahmen!$K$35*(1+Annahmen!$B$20*D1098/1000),0)</f>
        <v>991</v>
      </c>
      <c r="K1098" s="15" t="n">
        <f aca="false">ROUND(Annahmen!$K$36*(1+Annahmen!$B$20*D1098/1000),0)</f>
        <v>1287</v>
      </c>
      <c r="L1098" s="15" t="n">
        <f aca="false">ROUND(Annahmen!$K$37*(1+Annahmen!$B$20*D1098/1000),0)</f>
        <v>1315</v>
      </c>
      <c r="M1098" s="15" t="n">
        <f aca="false">ROUND(Annahmen!$K$38*(1+Annahmen!$B$20*D1098/1000),0)</f>
        <v>1315</v>
      </c>
      <c r="N1098" s="16" t="s">
        <v>83</v>
      </c>
    </row>
    <row r="1099" customFormat="false" ht="15" hidden="false" customHeight="false" outlineLevel="0" collapsed="false">
      <c r="A1099" s="13" t="s">
        <v>2250</v>
      </c>
      <c r="B1099" s="14" t="s">
        <v>2251</v>
      </c>
      <c r="C1099" s="15" t="n">
        <v>4100</v>
      </c>
      <c r="D1099" s="15" t="n">
        <v>2120</v>
      </c>
      <c r="E1099" s="13" t="s">
        <v>82</v>
      </c>
      <c r="F1099" s="15" t="str">
        <f aca="false">IF(C1099&gt;=J1099,"ja","nein")</f>
        <v>ja</v>
      </c>
      <c r="G1099" s="15" t="str">
        <f aca="false">IF(C1099&gt;=K1099,"ja","nein")</f>
        <v>ja</v>
      </c>
      <c r="H1099" s="15" t="str">
        <f aca="false">IF(C1099&gt;=L1099,"ja","nein")</f>
        <v>ja</v>
      </c>
      <c r="I1099" s="15" t="str">
        <f aca="false">IF(C1099&gt;=M1099,"ja","nein")</f>
        <v>ja</v>
      </c>
      <c r="J1099" s="15" t="n">
        <f aca="false">ROUND(Annahmen!$K$35*(1+Annahmen!$B$20*D1099/1000),0)</f>
        <v>1000</v>
      </c>
      <c r="K1099" s="15" t="n">
        <f aca="false">ROUND(Annahmen!$K$36*(1+Annahmen!$B$20*D1099/1000),0)</f>
        <v>1299</v>
      </c>
      <c r="L1099" s="15" t="n">
        <f aca="false">ROUND(Annahmen!$K$37*(1+Annahmen!$B$20*D1099/1000),0)</f>
        <v>1328</v>
      </c>
      <c r="M1099" s="15" t="n">
        <f aca="false">ROUND(Annahmen!$K$38*(1+Annahmen!$B$20*D1099/1000),0)</f>
        <v>1328</v>
      </c>
      <c r="N1099" s="16" t="s">
        <v>86</v>
      </c>
    </row>
    <row r="1100" customFormat="false" ht="15" hidden="false" customHeight="false" outlineLevel="0" collapsed="false">
      <c r="A1100" s="13" t="s">
        <v>2252</v>
      </c>
      <c r="B1100" s="14" t="s">
        <v>2253</v>
      </c>
      <c r="C1100" s="15" t="n">
        <v>3718</v>
      </c>
      <c r="D1100" s="15" t="n">
        <v>863</v>
      </c>
      <c r="E1100" s="13" t="s">
        <v>82</v>
      </c>
      <c r="F1100" s="15" t="str">
        <f aca="false">IF(C1100&gt;=J1100,"ja","nein")</f>
        <v>ja</v>
      </c>
      <c r="G1100" s="15" t="str">
        <f aca="false">IF(C1100&gt;=K1100,"ja","nein")</f>
        <v>ja</v>
      </c>
      <c r="H1100" s="15" t="str">
        <f aca="false">IF(C1100&gt;=L1100,"ja","nein")</f>
        <v>ja</v>
      </c>
      <c r="I1100" s="15" t="str">
        <f aca="false">IF(C1100&gt;=M1100,"ja","nein")</f>
        <v>ja</v>
      </c>
      <c r="J1100" s="15" t="n">
        <f aca="false">ROUND(Annahmen!$K$35*(1+Annahmen!$B$20*D1100/1000),0)</f>
        <v>905</v>
      </c>
      <c r="K1100" s="15" t="n">
        <f aca="false">ROUND(Annahmen!$K$36*(1+Annahmen!$B$20*D1100/1000),0)</f>
        <v>1176</v>
      </c>
      <c r="L1100" s="15" t="n">
        <f aca="false">ROUND(Annahmen!$K$37*(1+Annahmen!$B$20*D1100/1000),0)</f>
        <v>1202</v>
      </c>
      <c r="M1100" s="15" t="n">
        <f aca="false">ROUND(Annahmen!$K$38*(1+Annahmen!$B$20*D1100/1000),0)</f>
        <v>1202</v>
      </c>
      <c r="N1100" s="16" t="s">
        <v>83</v>
      </c>
    </row>
    <row r="1101" customFormat="false" ht="15" hidden="false" customHeight="false" outlineLevel="0" collapsed="false">
      <c r="A1101" s="13" t="s">
        <v>2254</v>
      </c>
      <c r="B1101" s="14" t="s">
        <v>2255</v>
      </c>
      <c r="C1101" s="15" t="n">
        <v>3690</v>
      </c>
      <c r="D1101" s="15" t="n">
        <v>86</v>
      </c>
      <c r="E1101" s="13" t="s">
        <v>82</v>
      </c>
      <c r="F1101" s="15" t="str">
        <f aca="false">IF(C1101&gt;=J1101,"ja","nein")</f>
        <v>ja</v>
      </c>
      <c r="G1101" s="15" t="str">
        <f aca="false">IF(C1101&gt;=K1101,"ja","nein")</f>
        <v>ja</v>
      </c>
      <c r="H1101" s="15" t="str">
        <f aca="false">IF(C1101&gt;=L1101,"ja","nein")</f>
        <v>ja</v>
      </c>
      <c r="I1101" s="15" t="str">
        <f aca="false">IF(C1101&gt;=M1101,"ja","nein")</f>
        <v>ja</v>
      </c>
      <c r="J1101" s="15" t="n">
        <f aca="false">ROUND(Annahmen!$K$35*(1+Annahmen!$B$20*D1101/1000),0)</f>
        <v>847</v>
      </c>
      <c r="K1101" s="15" t="n">
        <f aca="false">ROUND(Annahmen!$K$36*(1+Annahmen!$B$20*D1101/1000),0)</f>
        <v>1099</v>
      </c>
      <c r="L1101" s="15" t="n">
        <f aca="false">ROUND(Annahmen!$K$37*(1+Annahmen!$B$20*D1101/1000),0)</f>
        <v>1124</v>
      </c>
      <c r="M1101" s="15" t="n">
        <f aca="false">ROUND(Annahmen!$K$38*(1+Annahmen!$B$20*D1101/1000),0)</f>
        <v>1124</v>
      </c>
      <c r="N1101" s="16" t="s">
        <v>86</v>
      </c>
    </row>
    <row r="1102" customFormat="false" ht="15" hidden="false" customHeight="false" outlineLevel="0" collapsed="false">
      <c r="A1102" s="13" t="s">
        <v>2256</v>
      </c>
      <c r="B1102" s="14" t="s">
        <v>2257</v>
      </c>
      <c r="C1102" s="15" t="n">
        <v>3500</v>
      </c>
      <c r="D1102" s="15" t="n">
        <v>1682</v>
      </c>
      <c r="E1102" s="13" t="s">
        <v>82</v>
      </c>
      <c r="F1102" s="15" t="str">
        <f aca="false">IF(C1102&gt;=J1102,"ja","nein")</f>
        <v>ja</v>
      </c>
      <c r="G1102" s="15" t="str">
        <f aca="false">IF(C1102&gt;=K1102,"ja","nein")</f>
        <v>ja</v>
      </c>
      <c r="H1102" s="15" t="str">
        <f aca="false">IF(C1102&gt;=L1102,"ja","nein")</f>
        <v>ja</v>
      </c>
      <c r="I1102" s="15" t="str">
        <f aca="false">IF(C1102&gt;=M1102,"ja","nein")</f>
        <v>ja</v>
      </c>
      <c r="J1102" s="15" t="n">
        <f aca="false">ROUND(Annahmen!$K$35*(1+Annahmen!$B$20*D1102/1000),0)</f>
        <v>967</v>
      </c>
      <c r="K1102" s="15" t="n">
        <f aca="false">ROUND(Annahmen!$K$36*(1+Annahmen!$B$20*D1102/1000),0)</f>
        <v>1256</v>
      </c>
      <c r="L1102" s="15" t="n">
        <f aca="false">ROUND(Annahmen!$K$37*(1+Annahmen!$B$20*D1102/1000),0)</f>
        <v>1284</v>
      </c>
      <c r="M1102" s="15" t="n">
        <f aca="false">ROUND(Annahmen!$K$38*(1+Annahmen!$B$20*D1102/1000),0)</f>
        <v>1284</v>
      </c>
      <c r="N1102" s="16" t="s">
        <v>86</v>
      </c>
    </row>
    <row r="1103" customFormat="false" ht="15" hidden="false" customHeight="false" outlineLevel="0" collapsed="false">
      <c r="A1103" s="13" t="s">
        <v>2258</v>
      </c>
      <c r="B1103" s="14" t="s">
        <v>2259</v>
      </c>
      <c r="C1103" s="15" t="n">
        <v>3420</v>
      </c>
      <c r="D1103" s="15" t="n">
        <v>85</v>
      </c>
      <c r="E1103" s="13" t="s">
        <v>82</v>
      </c>
      <c r="F1103" s="15" t="str">
        <f aca="false">IF(C1103&gt;=J1103,"ja","nein")</f>
        <v>ja</v>
      </c>
      <c r="G1103" s="15" t="str">
        <f aca="false">IF(C1103&gt;=K1103,"ja","nein")</f>
        <v>ja</v>
      </c>
      <c r="H1103" s="15" t="str">
        <f aca="false">IF(C1103&gt;=L1103,"ja","nein")</f>
        <v>ja</v>
      </c>
      <c r="I1103" s="15" t="str">
        <f aca="false">IF(C1103&gt;=M1103,"ja","nein")</f>
        <v>ja</v>
      </c>
      <c r="J1103" s="15" t="n">
        <f aca="false">ROUND(Annahmen!$K$35*(1+Annahmen!$B$20*D1103/1000),0)</f>
        <v>846</v>
      </c>
      <c r="K1103" s="15" t="n">
        <f aca="false">ROUND(Annahmen!$K$36*(1+Annahmen!$B$20*D1103/1000),0)</f>
        <v>1099</v>
      </c>
      <c r="L1103" s="15" t="n">
        <f aca="false">ROUND(Annahmen!$K$37*(1+Annahmen!$B$20*D1103/1000),0)</f>
        <v>1124</v>
      </c>
      <c r="M1103" s="15" t="n">
        <f aca="false">ROUND(Annahmen!$K$38*(1+Annahmen!$B$20*D1103/1000),0)</f>
        <v>1124</v>
      </c>
      <c r="N1103" s="16" t="s">
        <v>83</v>
      </c>
    </row>
    <row r="1104" customFormat="false" ht="15" hidden="false" customHeight="false" outlineLevel="0" collapsed="false">
      <c r="A1104" s="13" t="s">
        <v>2260</v>
      </c>
      <c r="B1104" s="14" t="s">
        <v>2261</v>
      </c>
      <c r="C1104" s="15" t="n">
        <v>3362</v>
      </c>
      <c r="D1104" s="15" t="n">
        <v>112</v>
      </c>
      <c r="E1104" s="13" t="s">
        <v>82</v>
      </c>
      <c r="F1104" s="15" t="str">
        <f aca="false">IF(C1104&gt;=J1104,"ja","nein")</f>
        <v>ja</v>
      </c>
      <c r="G1104" s="15" t="str">
        <f aca="false">IF(C1104&gt;=K1104,"ja","nein")</f>
        <v>ja</v>
      </c>
      <c r="H1104" s="15" t="str">
        <f aca="false">IF(C1104&gt;=L1104,"ja","nein")</f>
        <v>ja</v>
      </c>
      <c r="I1104" s="15" t="str">
        <f aca="false">IF(C1104&gt;=M1104,"ja","nein")</f>
        <v>ja</v>
      </c>
      <c r="J1104" s="15" t="n">
        <f aca="false">ROUND(Annahmen!$K$35*(1+Annahmen!$B$20*D1104/1000),0)</f>
        <v>848</v>
      </c>
      <c r="K1104" s="15" t="n">
        <f aca="false">ROUND(Annahmen!$K$36*(1+Annahmen!$B$20*D1104/1000),0)</f>
        <v>1102</v>
      </c>
      <c r="L1104" s="15" t="n">
        <f aca="false">ROUND(Annahmen!$K$37*(1+Annahmen!$B$20*D1104/1000),0)</f>
        <v>1126</v>
      </c>
      <c r="M1104" s="15" t="n">
        <f aca="false">ROUND(Annahmen!$K$38*(1+Annahmen!$B$20*D1104/1000),0)</f>
        <v>1126</v>
      </c>
      <c r="N1104" s="16" t="s">
        <v>83</v>
      </c>
    </row>
    <row r="1105" customFormat="false" ht="15" hidden="false" customHeight="false" outlineLevel="0" collapsed="false">
      <c r="A1105" s="13" t="s">
        <v>2262</v>
      </c>
      <c r="B1105" s="14" t="s">
        <v>2263</v>
      </c>
      <c r="C1105" s="15" t="n">
        <v>3353</v>
      </c>
      <c r="D1105" s="15" t="n">
        <v>12</v>
      </c>
      <c r="E1105" s="13" t="s">
        <v>82</v>
      </c>
      <c r="F1105" s="15" t="str">
        <f aca="false">IF(C1105&gt;=J1105,"ja","nein")</f>
        <v>ja</v>
      </c>
      <c r="G1105" s="15" t="str">
        <f aca="false">IF(C1105&gt;=K1105,"ja","nein")</f>
        <v>ja</v>
      </c>
      <c r="H1105" s="15" t="str">
        <f aca="false">IF(C1105&gt;=L1105,"ja","nein")</f>
        <v>ja</v>
      </c>
      <c r="I1105" s="15" t="str">
        <f aca="false">IF(C1105&gt;=M1105,"ja","nein")</f>
        <v>ja</v>
      </c>
      <c r="J1105" s="15" t="n">
        <f aca="false">ROUND(Annahmen!$K$35*(1+Annahmen!$B$20*D1105/1000),0)</f>
        <v>841</v>
      </c>
      <c r="K1105" s="15" t="n">
        <f aca="false">ROUND(Annahmen!$K$36*(1+Annahmen!$B$20*D1105/1000),0)</f>
        <v>1092</v>
      </c>
      <c r="L1105" s="15" t="n">
        <f aca="false">ROUND(Annahmen!$K$37*(1+Annahmen!$B$20*D1105/1000),0)</f>
        <v>1116</v>
      </c>
      <c r="M1105" s="15" t="n">
        <f aca="false">ROUND(Annahmen!$K$38*(1+Annahmen!$B$20*D1105/1000),0)</f>
        <v>1116</v>
      </c>
      <c r="N1105" s="16" t="s">
        <v>83</v>
      </c>
    </row>
    <row r="1106" customFormat="false" ht="15" hidden="false" customHeight="false" outlineLevel="0" collapsed="false">
      <c r="A1106" s="13" t="s">
        <v>2264</v>
      </c>
      <c r="B1106" s="14" t="s">
        <v>2265</v>
      </c>
      <c r="C1106" s="15" t="n">
        <v>3270</v>
      </c>
      <c r="D1106" s="15" t="n">
        <v>27</v>
      </c>
      <c r="E1106" s="13" t="s">
        <v>82</v>
      </c>
      <c r="F1106" s="15" t="str">
        <f aca="false">IF(C1106&gt;=J1106,"ja","nein")</f>
        <v>ja</v>
      </c>
      <c r="G1106" s="15" t="str">
        <f aca="false">IF(C1106&gt;=K1106,"ja","nein")</f>
        <v>ja</v>
      </c>
      <c r="H1106" s="15" t="str">
        <f aca="false">IF(C1106&gt;=L1106,"ja","nein")</f>
        <v>ja</v>
      </c>
      <c r="I1106" s="15" t="str">
        <f aca="false">IF(C1106&gt;=M1106,"ja","nein")</f>
        <v>ja</v>
      </c>
      <c r="J1106" s="15" t="n">
        <f aca="false">ROUND(Annahmen!$K$35*(1+Annahmen!$B$20*D1106/1000),0)</f>
        <v>842</v>
      </c>
      <c r="K1106" s="15" t="n">
        <f aca="false">ROUND(Annahmen!$K$36*(1+Annahmen!$B$20*D1106/1000),0)</f>
        <v>1094</v>
      </c>
      <c r="L1106" s="15" t="n">
        <f aca="false">ROUND(Annahmen!$K$37*(1+Annahmen!$B$20*D1106/1000),0)</f>
        <v>1118</v>
      </c>
      <c r="M1106" s="15" t="n">
        <f aca="false">ROUND(Annahmen!$K$38*(1+Annahmen!$B$20*D1106/1000),0)</f>
        <v>1118</v>
      </c>
      <c r="N1106" s="16" t="s">
        <v>83</v>
      </c>
    </row>
    <row r="1107" customFormat="false" ht="15" hidden="false" customHeight="false" outlineLevel="0" collapsed="false">
      <c r="A1107" s="13" t="s">
        <v>2266</v>
      </c>
      <c r="B1107" s="14" t="s">
        <v>2267</v>
      </c>
      <c r="C1107" s="15" t="n">
        <v>3200</v>
      </c>
      <c r="D1107" s="15" t="n">
        <v>209</v>
      </c>
      <c r="E1107" s="13" t="s">
        <v>82</v>
      </c>
      <c r="F1107" s="15" t="str">
        <f aca="false">IF(C1107&gt;=J1107,"ja","nein")</f>
        <v>ja</v>
      </c>
      <c r="G1107" s="15" t="str">
        <f aca="false">IF(C1107&gt;=K1107,"ja","nein")</f>
        <v>ja</v>
      </c>
      <c r="H1107" s="15" t="str">
        <f aca="false">IF(C1107&gt;=L1107,"ja","nein")</f>
        <v>ja</v>
      </c>
      <c r="I1107" s="15" t="str">
        <f aca="false">IF(C1107&gt;=M1107,"ja","nein")</f>
        <v>ja</v>
      </c>
      <c r="J1107" s="15" t="n">
        <f aca="false">ROUND(Annahmen!$K$35*(1+Annahmen!$B$20*D1107/1000),0)</f>
        <v>856</v>
      </c>
      <c r="K1107" s="15" t="n">
        <f aca="false">ROUND(Annahmen!$K$36*(1+Annahmen!$B$20*D1107/1000),0)</f>
        <v>1112</v>
      </c>
      <c r="L1107" s="15" t="n">
        <f aca="false">ROUND(Annahmen!$K$37*(1+Annahmen!$B$20*D1107/1000),0)</f>
        <v>1136</v>
      </c>
      <c r="M1107" s="15" t="n">
        <f aca="false">ROUND(Annahmen!$K$38*(1+Annahmen!$B$20*D1107/1000),0)</f>
        <v>1136</v>
      </c>
      <c r="N1107" s="16" t="s">
        <v>83</v>
      </c>
    </row>
    <row r="1108" customFormat="false" ht="15" hidden="false" customHeight="false" outlineLevel="0" collapsed="false">
      <c r="A1108" s="13" t="s">
        <v>2268</v>
      </c>
      <c r="B1108" s="14" t="s">
        <v>2269</v>
      </c>
      <c r="C1108" s="15" t="n">
        <v>3200</v>
      </c>
      <c r="D1108" s="15" t="n">
        <v>70</v>
      </c>
      <c r="E1108" s="13" t="s">
        <v>82</v>
      </c>
      <c r="F1108" s="15" t="str">
        <f aca="false">IF(C1108&gt;=J1108,"ja","nein")</f>
        <v>ja</v>
      </c>
      <c r="G1108" s="15" t="str">
        <f aca="false">IF(C1108&gt;=K1108,"ja","nein")</f>
        <v>ja</v>
      </c>
      <c r="H1108" s="15" t="str">
        <f aca="false">IF(C1108&gt;=L1108,"ja","nein")</f>
        <v>ja</v>
      </c>
      <c r="I1108" s="15" t="str">
        <f aca="false">IF(C1108&gt;=M1108,"ja","nein")</f>
        <v>ja</v>
      </c>
      <c r="J1108" s="15" t="n">
        <f aca="false">ROUND(Annahmen!$K$35*(1+Annahmen!$B$20*D1108/1000),0)</f>
        <v>845</v>
      </c>
      <c r="K1108" s="15" t="n">
        <f aca="false">ROUND(Annahmen!$K$36*(1+Annahmen!$B$20*D1108/1000),0)</f>
        <v>1098</v>
      </c>
      <c r="L1108" s="15" t="n">
        <f aca="false">ROUND(Annahmen!$K$37*(1+Annahmen!$B$20*D1108/1000),0)</f>
        <v>1122</v>
      </c>
      <c r="M1108" s="15" t="n">
        <f aca="false">ROUND(Annahmen!$K$38*(1+Annahmen!$B$20*D1108/1000),0)</f>
        <v>1122</v>
      </c>
      <c r="N1108" s="16" t="s">
        <v>86</v>
      </c>
    </row>
    <row r="1109" customFormat="false" ht="15" hidden="false" customHeight="false" outlineLevel="0" collapsed="false">
      <c r="A1109" s="13" t="s">
        <v>2270</v>
      </c>
      <c r="B1109" s="14" t="s">
        <v>2271</v>
      </c>
      <c r="C1109" s="15" t="n">
        <v>3200</v>
      </c>
      <c r="D1109" s="15" t="n">
        <v>53</v>
      </c>
      <c r="E1109" s="13" t="s">
        <v>82</v>
      </c>
      <c r="F1109" s="15" t="str">
        <f aca="false">IF(C1109&gt;=J1109,"ja","nein")</f>
        <v>ja</v>
      </c>
      <c r="G1109" s="15" t="str">
        <f aca="false">IF(C1109&gt;=K1109,"ja","nein")</f>
        <v>ja</v>
      </c>
      <c r="H1109" s="15" t="str">
        <f aca="false">IF(C1109&gt;=L1109,"ja","nein")</f>
        <v>ja</v>
      </c>
      <c r="I1109" s="15" t="str">
        <f aca="false">IF(C1109&gt;=M1109,"ja","nein")</f>
        <v>ja</v>
      </c>
      <c r="J1109" s="15" t="n">
        <f aca="false">ROUND(Annahmen!$K$35*(1+Annahmen!$B$20*D1109/1000),0)</f>
        <v>844</v>
      </c>
      <c r="K1109" s="15" t="n">
        <f aca="false">ROUND(Annahmen!$K$36*(1+Annahmen!$B$20*D1109/1000),0)</f>
        <v>1096</v>
      </c>
      <c r="L1109" s="15" t="n">
        <f aca="false">ROUND(Annahmen!$K$37*(1+Annahmen!$B$20*D1109/1000),0)</f>
        <v>1120</v>
      </c>
      <c r="M1109" s="15" t="n">
        <f aca="false">ROUND(Annahmen!$K$38*(1+Annahmen!$B$20*D1109/1000),0)</f>
        <v>1120</v>
      </c>
      <c r="N1109" s="16" t="s">
        <v>83</v>
      </c>
    </row>
    <row r="1110" customFormat="false" ht="15" hidden="false" customHeight="false" outlineLevel="0" collapsed="false">
      <c r="A1110" s="13" t="s">
        <v>2272</v>
      </c>
      <c r="B1110" s="14" t="s">
        <v>2273</v>
      </c>
      <c r="C1110" s="15" t="n">
        <v>3200</v>
      </c>
      <c r="D1110" s="15" t="n">
        <v>1213</v>
      </c>
      <c r="E1110" s="13" t="s">
        <v>82</v>
      </c>
      <c r="F1110" s="15" t="str">
        <f aca="false">IF(C1110&gt;=J1110,"ja","nein")</f>
        <v>ja</v>
      </c>
      <c r="G1110" s="15" t="str">
        <f aca="false">IF(C1110&gt;=K1110,"ja","nein")</f>
        <v>ja</v>
      </c>
      <c r="H1110" s="15" t="str">
        <f aca="false">IF(C1110&gt;=L1110,"ja","nein")</f>
        <v>ja</v>
      </c>
      <c r="I1110" s="15" t="str">
        <f aca="false">IF(C1110&gt;=M1110,"ja","nein")</f>
        <v>ja</v>
      </c>
      <c r="J1110" s="15" t="n">
        <f aca="false">ROUND(Annahmen!$K$35*(1+Annahmen!$B$20*D1110/1000),0)</f>
        <v>932</v>
      </c>
      <c r="K1110" s="15" t="n">
        <f aca="false">ROUND(Annahmen!$K$36*(1+Annahmen!$B$20*D1110/1000),0)</f>
        <v>1210</v>
      </c>
      <c r="L1110" s="15" t="n">
        <f aca="false">ROUND(Annahmen!$K$37*(1+Annahmen!$B$20*D1110/1000),0)</f>
        <v>1237</v>
      </c>
      <c r="M1110" s="15" t="n">
        <f aca="false">ROUND(Annahmen!$K$38*(1+Annahmen!$B$20*D1110/1000),0)</f>
        <v>1237</v>
      </c>
      <c r="N1110" s="16" t="s">
        <v>83</v>
      </c>
    </row>
    <row r="1111" customFormat="false" ht="15" hidden="false" customHeight="false" outlineLevel="0" collapsed="false">
      <c r="A1111" s="13" t="s">
        <v>2274</v>
      </c>
      <c r="B1111" s="14" t="s">
        <v>2275</v>
      </c>
      <c r="C1111" s="15" t="n">
        <v>3171</v>
      </c>
      <c r="D1111" s="15" t="n">
        <v>2076</v>
      </c>
      <c r="E1111" s="13" t="s">
        <v>82</v>
      </c>
      <c r="F1111" s="15" t="str">
        <f aca="false">IF(C1111&gt;=J1111,"ja","nein")</f>
        <v>ja</v>
      </c>
      <c r="G1111" s="15" t="str">
        <f aca="false">IF(C1111&gt;=K1111,"ja","nein")</f>
        <v>ja</v>
      </c>
      <c r="H1111" s="15" t="str">
        <f aca="false">IF(C1111&gt;=L1111,"ja","nein")</f>
        <v>ja</v>
      </c>
      <c r="I1111" s="15" t="str">
        <f aca="false">IF(C1111&gt;=M1111,"ja","nein")</f>
        <v>ja</v>
      </c>
      <c r="J1111" s="15" t="n">
        <f aca="false">ROUND(Annahmen!$K$35*(1+Annahmen!$B$20*D1111/1000),0)</f>
        <v>997</v>
      </c>
      <c r="K1111" s="15" t="n">
        <f aca="false">ROUND(Annahmen!$K$36*(1+Annahmen!$B$20*D1111/1000),0)</f>
        <v>1295</v>
      </c>
      <c r="L1111" s="15" t="n">
        <f aca="false">ROUND(Annahmen!$K$37*(1+Annahmen!$B$20*D1111/1000),0)</f>
        <v>1323</v>
      </c>
      <c r="M1111" s="15" t="n">
        <f aca="false">ROUND(Annahmen!$K$38*(1+Annahmen!$B$20*D1111/1000),0)</f>
        <v>1323</v>
      </c>
      <c r="N1111" s="16" t="s">
        <v>83</v>
      </c>
    </row>
    <row r="1112" customFormat="false" ht="15" hidden="false" customHeight="false" outlineLevel="0" collapsed="false">
      <c r="A1112" s="13" t="s">
        <v>2276</v>
      </c>
      <c r="B1112" s="14" t="s">
        <v>2277</v>
      </c>
      <c r="C1112" s="15" t="n">
        <v>3100</v>
      </c>
      <c r="D1112" s="15" t="n">
        <v>78</v>
      </c>
      <c r="E1112" s="13" t="s">
        <v>82</v>
      </c>
      <c r="F1112" s="15" t="str">
        <f aca="false">IF(C1112&gt;=J1112,"ja","nein")</f>
        <v>ja</v>
      </c>
      <c r="G1112" s="15" t="str">
        <f aca="false">IF(C1112&gt;=K1112,"ja","nein")</f>
        <v>ja</v>
      </c>
      <c r="H1112" s="15" t="str">
        <f aca="false">IF(C1112&gt;=L1112,"ja","nein")</f>
        <v>ja</v>
      </c>
      <c r="I1112" s="15" t="str">
        <f aca="false">IF(C1112&gt;=M1112,"ja","nein")</f>
        <v>ja</v>
      </c>
      <c r="J1112" s="15" t="n">
        <f aca="false">ROUND(Annahmen!$K$35*(1+Annahmen!$B$20*D1112/1000),0)</f>
        <v>846</v>
      </c>
      <c r="K1112" s="15" t="n">
        <f aca="false">ROUND(Annahmen!$K$36*(1+Annahmen!$B$20*D1112/1000),0)</f>
        <v>1099</v>
      </c>
      <c r="L1112" s="15" t="n">
        <f aca="false">ROUND(Annahmen!$K$37*(1+Annahmen!$B$20*D1112/1000),0)</f>
        <v>1123</v>
      </c>
      <c r="M1112" s="15" t="n">
        <f aca="false">ROUND(Annahmen!$K$38*(1+Annahmen!$B$20*D1112/1000),0)</f>
        <v>1123</v>
      </c>
      <c r="N1112" s="16" t="s">
        <v>83</v>
      </c>
    </row>
    <row r="1113" customFormat="false" ht="15" hidden="false" customHeight="false" outlineLevel="0" collapsed="false">
      <c r="A1113" s="13" t="s">
        <v>2278</v>
      </c>
      <c r="B1113" s="14" t="s">
        <v>2279</v>
      </c>
      <c r="C1113" s="15" t="n">
        <v>3000</v>
      </c>
      <c r="D1113" s="15" t="n">
        <v>142</v>
      </c>
      <c r="E1113" s="13" t="s">
        <v>82</v>
      </c>
      <c r="F1113" s="15" t="str">
        <f aca="false">IF(C1113&gt;=J1113,"ja","nein")</f>
        <v>ja</v>
      </c>
      <c r="G1113" s="15" t="str">
        <f aca="false">IF(C1113&gt;=K1113,"ja","nein")</f>
        <v>ja</v>
      </c>
      <c r="H1113" s="15" t="str">
        <f aca="false">IF(C1113&gt;=L1113,"ja","nein")</f>
        <v>ja</v>
      </c>
      <c r="I1113" s="15" t="str">
        <f aca="false">IF(C1113&gt;=M1113,"ja","nein")</f>
        <v>ja</v>
      </c>
      <c r="J1113" s="15" t="n">
        <f aca="false">ROUND(Annahmen!$K$35*(1+Annahmen!$B$20*D1113/1000),0)</f>
        <v>851</v>
      </c>
      <c r="K1113" s="15" t="n">
        <f aca="false">ROUND(Annahmen!$K$36*(1+Annahmen!$B$20*D1113/1000),0)</f>
        <v>1105</v>
      </c>
      <c r="L1113" s="15" t="n">
        <f aca="false">ROUND(Annahmen!$K$37*(1+Annahmen!$B$20*D1113/1000),0)</f>
        <v>1129</v>
      </c>
      <c r="M1113" s="15" t="n">
        <f aca="false">ROUND(Annahmen!$K$38*(1+Annahmen!$B$20*D1113/1000),0)</f>
        <v>1129</v>
      </c>
      <c r="N1113" s="16" t="s">
        <v>83</v>
      </c>
    </row>
    <row r="1114" customFormat="false" ht="15" hidden="false" customHeight="false" outlineLevel="0" collapsed="false">
      <c r="A1114" s="13" t="s">
        <v>2280</v>
      </c>
      <c r="B1114" s="14" t="s">
        <v>2281</v>
      </c>
      <c r="C1114" s="15" t="n">
        <v>3000</v>
      </c>
      <c r="D1114" s="15" t="n">
        <v>3006</v>
      </c>
      <c r="E1114" s="13" t="s">
        <v>82</v>
      </c>
      <c r="F1114" s="15" t="str">
        <f aca="false">IF(C1114&gt;=J1114,"ja","nein")</f>
        <v>ja</v>
      </c>
      <c r="G1114" s="15" t="str">
        <f aca="false">IF(C1114&gt;=K1114,"ja","nein")</f>
        <v>ja</v>
      </c>
      <c r="H1114" s="15" t="str">
        <f aca="false">IF(C1114&gt;=L1114,"ja","nein")</f>
        <v>ja</v>
      </c>
      <c r="I1114" s="15" t="str">
        <f aca="false">IF(C1114&gt;=M1114,"ja","nein")</f>
        <v>ja</v>
      </c>
      <c r="J1114" s="15" t="n">
        <f aca="false">ROUND(Annahmen!$K$35*(1+Annahmen!$B$20*D1114/1000),0)</f>
        <v>1067</v>
      </c>
      <c r="K1114" s="15" t="n">
        <f aca="false">ROUND(Annahmen!$K$36*(1+Annahmen!$B$20*D1114/1000),0)</f>
        <v>1386</v>
      </c>
      <c r="L1114" s="15" t="n">
        <f aca="false">ROUND(Annahmen!$K$37*(1+Annahmen!$B$20*D1114/1000),0)</f>
        <v>1417</v>
      </c>
      <c r="M1114" s="15" t="n">
        <f aca="false">ROUND(Annahmen!$K$38*(1+Annahmen!$B$20*D1114/1000),0)</f>
        <v>1417</v>
      </c>
      <c r="N1114" s="16" t="s">
        <v>86</v>
      </c>
    </row>
    <row r="1115" customFormat="false" ht="15" hidden="false" customHeight="false" outlineLevel="0" collapsed="false">
      <c r="A1115" s="13" t="s">
        <v>2282</v>
      </c>
      <c r="B1115" s="14" t="s">
        <v>2283</v>
      </c>
      <c r="C1115" s="15" t="n">
        <v>3000</v>
      </c>
      <c r="D1115" s="15" t="n">
        <v>644</v>
      </c>
      <c r="E1115" s="13" t="s">
        <v>82</v>
      </c>
      <c r="F1115" s="15" t="str">
        <f aca="false">IF(C1115&gt;=J1115,"ja","nein")</f>
        <v>ja</v>
      </c>
      <c r="G1115" s="15" t="str">
        <f aca="false">IF(C1115&gt;=K1115,"ja","nein")</f>
        <v>ja</v>
      </c>
      <c r="H1115" s="15" t="str">
        <f aca="false">IF(C1115&gt;=L1115,"ja","nein")</f>
        <v>ja</v>
      </c>
      <c r="I1115" s="15" t="str">
        <f aca="false">IF(C1115&gt;=M1115,"ja","nein")</f>
        <v>ja</v>
      </c>
      <c r="J1115" s="15" t="n">
        <f aca="false">ROUND(Annahmen!$K$35*(1+Annahmen!$B$20*D1115/1000),0)</f>
        <v>889</v>
      </c>
      <c r="K1115" s="15" t="n">
        <f aca="false">ROUND(Annahmen!$K$36*(1+Annahmen!$B$20*D1115/1000),0)</f>
        <v>1154</v>
      </c>
      <c r="L1115" s="15" t="n">
        <f aca="false">ROUND(Annahmen!$K$37*(1+Annahmen!$B$20*D1115/1000),0)</f>
        <v>1180</v>
      </c>
      <c r="M1115" s="15" t="n">
        <f aca="false">ROUND(Annahmen!$K$38*(1+Annahmen!$B$20*D1115/1000),0)</f>
        <v>1180</v>
      </c>
      <c r="N1115" s="16" t="s">
        <v>83</v>
      </c>
    </row>
    <row r="1116" customFormat="false" ht="15" hidden="false" customHeight="false" outlineLevel="0" collapsed="false">
      <c r="A1116" s="13" t="s">
        <v>2284</v>
      </c>
      <c r="B1116" s="14" t="s">
        <v>2285</v>
      </c>
      <c r="C1116" s="15" t="n">
        <v>3000</v>
      </c>
      <c r="D1116" s="15" t="n">
        <v>2776</v>
      </c>
      <c r="E1116" s="13" t="s">
        <v>82</v>
      </c>
      <c r="F1116" s="15" t="str">
        <f aca="false">IF(C1116&gt;=J1116,"ja","nein")</f>
        <v>ja</v>
      </c>
      <c r="G1116" s="15" t="str">
        <f aca="false">IF(C1116&gt;=K1116,"ja","nein")</f>
        <v>ja</v>
      </c>
      <c r="H1116" s="15" t="str">
        <f aca="false">IF(C1116&gt;=L1116,"ja","nein")</f>
        <v>ja</v>
      </c>
      <c r="I1116" s="15" t="str">
        <f aca="false">IF(C1116&gt;=M1116,"ja","nein")</f>
        <v>ja</v>
      </c>
      <c r="J1116" s="15" t="n">
        <f aca="false">ROUND(Annahmen!$K$35*(1+Annahmen!$B$20*D1116/1000),0)</f>
        <v>1050</v>
      </c>
      <c r="K1116" s="15" t="n">
        <f aca="false">ROUND(Annahmen!$K$36*(1+Annahmen!$B$20*D1116/1000),0)</f>
        <v>1364</v>
      </c>
      <c r="L1116" s="15" t="n">
        <f aca="false">ROUND(Annahmen!$K$37*(1+Annahmen!$B$20*D1116/1000),0)</f>
        <v>1394</v>
      </c>
      <c r="M1116" s="15" t="n">
        <f aca="false">ROUND(Annahmen!$K$38*(1+Annahmen!$B$20*D1116/1000),0)</f>
        <v>1394</v>
      </c>
      <c r="N1116" s="16" t="s">
        <v>86</v>
      </c>
    </row>
    <row r="1117" customFormat="false" ht="15" hidden="false" customHeight="false" outlineLevel="0" collapsed="false">
      <c r="A1117" s="13" t="s">
        <v>2286</v>
      </c>
      <c r="B1117" s="14" t="s">
        <v>2287</v>
      </c>
      <c r="C1117" s="15" t="n">
        <v>2900</v>
      </c>
      <c r="D1117" s="15" t="n">
        <v>1860</v>
      </c>
      <c r="E1117" s="13" t="s">
        <v>82</v>
      </c>
      <c r="F1117" s="15" t="str">
        <f aca="false">IF(C1117&gt;=J1117,"ja","nein")</f>
        <v>ja</v>
      </c>
      <c r="G1117" s="15" t="str">
        <f aca="false">IF(C1117&gt;=K1117,"ja","nein")</f>
        <v>ja</v>
      </c>
      <c r="H1117" s="15" t="str">
        <f aca="false">IF(C1117&gt;=L1117,"ja","nein")</f>
        <v>ja</v>
      </c>
      <c r="I1117" s="15" t="str">
        <f aca="false">IF(C1117&gt;=M1117,"ja","nein")</f>
        <v>ja</v>
      </c>
      <c r="J1117" s="15" t="n">
        <f aca="false">ROUND(Annahmen!$K$35*(1+Annahmen!$B$20*D1117/1000),0)</f>
        <v>981</v>
      </c>
      <c r="K1117" s="15" t="n">
        <f aca="false">ROUND(Annahmen!$K$36*(1+Annahmen!$B$20*D1117/1000),0)</f>
        <v>1274</v>
      </c>
      <c r="L1117" s="15" t="n">
        <f aca="false">ROUND(Annahmen!$K$37*(1+Annahmen!$B$20*D1117/1000),0)</f>
        <v>1302</v>
      </c>
      <c r="M1117" s="15" t="n">
        <f aca="false">ROUND(Annahmen!$K$38*(1+Annahmen!$B$20*D1117/1000),0)</f>
        <v>1302</v>
      </c>
      <c r="N1117" s="16" t="s">
        <v>86</v>
      </c>
    </row>
    <row r="1118" customFormat="false" ht="15" hidden="false" customHeight="false" outlineLevel="0" collapsed="false">
      <c r="A1118" s="13" t="s">
        <v>2288</v>
      </c>
      <c r="B1118" s="14" t="s">
        <v>2289</v>
      </c>
      <c r="C1118" s="15" t="n">
        <v>2850</v>
      </c>
      <c r="D1118" s="15" t="n">
        <v>609</v>
      </c>
      <c r="E1118" s="13" t="s">
        <v>82</v>
      </c>
      <c r="F1118" s="15" t="str">
        <f aca="false">IF(C1118&gt;=J1118,"ja","nein")</f>
        <v>ja</v>
      </c>
      <c r="G1118" s="15" t="str">
        <f aca="false">IF(C1118&gt;=K1118,"ja","nein")</f>
        <v>ja</v>
      </c>
      <c r="H1118" s="15" t="str">
        <f aca="false">IF(C1118&gt;=L1118,"ja","nein")</f>
        <v>ja</v>
      </c>
      <c r="I1118" s="15" t="str">
        <f aca="false">IF(C1118&gt;=M1118,"ja","nein")</f>
        <v>ja</v>
      </c>
      <c r="J1118" s="15" t="n">
        <f aca="false">ROUND(Annahmen!$K$35*(1+Annahmen!$B$20*D1118/1000),0)</f>
        <v>886</v>
      </c>
      <c r="K1118" s="15" t="n">
        <f aca="false">ROUND(Annahmen!$K$36*(1+Annahmen!$B$20*D1118/1000),0)</f>
        <v>1151</v>
      </c>
      <c r="L1118" s="15" t="n">
        <f aca="false">ROUND(Annahmen!$K$37*(1+Annahmen!$B$20*D1118/1000),0)</f>
        <v>1176</v>
      </c>
      <c r="M1118" s="15" t="n">
        <f aca="false">ROUND(Annahmen!$K$38*(1+Annahmen!$B$20*D1118/1000),0)</f>
        <v>1176</v>
      </c>
      <c r="N1118" s="16" t="s">
        <v>86</v>
      </c>
    </row>
    <row r="1119" customFormat="false" ht="15" hidden="false" customHeight="false" outlineLevel="0" collapsed="false">
      <c r="A1119" s="13" t="s">
        <v>2290</v>
      </c>
      <c r="B1119" s="14" t="s">
        <v>2291</v>
      </c>
      <c r="C1119" s="15" t="n">
        <v>2825</v>
      </c>
      <c r="D1119" s="15" t="n">
        <v>3380</v>
      </c>
      <c r="E1119" s="13" t="s">
        <v>82</v>
      </c>
      <c r="F1119" s="15" t="str">
        <f aca="false">IF(C1119&gt;=J1119,"ja","nein")</f>
        <v>ja</v>
      </c>
      <c r="G1119" s="15" t="str">
        <f aca="false">IF(C1119&gt;=K1119,"ja","nein")</f>
        <v>ja</v>
      </c>
      <c r="H1119" s="15" t="str">
        <f aca="false">IF(C1119&gt;=L1119,"ja","nein")</f>
        <v>ja</v>
      </c>
      <c r="I1119" s="15" t="str">
        <f aca="false">IF(C1119&gt;=M1119,"ja","nein")</f>
        <v>ja</v>
      </c>
      <c r="J1119" s="15" t="n">
        <f aca="false">ROUND(Annahmen!$K$35*(1+Annahmen!$B$20*D1119/1000),0)</f>
        <v>1096</v>
      </c>
      <c r="K1119" s="15" t="n">
        <f aca="false">ROUND(Annahmen!$K$36*(1+Annahmen!$B$20*D1119/1000),0)</f>
        <v>1423</v>
      </c>
      <c r="L1119" s="15" t="n">
        <f aca="false">ROUND(Annahmen!$K$37*(1+Annahmen!$B$20*D1119/1000),0)</f>
        <v>1454</v>
      </c>
      <c r="M1119" s="15" t="n">
        <f aca="false">ROUND(Annahmen!$K$38*(1+Annahmen!$B$20*D1119/1000),0)</f>
        <v>1454</v>
      </c>
      <c r="N1119" s="16" t="s">
        <v>86</v>
      </c>
    </row>
    <row r="1120" customFormat="false" ht="15" hidden="false" customHeight="false" outlineLevel="0" collapsed="false">
      <c r="A1120" s="13" t="s">
        <v>2292</v>
      </c>
      <c r="B1120" s="14" t="s">
        <v>2293</v>
      </c>
      <c r="C1120" s="15" t="n">
        <v>2800</v>
      </c>
      <c r="D1120" s="15" t="n">
        <v>24</v>
      </c>
      <c r="E1120" s="13" t="s">
        <v>82</v>
      </c>
      <c r="F1120" s="15" t="str">
        <f aca="false">IF(C1120&gt;=J1120,"ja","nein")</f>
        <v>ja</v>
      </c>
      <c r="G1120" s="15" t="str">
        <f aca="false">IF(C1120&gt;=K1120,"ja","nein")</f>
        <v>ja</v>
      </c>
      <c r="H1120" s="15" t="str">
        <f aca="false">IF(C1120&gt;=L1120,"ja","nein")</f>
        <v>ja</v>
      </c>
      <c r="I1120" s="15" t="str">
        <f aca="false">IF(C1120&gt;=M1120,"ja","nein")</f>
        <v>ja</v>
      </c>
      <c r="J1120" s="15" t="n">
        <f aca="false">ROUND(Annahmen!$K$35*(1+Annahmen!$B$20*D1120/1000),0)</f>
        <v>842</v>
      </c>
      <c r="K1120" s="15" t="n">
        <f aca="false">ROUND(Annahmen!$K$36*(1+Annahmen!$B$20*D1120/1000),0)</f>
        <v>1093</v>
      </c>
      <c r="L1120" s="15" t="n">
        <f aca="false">ROUND(Annahmen!$K$37*(1+Annahmen!$B$20*D1120/1000),0)</f>
        <v>1117</v>
      </c>
      <c r="M1120" s="15" t="n">
        <f aca="false">ROUND(Annahmen!$K$38*(1+Annahmen!$B$20*D1120/1000),0)</f>
        <v>1117</v>
      </c>
      <c r="N1120" s="16" t="s">
        <v>83</v>
      </c>
    </row>
    <row r="1121" customFormat="false" ht="15" hidden="false" customHeight="false" outlineLevel="0" collapsed="false">
      <c r="A1121" s="13" t="s">
        <v>2294</v>
      </c>
      <c r="B1121" s="14" t="s">
        <v>2295</v>
      </c>
      <c r="C1121" s="15" t="n">
        <v>2700</v>
      </c>
      <c r="D1121" s="15" t="n">
        <v>1182</v>
      </c>
      <c r="E1121" s="13" t="s">
        <v>82</v>
      </c>
      <c r="F1121" s="15" t="str">
        <f aca="false">IF(C1121&gt;=J1121,"ja","nein")</f>
        <v>ja</v>
      </c>
      <c r="G1121" s="15" t="str">
        <f aca="false">IF(C1121&gt;=K1121,"ja","nein")</f>
        <v>ja</v>
      </c>
      <c r="H1121" s="15" t="str">
        <f aca="false">IF(C1121&gt;=L1121,"ja","nein")</f>
        <v>ja</v>
      </c>
      <c r="I1121" s="15" t="str">
        <f aca="false">IF(C1121&gt;=M1121,"ja","nein")</f>
        <v>ja</v>
      </c>
      <c r="J1121" s="15" t="n">
        <f aca="false">ROUND(Annahmen!$K$35*(1+Annahmen!$B$20*D1121/1000),0)</f>
        <v>929</v>
      </c>
      <c r="K1121" s="15" t="n">
        <f aca="false">ROUND(Annahmen!$K$36*(1+Annahmen!$B$20*D1121/1000),0)</f>
        <v>1207</v>
      </c>
      <c r="L1121" s="15" t="n">
        <f aca="false">ROUND(Annahmen!$K$37*(1+Annahmen!$B$20*D1121/1000),0)</f>
        <v>1234</v>
      </c>
      <c r="M1121" s="15" t="n">
        <f aca="false">ROUND(Annahmen!$K$38*(1+Annahmen!$B$20*D1121/1000),0)</f>
        <v>1234</v>
      </c>
      <c r="N1121" s="16" t="s">
        <v>86</v>
      </c>
    </row>
    <row r="1122" customFormat="false" ht="15" hidden="false" customHeight="false" outlineLevel="0" collapsed="false">
      <c r="A1122" s="13" t="s">
        <v>2296</v>
      </c>
      <c r="B1122" s="14" t="s">
        <v>2297</v>
      </c>
      <c r="C1122" s="15" t="n">
        <v>2700</v>
      </c>
      <c r="D1122" s="15" t="n">
        <v>240</v>
      </c>
      <c r="E1122" s="13" t="s">
        <v>82</v>
      </c>
      <c r="F1122" s="15" t="str">
        <f aca="false">IF(C1122&gt;=J1122,"ja","nein")</f>
        <v>ja</v>
      </c>
      <c r="G1122" s="15" t="str">
        <f aca="false">IF(C1122&gt;=K1122,"ja","nein")</f>
        <v>ja</v>
      </c>
      <c r="H1122" s="15" t="str">
        <f aca="false">IF(C1122&gt;=L1122,"ja","nein")</f>
        <v>ja</v>
      </c>
      <c r="I1122" s="15" t="str">
        <f aca="false">IF(C1122&gt;=M1122,"ja","nein")</f>
        <v>ja</v>
      </c>
      <c r="J1122" s="15" t="n">
        <f aca="false">ROUND(Annahmen!$K$35*(1+Annahmen!$B$20*D1122/1000),0)</f>
        <v>858</v>
      </c>
      <c r="K1122" s="15" t="n">
        <f aca="false">ROUND(Annahmen!$K$36*(1+Annahmen!$B$20*D1122/1000),0)</f>
        <v>1115</v>
      </c>
      <c r="L1122" s="15" t="n">
        <f aca="false">ROUND(Annahmen!$K$37*(1+Annahmen!$B$20*D1122/1000),0)</f>
        <v>1139</v>
      </c>
      <c r="M1122" s="15" t="n">
        <f aca="false">ROUND(Annahmen!$K$38*(1+Annahmen!$B$20*D1122/1000),0)</f>
        <v>1139</v>
      </c>
      <c r="N1122" s="16" t="s">
        <v>83</v>
      </c>
    </row>
    <row r="1123" customFormat="false" ht="15" hidden="false" customHeight="false" outlineLevel="0" collapsed="false">
      <c r="A1123" s="13" t="s">
        <v>2298</v>
      </c>
      <c r="B1123" s="14" t="s">
        <v>2299</v>
      </c>
      <c r="C1123" s="15" t="n">
        <v>2600</v>
      </c>
      <c r="D1123" s="15" t="n">
        <v>138</v>
      </c>
      <c r="E1123" s="13" t="s">
        <v>82</v>
      </c>
      <c r="F1123" s="15" t="str">
        <f aca="false">IF(C1123&gt;=J1123,"ja","nein")</f>
        <v>ja</v>
      </c>
      <c r="G1123" s="15" t="str">
        <f aca="false">IF(C1123&gt;=K1123,"ja","nein")</f>
        <v>ja</v>
      </c>
      <c r="H1123" s="15" t="str">
        <f aca="false">IF(C1123&gt;=L1123,"ja","nein")</f>
        <v>ja</v>
      </c>
      <c r="I1123" s="15" t="str">
        <f aca="false">IF(C1123&gt;=M1123,"ja","nein")</f>
        <v>ja</v>
      </c>
      <c r="J1123" s="15" t="n">
        <f aca="false">ROUND(Annahmen!$K$35*(1+Annahmen!$B$20*D1123/1000),0)</f>
        <v>850</v>
      </c>
      <c r="K1123" s="15" t="n">
        <f aca="false">ROUND(Annahmen!$K$36*(1+Annahmen!$B$20*D1123/1000),0)</f>
        <v>1105</v>
      </c>
      <c r="L1123" s="15" t="n">
        <f aca="false">ROUND(Annahmen!$K$37*(1+Annahmen!$B$20*D1123/1000),0)</f>
        <v>1129</v>
      </c>
      <c r="M1123" s="15" t="n">
        <f aca="false">ROUND(Annahmen!$K$38*(1+Annahmen!$B$20*D1123/1000),0)</f>
        <v>1129</v>
      </c>
      <c r="N1123" s="16" t="s">
        <v>83</v>
      </c>
    </row>
    <row r="1124" customFormat="false" ht="15" hidden="false" customHeight="false" outlineLevel="0" collapsed="false">
      <c r="A1124" s="13" t="s">
        <v>2300</v>
      </c>
      <c r="B1124" s="14" t="s">
        <v>2301</v>
      </c>
      <c r="C1124" s="15" t="n">
        <v>2550</v>
      </c>
      <c r="D1124" s="15" t="n">
        <v>302</v>
      </c>
      <c r="E1124" s="13" t="s">
        <v>82</v>
      </c>
      <c r="F1124" s="15" t="str">
        <f aca="false">IF(C1124&gt;=J1124,"ja","nein")</f>
        <v>ja</v>
      </c>
      <c r="G1124" s="15" t="str">
        <f aca="false">IF(C1124&gt;=K1124,"ja","nein")</f>
        <v>ja</v>
      </c>
      <c r="H1124" s="15" t="str">
        <f aca="false">IF(C1124&gt;=L1124,"ja","nein")</f>
        <v>ja</v>
      </c>
      <c r="I1124" s="15" t="str">
        <f aca="false">IF(C1124&gt;=M1124,"ja","nein")</f>
        <v>ja</v>
      </c>
      <c r="J1124" s="15" t="n">
        <f aca="false">ROUND(Annahmen!$K$35*(1+Annahmen!$B$20*D1124/1000),0)</f>
        <v>863</v>
      </c>
      <c r="K1124" s="15" t="n">
        <f aca="false">ROUND(Annahmen!$K$36*(1+Annahmen!$B$20*D1124/1000),0)</f>
        <v>1121</v>
      </c>
      <c r="L1124" s="15" t="n">
        <f aca="false">ROUND(Annahmen!$K$37*(1+Annahmen!$B$20*D1124/1000),0)</f>
        <v>1145</v>
      </c>
      <c r="M1124" s="15" t="n">
        <f aca="false">ROUND(Annahmen!$K$38*(1+Annahmen!$B$20*D1124/1000),0)</f>
        <v>1145</v>
      </c>
      <c r="N1124" s="16" t="s">
        <v>83</v>
      </c>
    </row>
    <row r="1125" customFormat="false" ht="15" hidden="false" customHeight="false" outlineLevel="0" collapsed="false">
      <c r="A1125" s="13" t="s">
        <v>2302</v>
      </c>
      <c r="B1125" s="14" t="s">
        <v>2303</v>
      </c>
      <c r="C1125" s="15" t="n">
        <v>2513</v>
      </c>
      <c r="D1125" s="15" t="n">
        <v>2595</v>
      </c>
      <c r="E1125" s="13" t="s">
        <v>82</v>
      </c>
      <c r="F1125" s="15" t="str">
        <f aca="false">IF(C1125&gt;=J1125,"ja","nein")</f>
        <v>ja</v>
      </c>
      <c r="G1125" s="15" t="str">
        <f aca="false">IF(C1125&gt;=K1125,"ja","nein")</f>
        <v>ja</v>
      </c>
      <c r="H1125" s="15" t="str">
        <f aca="false">IF(C1125&gt;=L1125,"ja","nein")</f>
        <v>ja</v>
      </c>
      <c r="I1125" s="15" t="str">
        <f aca="false">IF(C1125&gt;=M1125,"ja","nein")</f>
        <v>ja</v>
      </c>
      <c r="J1125" s="15" t="n">
        <f aca="false">ROUND(Annahmen!$K$35*(1+Annahmen!$B$20*D1125/1000),0)</f>
        <v>1036</v>
      </c>
      <c r="K1125" s="15" t="n">
        <f aca="false">ROUND(Annahmen!$K$36*(1+Annahmen!$B$20*D1125/1000),0)</f>
        <v>1346</v>
      </c>
      <c r="L1125" s="15" t="n">
        <f aca="false">ROUND(Annahmen!$K$37*(1+Annahmen!$B$20*D1125/1000),0)</f>
        <v>1375</v>
      </c>
      <c r="M1125" s="15" t="n">
        <f aca="false">ROUND(Annahmen!$K$38*(1+Annahmen!$B$20*D1125/1000),0)</f>
        <v>1375</v>
      </c>
      <c r="N1125" s="16" t="s">
        <v>86</v>
      </c>
    </row>
    <row r="1126" customFormat="false" ht="15" hidden="false" customHeight="false" outlineLevel="0" collapsed="false">
      <c r="A1126" s="13" t="s">
        <v>2304</v>
      </c>
      <c r="B1126" s="14" t="s">
        <v>2305</v>
      </c>
      <c r="C1126" s="15" t="n">
        <v>2500</v>
      </c>
      <c r="D1126" s="15" t="n">
        <v>1152</v>
      </c>
      <c r="E1126" s="13" t="s">
        <v>82</v>
      </c>
      <c r="F1126" s="15" t="str">
        <f aca="false">IF(C1126&gt;=J1126,"ja","nein")</f>
        <v>ja</v>
      </c>
      <c r="G1126" s="15" t="str">
        <f aca="false">IF(C1126&gt;=K1126,"ja","nein")</f>
        <v>ja</v>
      </c>
      <c r="H1126" s="15" t="str">
        <f aca="false">IF(C1126&gt;=L1126,"ja","nein")</f>
        <v>ja</v>
      </c>
      <c r="I1126" s="15" t="str">
        <f aca="false">IF(C1126&gt;=M1126,"ja","nein")</f>
        <v>ja</v>
      </c>
      <c r="J1126" s="15" t="n">
        <f aca="false">ROUND(Annahmen!$K$35*(1+Annahmen!$B$20*D1126/1000),0)</f>
        <v>927</v>
      </c>
      <c r="K1126" s="15" t="n">
        <f aca="false">ROUND(Annahmen!$K$36*(1+Annahmen!$B$20*D1126/1000),0)</f>
        <v>1204</v>
      </c>
      <c r="L1126" s="15" t="n">
        <f aca="false">ROUND(Annahmen!$K$37*(1+Annahmen!$B$20*D1126/1000),0)</f>
        <v>1231</v>
      </c>
      <c r="M1126" s="15" t="n">
        <f aca="false">ROUND(Annahmen!$K$38*(1+Annahmen!$B$20*D1126/1000),0)</f>
        <v>1231</v>
      </c>
      <c r="N1126" s="16" t="s">
        <v>86</v>
      </c>
    </row>
    <row r="1127" customFormat="false" ht="15" hidden="false" customHeight="false" outlineLevel="0" collapsed="false">
      <c r="A1127" s="13" t="s">
        <v>2306</v>
      </c>
      <c r="B1127" s="14" t="s">
        <v>2307</v>
      </c>
      <c r="C1127" s="15" t="n">
        <v>2455</v>
      </c>
      <c r="D1127" s="15" t="n">
        <v>233</v>
      </c>
      <c r="E1127" s="13" t="s">
        <v>82</v>
      </c>
      <c r="F1127" s="15" t="str">
        <f aca="false">IF(C1127&gt;=J1127,"ja","nein")</f>
        <v>ja</v>
      </c>
      <c r="G1127" s="15" t="str">
        <f aca="false">IF(C1127&gt;=K1127,"ja","nein")</f>
        <v>ja</v>
      </c>
      <c r="H1127" s="15" t="str">
        <f aca="false">IF(C1127&gt;=L1127,"ja","nein")</f>
        <v>ja</v>
      </c>
      <c r="I1127" s="15" t="str">
        <f aca="false">IF(C1127&gt;=M1127,"ja","nein")</f>
        <v>ja</v>
      </c>
      <c r="J1127" s="15" t="n">
        <f aca="false">ROUND(Annahmen!$K$35*(1+Annahmen!$B$20*D1127/1000),0)</f>
        <v>858</v>
      </c>
      <c r="K1127" s="15" t="n">
        <f aca="false">ROUND(Annahmen!$K$36*(1+Annahmen!$B$20*D1127/1000),0)</f>
        <v>1114</v>
      </c>
      <c r="L1127" s="15" t="n">
        <f aca="false">ROUND(Annahmen!$K$37*(1+Annahmen!$B$20*D1127/1000),0)</f>
        <v>1138</v>
      </c>
      <c r="M1127" s="15" t="n">
        <f aca="false">ROUND(Annahmen!$K$38*(1+Annahmen!$B$20*D1127/1000),0)</f>
        <v>1138</v>
      </c>
      <c r="N1127" s="16" t="s">
        <v>83</v>
      </c>
    </row>
    <row r="1128" customFormat="false" ht="15" hidden="false" customHeight="false" outlineLevel="0" collapsed="false">
      <c r="A1128" s="13" t="s">
        <v>2308</v>
      </c>
      <c r="B1128" s="14" t="s">
        <v>2309</v>
      </c>
      <c r="C1128" s="15" t="n">
        <v>2400</v>
      </c>
      <c r="D1128" s="15" t="n">
        <v>46</v>
      </c>
      <c r="E1128" s="13" t="s">
        <v>82</v>
      </c>
      <c r="F1128" s="15" t="str">
        <f aca="false">IF(C1128&gt;=J1128,"ja","nein")</f>
        <v>ja</v>
      </c>
      <c r="G1128" s="15" t="str">
        <f aca="false">IF(C1128&gt;=K1128,"ja","nein")</f>
        <v>ja</v>
      </c>
      <c r="H1128" s="15" t="str">
        <f aca="false">IF(C1128&gt;=L1128,"ja","nein")</f>
        <v>ja</v>
      </c>
      <c r="I1128" s="15" t="str">
        <f aca="false">IF(C1128&gt;=M1128,"ja","nein")</f>
        <v>ja</v>
      </c>
      <c r="J1128" s="15" t="n">
        <f aca="false">ROUND(Annahmen!$K$35*(1+Annahmen!$B$20*D1128/1000),0)</f>
        <v>843</v>
      </c>
      <c r="K1128" s="15" t="n">
        <f aca="false">ROUND(Annahmen!$K$36*(1+Annahmen!$B$20*D1128/1000),0)</f>
        <v>1096</v>
      </c>
      <c r="L1128" s="15" t="n">
        <f aca="false">ROUND(Annahmen!$K$37*(1+Annahmen!$B$20*D1128/1000),0)</f>
        <v>1120</v>
      </c>
      <c r="M1128" s="15" t="n">
        <f aca="false">ROUND(Annahmen!$K$38*(1+Annahmen!$B$20*D1128/1000),0)</f>
        <v>1120</v>
      </c>
      <c r="N1128" s="16" t="s">
        <v>83</v>
      </c>
    </row>
    <row r="1129" customFormat="false" ht="15" hidden="false" customHeight="false" outlineLevel="0" collapsed="false">
      <c r="A1129" s="13" t="s">
        <v>2310</v>
      </c>
      <c r="B1129" s="14" t="s">
        <v>2311</v>
      </c>
      <c r="C1129" s="15" t="n">
        <v>2400</v>
      </c>
      <c r="D1129" s="15" t="n">
        <v>468</v>
      </c>
      <c r="E1129" s="13" t="s">
        <v>82</v>
      </c>
      <c r="F1129" s="15" t="str">
        <f aca="false">IF(C1129&gt;=J1129,"ja","nein")</f>
        <v>ja</v>
      </c>
      <c r="G1129" s="15" t="str">
        <f aca="false">IF(C1129&gt;=K1129,"ja","nein")</f>
        <v>ja</v>
      </c>
      <c r="H1129" s="15" t="str">
        <f aca="false">IF(C1129&gt;=L1129,"ja","nein")</f>
        <v>ja</v>
      </c>
      <c r="I1129" s="15" t="str">
        <f aca="false">IF(C1129&gt;=M1129,"ja","nein")</f>
        <v>ja</v>
      </c>
      <c r="J1129" s="15" t="n">
        <f aca="false">ROUND(Annahmen!$K$35*(1+Annahmen!$B$20*D1129/1000),0)</f>
        <v>875</v>
      </c>
      <c r="K1129" s="15" t="n">
        <f aca="false">ROUND(Annahmen!$K$36*(1+Annahmen!$B$20*D1129/1000),0)</f>
        <v>1137</v>
      </c>
      <c r="L1129" s="15" t="n">
        <f aca="false">ROUND(Annahmen!$K$37*(1+Annahmen!$B$20*D1129/1000),0)</f>
        <v>1162</v>
      </c>
      <c r="M1129" s="15" t="n">
        <f aca="false">ROUND(Annahmen!$K$38*(1+Annahmen!$B$20*D1129/1000),0)</f>
        <v>1162</v>
      </c>
      <c r="N1129" s="16" t="s">
        <v>83</v>
      </c>
    </row>
    <row r="1130" customFormat="false" ht="15" hidden="false" customHeight="false" outlineLevel="0" collapsed="false">
      <c r="A1130" s="13" t="s">
        <v>2312</v>
      </c>
      <c r="B1130" s="14" t="s">
        <v>2313</v>
      </c>
      <c r="C1130" s="15" t="n">
        <v>2400</v>
      </c>
      <c r="D1130" s="15" t="n">
        <v>856</v>
      </c>
      <c r="E1130" s="13" t="s">
        <v>82</v>
      </c>
      <c r="F1130" s="15" t="str">
        <f aca="false">IF(C1130&gt;=J1130,"ja","nein")</f>
        <v>ja</v>
      </c>
      <c r="G1130" s="15" t="str">
        <f aca="false">IF(C1130&gt;=K1130,"ja","nein")</f>
        <v>ja</v>
      </c>
      <c r="H1130" s="15" t="str">
        <f aca="false">IF(C1130&gt;=L1130,"ja","nein")</f>
        <v>ja</v>
      </c>
      <c r="I1130" s="15" t="str">
        <f aca="false">IF(C1130&gt;=M1130,"ja","nein")</f>
        <v>ja</v>
      </c>
      <c r="J1130" s="15" t="n">
        <f aca="false">ROUND(Annahmen!$K$35*(1+Annahmen!$B$20*D1130/1000),0)</f>
        <v>905</v>
      </c>
      <c r="K1130" s="15" t="n">
        <f aca="false">ROUND(Annahmen!$K$36*(1+Annahmen!$B$20*D1130/1000),0)</f>
        <v>1175</v>
      </c>
      <c r="L1130" s="15" t="n">
        <f aca="false">ROUND(Annahmen!$K$37*(1+Annahmen!$B$20*D1130/1000),0)</f>
        <v>1201</v>
      </c>
      <c r="M1130" s="15" t="n">
        <f aca="false">ROUND(Annahmen!$K$38*(1+Annahmen!$B$20*D1130/1000),0)</f>
        <v>1201</v>
      </c>
      <c r="N1130" s="16" t="s">
        <v>86</v>
      </c>
    </row>
    <row r="1131" customFormat="false" ht="15" hidden="false" customHeight="false" outlineLevel="0" collapsed="false">
      <c r="A1131" s="13" t="s">
        <v>2314</v>
      </c>
      <c r="B1131" s="14" t="s">
        <v>2315</v>
      </c>
      <c r="C1131" s="15" t="n">
        <v>2320</v>
      </c>
      <c r="D1131" s="15" t="n">
        <v>11</v>
      </c>
      <c r="E1131" s="13" t="s">
        <v>82</v>
      </c>
      <c r="F1131" s="15" t="str">
        <f aca="false">IF(C1131&gt;=J1131,"ja","nein")</f>
        <v>ja</v>
      </c>
      <c r="G1131" s="15" t="str">
        <f aca="false">IF(C1131&gt;=K1131,"ja","nein")</f>
        <v>ja</v>
      </c>
      <c r="H1131" s="15" t="str">
        <f aca="false">IF(C1131&gt;=L1131,"ja","nein")</f>
        <v>ja</v>
      </c>
      <c r="I1131" s="15" t="str">
        <f aca="false">IF(C1131&gt;=M1131,"ja","nein")</f>
        <v>ja</v>
      </c>
      <c r="J1131" s="15" t="n">
        <f aca="false">ROUND(Annahmen!$K$35*(1+Annahmen!$B$20*D1131/1000),0)</f>
        <v>841</v>
      </c>
      <c r="K1131" s="15" t="n">
        <f aca="false">ROUND(Annahmen!$K$36*(1+Annahmen!$B$20*D1131/1000),0)</f>
        <v>1092</v>
      </c>
      <c r="L1131" s="15" t="n">
        <f aca="false">ROUND(Annahmen!$K$37*(1+Annahmen!$B$20*D1131/1000),0)</f>
        <v>1116</v>
      </c>
      <c r="M1131" s="15" t="n">
        <f aca="false">ROUND(Annahmen!$K$38*(1+Annahmen!$B$20*D1131/1000),0)</f>
        <v>1116</v>
      </c>
      <c r="N1131" s="16" t="s">
        <v>86</v>
      </c>
    </row>
    <row r="1132" customFormat="false" ht="15" hidden="false" customHeight="false" outlineLevel="0" collapsed="false">
      <c r="A1132" s="13" t="s">
        <v>2316</v>
      </c>
      <c r="B1132" s="14" t="s">
        <v>2317</v>
      </c>
      <c r="C1132" s="15" t="n">
        <v>2320</v>
      </c>
      <c r="D1132" s="15" t="n">
        <v>16</v>
      </c>
      <c r="E1132" s="13" t="s">
        <v>82</v>
      </c>
      <c r="F1132" s="15" t="str">
        <f aca="false">IF(C1132&gt;=J1132,"ja","nein")</f>
        <v>ja</v>
      </c>
      <c r="G1132" s="15" t="str">
        <f aca="false">IF(C1132&gt;=K1132,"ja","nein")</f>
        <v>ja</v>
      </c>
      <c r="H1132" s="15" t="str">
        <f aca="false">IF(C1132&gt;=L1132,"ja","nein")</f>
        <v>ja</v>
      </c>
      <c r="I1132" s="15" t="str">
        <f aca="false">IF(C1132&gt;=M1132,"ja","nein")</f>
        <v>ja</v>
      </c>
      <c r="J1132" s="15" t="n">
        <f aca="false">ROUND(Annahmen!$K$35*(1+Annahmen!$B$20*D1132/1000),0)</f>
        <v>841</v>
      </c>
      <c r="K1132" s="15" t="n">
        <f aca="false">ROUND(Annahmen!$K$36*(1+Annahmen!$B$20*D1132/1000),0)</f>
        <v>1093</v>
      </c>
      <c r="L1132" s="15" t="n">
        <f aca="false">ROUND(Annahmen!$K$37*(1+Annahmen!$B$20*D1132/1000),0)</f>
        <v>1117</v>
      </c>
      <c r="M1132" s="15" t="n">
        <f aca="false">ROUND(Annahmen!$K$38*(1+Annahmen!$B$20*D1132/1000),0)</f>
        <v>1117</v>
      </c>
      <c r="N1132" s="16" t="s">
        <v>86</v>
      </c>
    </row>
    <row r="1133" customFormat="false" ht="15" hidden="false" customHeight="false" outlineLevel="0" collapsed="false">
      <c r="A1133" s="13" t="s">
        <v>2318</v>
      </c>
      <c r="B1133" s="14" t="s">
        <v>2319</v>
      </c>
      <c r="C1133" s="15" t="n">
        <v>2300</v>
      </c>
      <c r="D1133" s="15" t="n">
        <v>93</v>
      </c>
      <c r="E1133" s="13" t="s">
        <v>82</v>
      </c>
      <c r="F1133" s="15" t="str">
        <f aca="false">IF(C1133&gt;=J1133,"ja","nein")</f>
        <v>ja</v>
      </c>
      <c r="G1133" s="15" t="str">
        <f aca="false">IF(C1133&gt;=K1133,"ja","nein")</f>
        <v>ja</v>
      </c>
      <c r="H1133" s="15" t="str">
        <f aca="false">IF(C1133&gt;=L1133,"ja","nein")</f>
        <v>ja</v>
      </c>
      <c r="I1133" s="15" t="str">
        <f aca="false">IF(C1133&gt;=M1133,"ja","nein")</f>
        <v>ja</v>
      </c>
      <c r="J1133" s="15" t="n">
        <f aca="false">ROUND(Annahmen!$K$35*(1+Annahmen!$B$20*D1133/1000),0)</f>
        <v>847</v>
      </c>
      <c r="K1133" s="15" t="n">
        <f aca="false">ROUND(Annahmen!$K$36*(1+Annahmen!$B$20*D1133/1000),0)</f>
        <v>1100</v>
      </c>
      <c r="L1133" s="15" t="n">
        <f aca="false">ROUND(Annahmen!$K$37*(1+Annahmen!$B$20*D1133/1000),0)</f>
        <v>1124</v>
      </c>
      <c r="M1133" s="15" t="n">
        <f aca="false">ROUND(Annahmen!$K$38*(1+Annahmen!$B$20*D1133/1000),0)</f>
        <v>1124</v>
      </c>
      <c r="N1133" s="16" t="s">
        <v>86</v>
      </c>
    </row>
    <row r="1134" customFormat="false" ht="15" hidden="false" customHeight="false" outlineLevel="0" collapsed="false">
      <c r="A1134" s="13" t="s">
        <v>2320</v>
      </c>
      <c r="B1134" s="14" t="s">
        <v>2321</v>
      </c>
      <c r="C1134" s="15" t="n">
        <v>2241</v>
      </c>
      <c r="D1134" s="15" t="n">
        <v>297</v>
      </c>
      <c r="E1134" s="13" t="s">
        <v>82</v>
      </c>
      <c r="F1134" s="15" t="str">
        <f aca="false">IF(C1134&gt;=J1134,"ja","nein")</f>
        <v>ja</v>
      </c>
      <c r="G1134" s="15" t="str">
        <f aca="false">IF(C1134&gt;=K1134,"ja","nein")</f>
        <v>ja</v>
      </c>
      <c r="H1134" s="15" t="str">
        <f aca="false">IF(C1134&gt;=L1134,"ja","nein")</f>
        <v>ja</v>
      </c>
      <c r="I1134" s="15" t="str">
        <f aca="false">IF(C1134&gt;=M1134,"ja","nein")</f>
        <v>ja</v>
      </c>
      <c r="J1134" s="15" t="n">
        <f aca="false">ROUND(Annahmen!$K$35*(1+Annahmen!$B$20*D1134/1000),0)</f>
        <v>862</v>
      </c>
      <c r="K1134" s="15" t="n">
        <f aca="false">ROUND(Annahmen!$K$36*(1+Annahmen!$B$20*D1134/1000),0)</f>
        <v>1120</v>
      </c>
      <c r="L1134" s="15" t="n">
        <f aca="false">ROUND(Annahmen!$K$37*(1+Annahmen!$B$20*D1134/1000),0)</f>
        <v>1145</v>
      </c>
      <c r="M1134" s="15" t="n">
        <f aca="false">ROUND(Annahmen!$K$38*(1+Annahmen!$B$20*D1134/1000),0)</f>
        <v>1145</v>
      </c>
      <c r="N1134" s="16" t="s">
        <v>86</v>
      </c>
    </row>
    <row r="1135" customFormat="false" ht="15" hidden="false" customHeight="false" outlineLevel="0" collapsed="false">
      <c r="A1135" s="13" t="s">
        <v>2322</v>
      </c>
      <c r="B1135" s="14" t="s">
        <v>2323</v>
      </c>
      <c r="C1135" s="15" t="n">
        <v>2207</v>
      </c>
      <c r="D1135" s="15" t="n">
        <v>1504</v>
      </c>
      <c r="E1135" s="13" t="s">
        <v>82</v>
      </c>
      <c r="F1135" s="15" t="str">
        <f aca="false">IF(C1135&gt;=J1135,"ja","nein")</f>
        <v>ja</v>
      </c>
      <c r="G1135" s="15" t="str">
        <f aca="false">IF(C1135&gt;=K1135,"ja","nein")</f>
        <v>ja</v>
      </c>
      <c r="H1135" s="15" t="str">
        <f aca="false">IF(C1135&gt;=L1135,"ja","nein")</f>
        <v>ja</v>
      </c>
      <c r="I1135" s="15" t="str">
        <f aca="false">IF(C1135&gt;=M1135,"ja","nein")</f>
        <v>ja</v>
      </c>
      <c r="J1135" s="15" t="n">
        <f aca="false">ROUND(Annahmen!$K$35*(1+Annahmen!$B$20*D1135/1000),0)</f>
        <v>954</v>
      </c>
      <c r="K1135" s="15" t="n">
        <f aca="false">ROUND(Annahmen!$K$36*(1+Annahmen!$B$20*D1135/1000),0)</f>
        <v>1239</v>
      </c>
      <c r="L1135" s="15" t="n">
        <f aca="false">ROUND(Annahmen!$K$37*(1+Annahmen!$B$20*D1135/1000),0)</f>
        <v>1266</v>
      </c>
      <c r="M1135" s="15" t="n">
        <f aca="false">ROUND(Annahmen!$K$38*(1+Annahmen!$B$20*D1135/1000),0)</f>
        <v>1266</v>
      </c>
      <c r="N1135" s="16" t="s">
        <v>86</v>
      </c>
    </row>
    <row r="1136" customFormat="false" ht="15" hidden="false" customHeight="false" outlineLevel="0" collapsed="false">
      <c r="A1136" s="13" t="s">
        <v>2324</v>
      </c>
      <c r="B1136" s="14" t="s">
        <v>2325</v>
      </c>
      <c r="C1136" s="15" t="n">
        <v>2200</v>
      </c>
      <c r="D1136" s="15" t="n">
        <v>107</v>
      </c>
      <c r="E1136" s="13" t="s">
        <v>82</v>
      </c>
      <c r="F1136" s="15" t="str">
        <f aca="false">IF(C1136&gt;=J1136,"ja","nein")</f>
        <v>ja</v>
      </c>
      <c r="G1136" s="15" t="str">
        <f aca="false">IF(C1136&gt;=K1136,"ja","nein")</f>
        <v>ja</v>
      </c>
      <c r="H1136" s="15" t="str">
        <f aca="false">IF(C1136&gt;=L1136,"ja","nein")</f>
        <v>ja</v>
      </c>
      <c r="I1136" s="15" t="str">
        <f aca="false">IF(C1136&gt;=M1136,"ja","nein")</f>
        <v>ja</v>
      </c>
      <c r="J1136" s="15" t="n">
        <f aca="false">ROUND(Annahmen!$K$35*(1+Annahmen!$B$20*D1136/1000),0)</f>
        <v>848</v>
      </c>
      <c r="K1136" s="15" t="n">
        <f aca="false">ROUND(Annahmen!$K$36*(1+Annahmen!$B$20*D1136/1000),0)</f>
        <v>1102</v>
      </c>
      <c r="L1136" s="15" t="n">
        <f aca="false">ROUND(Annahmen!$K$37*(1+Annahmen!$B$20*D1136/1000),0)</f>
        <v>1126</v>
      </c>
      <c r="M1136" s="15" t="n">
        <f aca="false">ROUND(Annahmen!$K$38*(1+Annahmen!$B$20*D1136/1000),0)</f>
        <v>1126</v>
      </c>
      <c r="N1136" s="16" t="s">
        <v>86</v>
      </c>
    </row>
    <row r="1137" customFormat="false" ht="15" hidden="false" customHeight="false" outlineLevel="0" collapsed="false">
      <c r="A1137" s="13" t="s">
        <v>2326</v>
      </c>
      <c r="B1137" s="14" t="s">
        <v>2327</v>
      </c>
      <c r="C1137" s="15" t="n">
        <v>2200</v>
      </c>
      <c r="D1137" s="15" t="n">
        <v>416</v>
      </c>
      <c r="E1137" s="13" t="s">
        <v>82</v>
      </c>
      <c r="F1137" s="15" t="str">
        <f aca="false">IF(C1137&gt;=J1137,"ja","nein")</f>
        <v>ja</v>
      </c>
      <c r="G1137" s="15" t="str">
        <f aca="false">IF(C1137&gt;=K1137,"ja","nein")</f>
        <v>ja</v>
      </c>
      <c r="H1137" s="15" t="str">
        <f aca="false">IF(C1137&gt;=L1137,"ja","nein")</f>
        <v>ja</v>
      </c>
      <c r="I1137" s="15" t="str">
        <f aca="false">IF(C1137&gt;=M1137,"ja","nein")</f>
        <v>ja</v>
      </c>
      <c r="J1137" s="15" t="n">
        <f aca="false">ROUND(Annahmen!$K$35*(1+Annahmen!$B$20*D1137/1000),0)</f>
        <v>871</v>
      </c>
      <c r="K1137" s="15" t="n">
        <f aca="false">ROUND(Annahmen!$K$36*(1+Annahmen!$B$20*D1137/1000),0)</f>
        <v>1132</v>
      </c>
      <c r="L1137" s="15" t="n">
        <f aca="false">ROUND(Annahmen!$K$37*(1+Annahmen!$B$20*D1137/1000),0)</f>
        <v>1157</v>
      </c>
      <c r="M1137" s="15" t="n">
        <f aca="false">ROUND(Annahmen!$K$38*(1+Annahmen!$B$20*D1137/1000),0)</f>
        <v>1157</v>
      </c>
      <c r="N1137" s="16" t="s">
        <v>83</v>
      </c>
    </row>
    <row r="1138" customFormat="false" ht="15" hidden="false" customHeight="false" outlineLevel="0" collapsed="false">
      <c r="A1138" s="13" t="s">
        <v>2328</v>
      </c>
      <c r="B1138" s="14" t="s">
        <v>2329</v>
      </c>
      <c r="C1138" s="15" t="n">
        <v>2200</v>
      </c>
      <c r="D1138" s="15" t="n">
        <v>1161</v>
      </c>
      <c r="E1138" s="13" t="s">
        <v>82</v>
      </c>
      <c r="F1138" s="15" t="str">
        <f aca="false">IF(C1138&gt;=J1138,"ja","nein")</f>
        <v>ja</v>
      </c>
      <c r="G1138" s="15" t="str">
        <f aca="false">IF(C1138&gt;=K1138,"ja","nein")</f>
        <v>ja</v>
      </c>
      <c r="H1138" s="15" t="str">
        <f aca="false">IF(C1138&gt;=L1138,"ja","nein")</f>
        <v>ja</v>
      </c>
      <c r="I1138" s="15" t="str">
        <f aca="false">IF(C1138&gt;=M1138,"ja","nein")</f>
        <v>ja</v>
      </c>
      <c r="J1138" s="15" t="n">
        <f aca="false">ROUND(Annahmen!$K$35*(1+Annahmen!$B$20*D1138/1000),0)</f>
        <v>928</v>
      </c>
      <c r="K1138" s="15" t="n">
        <f aca="false">ROUND(Annahmen!$K$36*(1+Annahmen!$B$20*D1138/1000),0)</f>
        <v>1205</v>
      </c>
      <c r="L1138" s="15" t="n">
        <f aca="false">ROUND(Annahmen!$K$37*(1+Annahmen!$B$20*D1138/1000),0)</f>
        <v>1232</v>
      </c>
      <c r="M1138" s="15" t="n">
        <f aca="false">ROUND(Annahmen!$K$38*(1+Annahmen!$B$20*D1138/1000),0)</f>
        <v>1232</v>
      </c>
      <c r="N1138" s="16" t="s">
        <v>86</v>
      </c>
    </row>
    <row r="1139" customFormat="false" ht="15" hidden="false" customHeight="false" outlineLevel="0" collapsed="false">
      <c r="A1139" s="13" t="s">
        <v>2330</v>
      </c>
      <c r="B1139" s="14" t="s">
        <v>2331</v>
      </c>
      <c r="C1139" s="15" t="n">
        <v>2188</v>
      </c>
      <c r="D1139" s="15" t="n">
        <v>326</v>
      </c>
      <c r="E1139" s="13" t="s">
        <v>82</v>
      </c>
      <c r="F1139" s="15" t="str">
        <f aca="false">IF(C1139&gt;=J1139,"ja","nein")</f>
        <v>ja</v>
      </c>
      <c r="G1139" s="15" t="str">
        <f aca="false">IF(C1139&gt;=K1139,"ja","nein")</f>
        <v>ja</v>
      </c>
      <c r="H1139" s="15" t="str">
        <f aca="false">IF(C1139&gt;=L1139,"ja","nein")</f>
        <v>ja</v>
      </c>
      <c r="I1139" s="15" t="str">
        <f aca="false">IF(C1139&gt;=M1139,"ja","nein")</f>
        <v>ja</v>
      </c>
      <c r="J1139" s="15" t="n">
        <f aca="false">ROUND(Annahmen!$K$35*(1+Annahmen!$B$20*D1139/1000),0)</f>
        <v>865</v>
      </c>
      <c r="K1139" s="15" t="n">
        <f aca="false">ROUND(Annahmen!$K$36*(1+Annahmen!$B$20*D1139/1000),0)</f>
        <v>1123</v>
      </c>
      <c r="L1139" s="15" t="n">
        <f aca="false">ROUND(Annahmen!$K$37*(1+Annahmen!$B$20*D1139/1000),0)</f>
        <v>1148</v>
      </c>
      <c r="M1139" s="15" t="n">
        <f aca="false">ROUND(Annahmen!$K$38*(1+Annahmen!$B$20*D1139/1000),0)</f>
        <v>1148</v>
      </c>
      <c r="N1139" s="16" t="s">
        <v>86</v>
      </c>
    </row>
    <row r="1140" customFormat="false" ht="15" hidden="false" customHeight="false" outlineLevel="0" collapsed="false">
      <c r="A1140" s="13" t="s">
        <v>2332</v>
      </c>
      <c r="B1140" s="14" t="s">
        <v>2333</v>
      </c>
      <c r="C1140" s="15" t="n">
        <v>2100</v>
      </c>
      <c r="D1140" s="15" t="n">
        <v>2962</v>
      </c>
      <c r="E1140" s="13" t="s">
        <v>82</v>
      </c>
      <c r="F1140" s="15" t="str">
        <f aca="false">IF(C1140&gt;=J1140,"ja","nein")</f>
        <v>ja</v>
      </c>
      <c r="G1140" s="15" t="str">
        <f aca="false">IF(C1140&gt;=K1140,"ja","nein")</f>
        <v>ja</v>
      </c>
      <c r="H1140" s="15" t="str">
        <f aca="false">IF(C1140&gt;=L1140,"ja","nein")</f>
        <v>ja</v>
      </c>
      <c r="I1140" s="15" t="str">
        <f aca="false">IF(C1140&gt;=M1140,"ja","nein")</f>
        <v>ja</v>
      </c>
      <c r="J1140" s="15" t="n">
        <f aca="false">ROUND(Annahmen!$K$35*(1+Annahmen!$B$20*D1140/1000),0)</f>
        <v>1064</v>
      </c>
      <c r="K1140" s="15" t="n">
        <f aca="false">ROUND(Annahmen!$K$36*(1+Annahmen!$B$20*D1140/1000),0)</f>
        <v>1382</v>
      </c>
      <c r="L1140" s="15" t="n">
        <f aca="false">ROUND(Annahmen!$K$37*(1+Annahmen!$B$20*D1140/1000),0)</f>
        <v>1412</v>
      </c>
      <c r="M1140" s="15" t="n">
        <f aca="false">ROUND(Annahmen!$K$38*(1+Annahmen!$B$20*D1140/1000),0)</f>
        <v>1412</v>
      </c>
      <c r="N1140" s="16" t="s">
        <v>86</v>
      </c>
    </row>
    <row r="1141" customFormat="false" ht="15" hidden="false" customHeight="false" outlineLevel="0" collapsed="false">
      <c r="A1141" s="13" t="s">
        <v>2334</v>
      </c>
      <c r="B1141" s="14" t="s">
        <v>2335</v>
      </c>
      <c r="C1141" s="15" t="n">
        <v>2100</v>
      </c>
      <c r="D1141" s="15" t="n">
        <v>1769</v>
      </c>
      <c r="E1141" s="13" t="s">
        <v>82</v>
      </c>
      <c r="F1141" s="15" t="str">
        <f aca="false">IF(C1141&gt;=J1141,"ja","nein")</f>
        <v>ja</v>
      </c>
      <c r="G1141" s="15" t="str">
        <f aca="false">IF(C1141&gt;=K1141,"ja","nein")</f>
        <v>ja</v>
      </c>
      <c r="H1141" s="15" t="str">
        <f aca="false">IF(C1141&gt;=L1141,"ja","nein")</f>
        <v>ja</v>
      </c>
      <c r="I1141" s="15" t="str">
        <f aca="false">IF(C1141&gt;=M1141,"ja","nein")</f>
        <v>ja</v>
      </c>
      <c r="J1141" s="15" t="n">
        <f aca="false">ROUND(Annahmen!$K$35*(1+Annahmen!$B$20*D1141/1000),0)</f>
        <v>974</v>
      </c>
      <c r="K1141" s="15" t="n">
        <f aca="false">ROUND(Annahmen!$K$36*(1+Annahmen!$B$20*D1141/1000),0)</f>
        <v>1265</v>
      </c>
      <c r="L1141" s="15" t="n">
        <f aca="false">ROUND(Annahmen!$K$37*(1+Annahmen!$B$20*D1141/1000),0)</f>
        <v>1293</v>
      </c>
      <c r="M1141" s="15" t="n">
        <f aca="false">ROUND(Annahmen!$K$38*(1+Annahmen!$B$20*D1141/1000),0)</f>
        <v>1293</v>
      </c>
      <c r="N1141" s="16" t="s">
        <v>102</v>
      </c>
    </row>
    <row r="1142" customFormat="false" ht="15" hidden="false" customHeight="false" outlineLevel="0" collapsed="false">
      <c r="A1142" s="13" t="s">
        <v>2336</v>
      </c>
      <c r="B1142" s="14" t="s">
        <v>2337</v>
      </c>
      <c r="C1142" s="15" t="n">
        <v>1942</v>
      </c>
      <c r="D1142" s="15" t="n">
        <v>2736</v>
      </c>
      <c r="E1142" s="13" t="s">
        <v>82</v>
      </c>
      <c r="F1142" s="15" t="str">
        <f aca="false">IF(C1142&gt;=J1142,"ja","nein")</f>
        <v>ja</v>
      </c>
      <c r="G1142" s="15" t="str">
        <f aca="false">IF(C1142&gt;=K1142,"ja","nein")</f>
        <v>ja</v>
      </c>
      <c r="H1142" s="15" t="str">
        <f aca="false">IF(C1142&gt;=L1142,"ja","nein")</f>
        <v>ja</v>
      </c>
      <c r="I1142" s="15" t="str">
        <f aca="false">IF(C1142&gt;=M1142,"ja","nein")</f>
        <v>ja</v>
      </c>
      <c r="J1142" s="15" t="n">
        <f aca="false">ROUND(Annahmen!$K$35*(1+Annahmen!$B$20*D1142/1000),0)</f>
        <v>1047</v>
      </c>
      <c r="K1142" s="15" t="n">
        <f aca="false">ROUND(Annahmen!$K$36*(1+Annahmen!$B$20*D1142/1000),0)</f>
        <v>1360</v>
      </c>
      <c r="L1142" s="15" t="n">
        <f aca="false">ROUND(Annahmen!$K$37*(1+Annahmen!$B$20*D1142/1000),0)</f>
        <v>1390</v>
      </c>
      <c r="M1142" s="15" t="n">
        <f aca="false">ROUND(Annahmen!$K$38*(1+Annahmen!$B$20*D1142/1000),0)</f>
        <v>1390</v>
      </c>
      <c r="N1142" s="16" t="s">
        <v>102</v>
      </c>
    </row>
    <row r="1143" customFormat="false" ht="15" hidden="false" customHeight="false" outlineLevel="0" collapsed="false">
      <c r="A1143" s="13" t="s">
        <v>2338</v>
      </c>
      <c r="B1143" s="14" t="s">
        <v>2339</v>
      </c>
      <c r="C1143" s="15" t="n">
        <v>1850</v>
      </c>
      <c r="D1143" s="15" t="n">
        <v>197</v>
      </c>
      <c r="E1143" s="13" t="s">
        <v>82</v>
      </c>
      <c r="F1143" s="15" t="str">
        <f aca="false">IF(C1143&gt;=J1143,"ja","nein")</f>
        <v>ja</v>
      </c>
      <c r="G1143" s="15" t="str">
        <f aca="false">IF(C1143&gt;=K1143,"ja","nein")</f>
        <v>ja</v>
      </c>
      <c r="H1143" s="15" t="str">
        <f aca="false">IF(C1143&gt;=L1143,"ja","nein")</f>
        <v>ja</v>
      </c>
      <c r="I1143" s="15" t="str">
        <f aca="false">IF(C1143&gt;=M1143,"ja","nein")</f>
        <v>ja</v>
      </c>
      <c r="J1143" s="15" t="n">
        <f aca="false">ROUND(Annahmen!$K$35*(1+Annahmen!$B$20*D1143/1000),0)</f>
        <v>855</v>
      </c>
      <c r="K1143" s="15" t="n">
        <f aca="false">ROUND(Annahmen!$K$36*(1+Annahmen!$B$20*D1143/1000),0)</f>
        <v>1110</v>
      </c>
      <c r="L1143" s="15" t="n">
        <f aca="false">ROUND(Annahmen!$K$37*(1+Annahmen!$B$20*D1143/1000),0)</f>
        <v>1135</v>
      </c>
      <c r="M1143" s="15" t="n">
        <f aca="false">ROUND(Annahmen!$K$38*(1+Annahmen!$B$20*D1143/1000),0)</f>
        <v>1135</v>
      </c>
      <c r="N1143" s="16" t="s">
        <v>102</v>
      </c>
    </row>
    <row r="1144" customFormat="false" ht="15" hidden="false" customHeight="false" outlineLevel="0" collapsed="false">
      <c r="A1144" s="13" t="s">
        <v>2340</v>
      </c>
      <c r="B1144" s="14" t="s">
        <v>2341</v>
      </c>
      <c r="C1144" s="15" t="n">
        <v>1754</v>
      </c>
      <c r="D1144" s="15" t="n">
        <v>16</v>
      </c>
      <c r="E1144" s="13" t="s">
        <v>82</v>
      </c>
      <c r="F1144" s="15" t="str">
        <f aca="false">IF(C1144&gt;=J1144,"ja","nein")</f>
        <v>ja</v>
      </c>
      <c r="G1144" s="15" t="str">
        <f aca="false">IF(C1144&gt;=K1144,"ja","nein")</f>
        <v>ja</v>
      </c>
      <c r="H1144" s="15" t="str">
        <f aca="false">IF(C1144&gt;=L1144,"ja","nein")</f>
        <v>ja</v>
      </c>
      <c r="I1144" s="15" t="str">
        <f aca="false">IF(C1144&gt;=M1144,"ja","nein")</f>
        <v>ja</v>
      </c>
      <c r="J1144" s="15" t="n">
        <f aca="false">ROUND(Annahmen!$K$35*(1+Annahmen!$B$20*D1144/1000),0)</f>
        <v>841</v>
      </c>
      <c r="K1144" s="15" t="n">
        <f aca="false">ROUND(Annahmen!$K$36*(1+Annahmen!$B$20*D1144/1000),0)</f>
        <v>1093</v>
      </c>
      <c r="L1144" s="15" t="n">
        <f aca="false">ROUND(Annahmen!$K$37*(1+Annahmen!$B$20*D1144/1000),0)</f>
        <v>1117</v>
      </c>
      <c r="M1144" s="15" t="n">
        <f aca="false">ROUND(Annahmen!$K$38*(1+Annahmen!$B$20*D1144/1000),0)</f>
        <v>1117</v>
      </c>
      <c r="N1144" s="16" t="s">
        <v>86</v>
      </c>
    </row>
    <row r="1145" customFormat="false" ht="15" hidden="false" customHeight="false" outlineLevel="0" collapsed="false">
      <c r="A1145" s="13" t="s">
        <v>2342</v>
      </c>
      <c r="B1145" s="14" t="s">
        <v>2343</v>
      </c>
      <c r="C1145" s="15" t="n">
        <v>1600</v>
      </c>
      <c r="D1145" s="15" t="n">
        <v>1928</v>
      </c>
      <c r="E1145" s="13" t="s">
        <v>82</v>
      </c>
      <c r="F1145" s="15" t="str">
        <f aca="false">IF(C1145&gt;=J1145,"ja","nein")</f>
        <v>ja</v>
      </c>
      <c r="G1145" s="15" t="str">
        <f aca="false">IF(C1145&gt;=K1145,"ja","nein")</f>
        <v>ja</v>
      </c>
      <c r="H1145" s="15" t="str">
        <f aca="false">IF(C1145&gt;=L1145,"ja","nein")</f>
        <v>ja</v>
      </c>
      <c r="I1145" s="15" t="str">
        <f aca="false">IF(C1145&gt;=M1145,"ja","nein")</f>
        <v>ja</v>
      </c>
      <c r="J1145" s="15" t="n">
        <f aca="false">ROUND(Annahmen!$K$35*(1+Annahmen!$B$20*D1145/1000),0)</f>
        <v>986</v>
      </c>
      <c r="K1145" s="15" t="n">
        <f aca="false">ROUND(Annahmen!$K$36*(1+Annahmen!$B$20*D1145/1000),0)</f>
        <v>1280</v>
      </c>
      <c r="L1145" s="15" t="n">
        <f aca="false">ROUND(Annahmen!$K$37*(1+Annahmen!$B$20*D1145/1000),0)</f>
        <v>1308</v>
      </c>
      <c r="M1145" s="15" t="n">
        <f aca="false">ROUND(Annahmen!$K$38*(1+Annahmen!$B$20*D1145/1000),0)</f>
        <v>1308</v>
      </c>
      <c r="N1145" s="16" t="s">
        <v>102</v>
      </c>
    </row>
    <row r="1146" customFormat="false" ht="15" hidden="false" customHeight="false" outlineLevel="0" collapsed="false">
      <c r="A1146" s="13" t="s">
        <v>2344</v>
      </c>
      <c r="B1146" s="14" t="s">
        <v>2345</v>
      </c>
      <c r="C1146" s="15" t="n">
        <v>1535</v>
      </c>
      <c r="D1146" s="15" t="n">
        <v>2116</v>
      </c>
      <c r="E1146" s="13" t="s">
        <v>82</v>
      </c>
      <c r="F1146" s="15" t="str">
        <f aca="false">IF(C1146&gt;=J1146,"ja","nein")</f>
        <v>ja</v>
      </c>
      <c r="G1146" s="15" t="str">
        <f aca="false">IF(C1146&gt;=K1146,"ja","nein")</f>
        <v>ja</v>
      </c>
      <c r="H1146" s="15" t="str">
        <f aca="false">IF(C1146&gt;=L1146,"ja","nein")</f>
        <v>ja</v>
      </c>
      <c r="I1146" s="15" t="str">
        <f aca="false">IF(C1146&gt;=M1146,"ja","nein")</f>
        <v>ja</v>
      </c>
      <c r="J1146" s="15" t="n">
        <f aca="false">ROUND(Annahmen!$K$35*(1+Annahmen!$B$20*D1146/1000),0)</f>
        <v>1000</v>
      </c>
      <c r="K1146" s="15" t="n">
        <f aca="false">ROUND(Annahmen!$K$36*(1+Annahmen!$B$20*D1146/1000),0)</f>
        <v>1299</v>
      </c>
      <c r="L1146" s="15" t="n">
        <f aca="false">ROUND(Annahmen!$K$37*(1+Annahmen!$B$20*D1146/1000),0)</f>
        <v>1327</v>
      </c>
      <c r="M1146" s="15" t="n">
        <f aca="false">ROUND(Annahmen!$K$38*(1+Annahmen!$B$20*D1146/1000),0)</f>
        <v>1327</v>
      </c>
      <c r="N1146" s="16" t="s">
        <v>102</v>
      </c>
    </row>
    <row r="1147" customFormat="false" ht="15" hidden="false" customHeight="false" outlineLevel="0" collapsed="false">
      <c r="A1147" s="13" t="s">
        <v>2346</v>
      </c>
      <c r="B1147" s="14" t="s">
        <v>2347</v>
      </c>
      <c r="C1147" s="15" t="n">
        <v>1529</v>
      </c>
      <c r="D1147" s="15" t="n">
        <v>2753</v>
      </c>
      <c r="E1147" s="13" t="s">
        <v>82</v>
      </c>
      <c r="F1147" s="15" t="str">
        <f aca="false">IF(C1147&gt;=J1147,"ja","nein")</f>
        <v>ja</v>
      </c>
      <c r="G1147" s="15" t="str">
        <f aca="false">IF(C1147&gt;=K1147,"ja","nein")</f>
        <v>ja</v>
      </c>
      <c r="H1147" s="15" t="str">
        <f aca="false">IF(C1147&gt;=L1147,"ja","nein")</f>
        <v>ja</v>
      </c>
      <c r="I1147" s="15" t="str">
        <f aca="false">IF(C1147&gt;=M1147,"ja","nein")</f>
        <v>ja</v>
      </c>
      <c r="J1147" s="15" t="n">
        <f aca="false">ROUND(Annahmen!$K$35*(1+Annahmen!$B$20*D1147/1000),0)</f>
        <v>1048</v>
      </c>
      <c r="K1147" s="15" t="n">
        <f aca="false">ROUND(Annahmen!$K$36*(1+Annahmen!$B$20*D1147/1000),0)</f>
        <v>1361</v>
      </c>
      <c r="L1147" s="15" t="n">
        <f aca="false">ROUND(Annahmen!$K$37*(1+Annahmen!$B$20*D1147/1000),0)</f>
        <v>1391</v>
      </c>
      <c r="M1147" s="15" t="n">
        <f aca="false">ROUND(Annahmen!$K$38*(1+Annahmen!$B$20*D1147/1000),0)</f>
        <v>1391</v>
      </c>
      <c r="N1147" s="16" t="s">
        <v>102</v>
      </c>
    </row>
    <row r="1148" customFormat="false" ht="15" hidden="false" customHeight="false" outlineLevel="0" collapsed="false">
      <c r="A1148" s="13" t="s">
        <v>2348</v>
      </c>
      <c r="B1148" s="14" t="s">
        <v>2349</v>
      </c>
      <c r="C1148" s="15" t="n">
        <v>1500</v>
      </c>
      <c r="D1148" s="15" t="n">
        <v>716</v>
      </c>
      <c r="E1148" s="13" t="s">
        <v>82</v>
      </c>
      <c r="F1148" s="15" t="str">
        <f aca="false">IF(C1148&gt;=J1148,"ja","nein")</f>
        <v>ja</v>
      </c>
      <c r="G1148" s="15" t="str">
        <f aca="false">IF(C1148&gt;=K1148,"ja","nein")</f>
        <v>ja</v>
      </c>
      <c r="H1148" s="15" t="str">
        <f aca="false">IF(C1148&gt;=L1148,"ja","nein")</f>
        <v>ja</v>
      </c>
      <c r="I1148" s="15" t="str">
        <f aca="false">IF(C1148&gt;=M1148,"ja","nein")</f>
        <v>ja</v>
      </c>
      <c r="J1148" s="15" t="n">
        <f aca="false">ROUND(Annahmen!$K$35*(1+Annahmen!$B$20*D1148/1000),0)</f>
        <v>894</v>
      </c>
      <c r="K1148" s="15" t="n">
        <f aca="false">ROUND(Annahmen!$K$36*(1+Annahmen!$B$20*D1148/1000),0)</f>
        <v>1161</v>
      </c>
      <c r="L1148" s="15" t="n">
        <f aca="false">ROUND(Annahmen!$K$37*(1+Annahmen!$B$20*D1148/1000),0)</f>
        <v>1187</v>
      </c>
      <c r="M1148" s="15" t="n">
        <f aca="false">ROUND(Annahmen!$K$38*(1+Annahmen!$B$20*D1148/1000),0)</f>
        <v>1187</v>
      </c>
      <c r="N1148" s="16" t="s">
        <v>102</v>
      </c>
    </row>
    <row r="1149" customFormat="false" ht="15" hidden="false" customHeight="false" outlineLevel="0" collapsed="false">
      <c r="A1149" s="13" t="s">
        <v>2350</v>
      </c>
      <c r="B1149" s="14" t="s">
        <v>2351</v>
      </c>
      <c r="C1149" s="15" t="n">
        <v>1500</v>
      </c>
      <c r="D1149" s="15" t="n">
        <v>2269</v>
      </c>
      <c r="E1149" s="13" t="s">
        <v>82</v>
      </c>
      <c r="F1149" s="15" t="str">
        <f aca="false">IF(C1149&gt;=J1149,"ja","nein")</f>
        <v>ja</v>
      </c>
      <c r="G1149" s="15" t="str">
        <f aca="false">IF(C1149&gt;=K1149,"ja","nein")</f>
        <v>ja</v>
      </c>
      <c r="H1149" s="15" t="str">
        <f aca="false">IF(C1149&gt;=L1149,"ja","nein")</f>
        <v>ja</v>
      </c>
      <c r="I1149" s="15" t="str">
        <f aca="false">IF(C1149&gt;=M1149,"ja","nein")</f>
        <v>ja</v>
      </c>
      <c r="J1149" s="15" t="n">
        <f aca="false">ROUND(Annahmen!$K$35*(1+Annahmen!$B$20*D1149/1000),0)</f>
        <v>1012</v>
      </c>
      <c r="K1149" s="15" t="n">
        <f aca="false">ROUND(Annahmen!$K$36*(1+Annahmen!$B$20*D1149/1000),0)</f>
        <v>1314</v>
      </c>
      <c r="L1149" s="15" t="n">
        <f aca="false">ROUND(Annahmen!$K$37*(1+Annahmen!$B$20*D1149/1000),0)</f>
        <v>1343</v>
      </c>
      <c r="M1149" s="15" t="n">
        <f aca="false">ROUND(Annahmen!$K$38*(1+Annahmen!$B$20*D1149/1000),0)</f>
        <v>1343</v>
      </c>
      <c r="N1149" s="16" t="s">
        <v>86</v>
      </c>
    </row>
    <row r="1150" customFormat="false" ht="15" hidden="false" customHeight="false" outlineLevel="0" collapsed="false">
      <c r="A1150" s="13" t="s">
        <v>2352</v>
      </c>
      <c r="B1150" s="14" t="s">
        <v>2353</v>
      </c>
      <c r="C1150" s="15" t="n">
        <v>1472</v>
      </c>
      <c r="D1150" s="15" t="n">
        <v>2467</v>
      </c>
      <c r="E1150" s="13" t="s">
        <v>82</v>
      </c>
      <c r="F1150" s="15" t="str">
        <f aca="false">IF(C1150&gt;=J1150,"ja","nein")</f>
        <v>ja</v>
      </c>
      <c r="G1150" s="15" t="str">
        <f aca="false">IF(C1150&gt;=K1150,"ja","nein")</f>
        <v>ja</v>
      </c>
      <c r="H1150" s="15" t="str">
        <f aca="false">IF(C1150&gt;=L1150,"ja","nein")</f>
        <v>ja</v>
      </c>
      <c r="I1150" s="15" t="str">
        <f aca="false">IF(C1150&gt;=M1150,"ja","nein")</f>
        <v>ja</v>
      </c>
      <c r="J1150" s="15" t="n">
        <f aca="false">ROUND(Annahmen!$K$35*(1+Annahmen!$B$20*D1150/1000),0)</f>
        <v>1027</v>
      </c>
      <c r="K1150" s="15" t="n">
        <f aca="false">ROUND(Annahmen!$K$36*(1+Annahmen!$B$20*D1150/1000),0)</f>
        <v>1333</v>
      </c>
      <c r="L1150" s="15" t="n">
        <f aca="false">ROUND(Annahmen!$K$37*(1+Annahmen!$B$20*D1150/1000),0)</f>
        <v>1363</v>
      </c>
      <c r="M1150" s="15" t="n">
        <f aca="false">ROUND(Annahmen!$K$38*(1+Annahmen!$B$20*D1150/1000),0)</f>
        <v>1363</v>
      </c>
      <c r="N1150" s="16" t="s">
        <v>102</v>
      </c>
    </row>
    <row r="1151" customFormat="false" ht="15" hidden="false" customHeight="false" outlineLevel="0" collapsed="false">
      <c r="A1151" s="13" t="s">
        <v>2354</v>
      </c>
      <c r="B1151" s="14" t="s">
        <v>2355</v>
      </c>
      <c r="C1151" s="15" t="n">
        <v>1450</v>
      </c>
      <c r="D1151" s="15" t="n">
        <v>1780</v>
      </c>
      <c r="E1151" s="13" t="s">
        <v>82</v>
      </c>
      <c r="F1151" s="15" t="str">
        <f aca="false">IF(C1151&gt;=J1151,"ja","nein")</f>
        <v>ja</v>
      </c>
      <c r="G1151" s="15" t="str">
        <f aca="false">IF(C1151&gt;=K1151,"ja","nein")</f>
        <v>ja</v>
      </c>
      <c r="H1151" s="15" t="str">
        <f aca="false">IF(C1151&gt;=L1151,"ja","nein")</f>
        <v>ja</v>
      </c>
      <c r="I1151" s="15" t="str">
        <f aca="false">IF(C1151&gt;=M1151,"ja","nein")</f>
        <v>ja</v>
      </c>
      <c r="J1151" s="15" t="n">
        <f aca="false">ROUND(Annahmen!$K$35*(1+Annahmen!$B$20*D1151/1000),0)</f>
        <v>975</v>
      </c>
      <c r="K1151" s="15" t="n">
        <f aca="false">ROUND(Annahmen!$K$36*(1+Annahmen!$B$20*D1151/1000),0)</f>
        <v>1266</v>
      </c>
      <c r="L1151" s="15" t="n">
        <f aca="false">ROUND(Annahmen!$K$37*(1+Annahmen!$B$20*D1151/1000),0)</f>
        <v>1294</v>
      </c>
      <c r="M1151" s="15" t="n">
        <f aca="false">ROUND(Annahmen!$K$38*(1+Annahmen!$B$20*D1151/1000),0)</f>
        <v>1294</v>
      </c>
      <c r="N1151" s="16" t="s">
        <v>102</v>
      </c>
    </row>
    <row r="1152" customFormat="false" ht="15" hidden="false" customHeight="false" outlineLevel="0" collapsed="false">
      <c r="A1152" s="13" t="s">
        <v>2356</v>
      </c>
      <c r="B1152" s="14" t="s">
        <v>2357</v>
      </c>
      <c r="C1152" s="15" t="n">
        <v>1433</v>
      </c>
      <c r="D1152" s="15" t="n">
        <v>156</v>
      </c>
      <c r="E1152" s="13" t="s">
        <v>82</v>
      </c>
      <c r="F1152" s="15" t="str">
        <f aca="false">IF(C1152&gt;=J1152,"ja","nein")</f>
        <v>ja</v>
      </c>
      <c r="G1152" s="15" t="str">
        <f aca="false">IF(C1152&gt;=K1152,"ja","nein")</f>
        <v>ja</v>
      </c>
      <c r="H1152" s="15" t="str">
        <f aca="false">IF(C1152&gt;=L1152,"ja","nein")</f>
        <v>ja</v>
      </c>
      <c r="I1152" s="15" t="str">
        <f aca="false">IF(C1152&gt;=M1152,"ja","nein")</f>
        <v>ja</v>
      </c>
      <c r="J1152" s="15" t="n">
        <f aca="false">ROUND(Annahmen!$K$35*(1+Annahmen!$B$20*D1152/1000),0)</f>
        <v>852</v>
      </c>
      <c r="K1152" s="15" t="n">
        <f aca="false">ROUND(Annahmen!$K$36*(1+Annahmen!$B$20*D1152/1000),0)</f>
        <v>1106</v>
      </c>
      <c r="L1152" s="15" t="n">
        <f aca="false">ROUND(Annahmen!$K$37*(1+Annahmen!$B$20*D1152/1000),0)</f>
        <v>1131</v>
      </c>
      <c r="M1152" s="15" t="n">
        <f aca="false">ROUND(Annahmen!$K$38*(1+Annahmen!$B$20*D1152/1000),0)</f>
        <v>1131</v>
      </c>
      <c r="N1152" s="16" t="s">
        <v>86</v>
      </c>
    </row>
    <row r="1153" customFormat="false" ht="15" hidden="false" customHeight="false" outlineLevel="0" collapsed="false">
      <c r="A1153" s="13" t="s">
        <v>2358</v>
      </c>
      <c r="B1153" s="14" t="s">
        <v>2359</v>
      </c>
      <c r="C1153" s="15" t="n">
        <v>1400</v>
      </c>
      <c r="D1153" s="15" t="n">
        <v>2510</v>
      </c>
      <c r="E1153" s="13" t="s">
        <v>82</v>
      </c>
      <c r="F1153" s="15" t="str">
        <f aca="false">IF(C1153&gt;=J1153,"ja","nein")</f>
        <v>ja</v>
      </c>
      <c r="G1153" s="15" t="str">
        <f aca="false">IF(C1153&gt;=K1153,"ja","nein")</f>
        <v>ja</v>
      </c>
      <c r="H1153" s="15" t="str">
        <f aca="false">IF(C1153&gt;=L1153,"ja","nein")</f>
        <v>ja</v>
      </c>
      <c r="I1153" s="15" t="str">
        <f aca="false">IF(C1153&gt;=M1153,"ja","nein")</f>
        <v>ja</v>
      </c>
      <c r="J1153" s="15" t="n">
        <f aca="false">ROUND(Annahmen!$K$35*(1+Annahmen!$B$20*D1153/1000),0)</f>
        <v>1030</v>
      </c>
      <c r="K1153" s="15" t="n">
        <f aca="false">ROUND(Annahmen!$K$36*(1+Annahmen!$B$20*D1153/1000),0)</f>
        <v>1337</v>
      </c>
      <c r="L1153" s="15" t="n">
        <f aca="false">ROUND(Annahmen!$K$37*(1+Annahmen!$B$20*D1153/1000),0)</f>
        <v>1367</v>
      </c>
      <c r="M1153" s="15" t="n">
        <f aca="false">ROUND(Annahmen!$K$38*(1+Annahmen!$B$20*D1153/1000),0)</f>
        <v>1367</v>
      </c>
      <c r="N1153" s="16" t="s">
        <v>102</v>
      </c>
    </row>
    <row r="1154" customFormat="false" ht="15" hidden="false" customHeight="false" outlineLevel="0" collapsed="false">
      <c r="A1154" s="13" t="s">
        <v>2360</v>
      </c>
      <c r="B1154" s="14" t="s">
        <v>2361</v>
      </c>
      <c r="C1154" s="15" t="n">
        <v>1267</v>
      </c>
      <c r="D1154" s="15" t="n">
        <v>2625</v>
      </c>
      <c r="E1154" s="13" t="s">
        <v>82</v>
      </c>
      <c r="F1154" s="15" t="str">
        <f aca="false">IF(C1154&gt;=J1154,"ja","nein")</f>
        <v>ja</v>
      </c>
      <c r="G1154" s="15" t="str">
        <f aca="false">IF(C1154&gt;=K1154,"ja","nein")</f>
        <v>nein</v>
      </c>
      <c r="H1154" s="15" t="str">
        <f aca="false">IF(C1154&gt;=L1154,"ja","nein")</f>
        <v>nein</v>
      </c>
      <c r="I1154" s="15" t="str">
        <f aca="false">IF(C1154&gt;=M1154,"ja","nein")</f>
        <v>nein</v>
      </c>
      <c r="J1154" s="15" t="n">
        <f aca="false">ROUND(Annahmen!$K$35*(1+Annahmen!$B$20*D1154/1000),0)</f>
        <v>1038</v>
      </c>
      <c r="K1154" s="15" t="n">
        <f aca="false">ROUND(Annahmen!$K$36*(1+Annahmen!$B$20*D1154/1000),0)</f>
        <v>1349</v>
      </c>
      <c r="L1154" s="15" t="n">
        <f aca="false">ROUND(Annahmen!$K$37*(1+Annahmen!$B$20*D1154/1000),0)</f>
        <v>1378</v>
      </c>
      <c r="M1154" s="15" t="n">
        <f aca="false">ROUND(Annahmen!$K$38*(1+Annahmen!$B$20*D1154/1000),0)</f>
        <v>1378</v>
      </c>
      <c r="N1154" s="16" t="s">
        <v>86</v>
      </c>
    </row>
    <row r="1155" customFormat="false" ht="15" hidden="false" customHeight="false" outlineLevel="0" collapsed="false">
      <c r="A1155" s="13" t="s">
        <v>2362</v>
      </c>
      <c r="B1155" s="14" t="s">
        <v>2363</v>
      </c>
      <c r="C1155" s="15" t="n">
        <v>1260</v>
      </c>
      <c r="D1155" s="15" t="n">
        <v>2405</v>
      </c>
      <c r="E1155" s="13" t="s">
        <v>82</v>
      </c>
      <c r="F1155" s="15" t="str">
        <f aca="false">IF(C1155&gt;=J1155,"ja","nein")</f>
        <v>ja</v>
      </c>
      <c r="G1155" s="15" t="str">
        <f aca="false">IF(C1155&gt;=K1155,"ja","nein")</f>
        <v>nein</v>
      </c>
      <c r="H1155" s="15" t="str">
        <f aca="false">IF(C1155&gt;=L1155,"ja","nein")</f>
        <v>nein</v>
      </c>
      <c r="I1155" s="15" t="str">
        <f aca="false">IF(C1155&gt;=M1155,"ja","nein")</f>
        <v>nein</v>
      </c>
      <c r="J1155" s="15" t="n">
        <f aca="false">ROUND(Annahmen!$K$35*(1+Annahmen!$B$20*D1155/1000),0)</f>
        <v>1022</v>
      </c>
      <c r="K1155" s="15" t="n">
        <f aca="false">ROUND(Annahmen!$K$36*(1+Annahmen!$B$20*D1155/1000),0)</f>
        <v>1327</v>
      </c>
      <c r="L1155" s="15" t="n">
        <f aca="false">ROUND(Annahmen!$K$37*(1+Annahmen!$B$20*D1155/1000),0)</f>
        <v>1356</v>
      </c>
      <c r="M1155" s="15" t="n">
        <f aca="false">ROUND(Annahmen!$K$38*(1+Annahmen!$B$20*D1155/1000),0)</f>
        <v>1356</v>
      </c>
      <c r="N1155" s="16" t="s">
        <v>102</v>
      </c>
    </row>
    <row r="1156" customFormat="false" ht="15" hidden="false" customHeight="false" outlineLevel="0" collapsed="false">
      <c r="A1156" s="13" t="s">
        <v>2364</v>
      </c>
      <c r="B1156" s="14" t="s">
        <v>2365</v>
      </c>
      <c r="C1156" s="15" t="n">
        <v>1250</v>
      </c>
      <c r="D1156" s="15" t="n">
        <v>103</v>
      </c>
      <c r="E1156" s="13" t="s">
        <v>82</v>
      </c>
      <c r="F1156" s="15" t="str">
        <f aca="false">IF(C1156&gt;=J1156,"ja","nein")</f>
        <v>ja</v>
      </c>
      <c r="G1156" s="15" t="str">
        <f aca="false">IF(C1156&gt;=K1156,"ja","nein")</f>
        <v>ja</v>
      </c>
      <c r="H1156" s="15" t="str">
        <f aca="false">IF(C1156&gt;=L1156,"ja","nein")</f>
        <v>ja</v>
      </c>
      <c r="I1156" s="15" t="str">
        <f aca="false">IF(C1156&gt;=M1156,"ja","nein")</f>
        <v>ja</v>
      </c>
      <c r="J1156" s="15" t="n">
        <f aca="false">ROUND(Annahmen!$K$35*(1+Annahmen!$B$20*D1156/1000),0)</f>
        <v>848</v>
      </c>
      <c r="K1156" s="15" t="n">
        <f aca="false">ROUND(Annahmen!$K$36*(1+Annahmen!$B$20*D1156/1000),0)</f>
        <v>1101</v>
      </c>
      <c r="L1156" s="15" t="n">
        <f aca="false">ROUND(Annahmen!$K$37*(1+Annahmen!$B$20*D1156/1000),0)</f>
        <v>1125</v>
      </c>
      <c r="M1156" s="15" t="n">
        <f aca="false">ROUND(Annahmen!$K$38*(1+Annahmen!$B$20*D1156/1000),0)</f>
        <v>1125</v>
      </c>
      <c r="N1156" s="16" t="s">
        <v>86</v>
      </c>
    </row>
    <row r="1157" customFormat="false" ht="15" hidden="false" customHeight="false" outlineLevel="0" collapsed="false">
      <c r="A1157" s="13" t="s">
        <v>2366</v>
      </c>
      <c r="B1157" s="14" t="s">
        <v>2367</v>
      </c>
      <c r="C1157" s="15" t="n">
        <v>1212</v>
      </c>
      <c r="D1157" s="15" t="n">
        <v>2620</v>
      </c>
      <c r="E1157" s="13" t="s">
        <v>82</v>
      </c>
      <c r="F1157" s="15" t="str">
        <f aca="false">IF(C1157&gt;=J1157,"ja","nein")</f>
        <v>ja</v>
      </c>
      <c r="G1157" s="15" t="str">
        <f aca="false">IF(C1157&gt;=K1157,"ja","nein")</f>
        <v>nein</v>
      </c>
      <c r="H1157" s="15" t="str">
        <f aca="false">IF(C1157&gt;=L1157,"ja","nein")</f>
        <v>nein</v>
      </c>
      <c r="I1157" s="15" t="str">
        <f aca="false">IF(C1157&gt;=M1157,"ja","nein")</f>
        <v>nein</v>
      </c>
      <c r="J1157" s="15" t="n">
        <f aca="false">ROUND(Annahmen!$K$35*(1+Annahmen!$B$20*D1157/1000),0)</f>
        <v>1038</v>
      </c>
      <c r="K1157" s="15" t="n">
        <f aca="false">ROUND(Annahmen!$K$36*(1+Annahmen!$B$20*D1157/1000),0)</f>
        <v>1348</v>
      </c>
      <c r="L1157" s="15" t="n">
        <f aca="false">ROUND(Annahmen!$K$37*(1+Annahmen!$B$20*D1157/1000),0)</f>
        <v>1378</v>
      </c>
      <c r="M1157" s="15" t="n">
        <f aca="false">ROUND(Annahmen!$K$38*(1+Annahmen!$B$20*D1157/1000),0)</f>
        <v>1378</v>
      </c>
      <c r="N1157" s="16" t="s">
        <v>102</v>
      </c>
    </row>
    <row r="1158" customFormat="false" ht="15" hidden="false" customHeight="false" outlineLevel="0" collapsed="false">
      <c r="A1158" s="13" t="s">
        <v>2368</v>
      </c>
      <c r="B1158" s="14" t="s">
        <v>2369</v>
      </c>
      <c r="C1158" s="15" t="n">
        <v>1200</v>
      </c>
      <c r="D1158" s="15" t="n">
        <v>12</v>
      </c>
      <c r="E1158" s="13" t="s">
        <v>82</v>
      </c>
      <c r="F1158" s="15" t="str">
        <f aca="false">IF(C1158&gt;=J1158,"ja","nein")</f>
        <v>ja</v>
      </c>
      <c r="G1158" s="15" t="str">
        <f aca="false">IF(C1158&gt;=K1158,"ja","nein")</f>
        <v>ja</v>
      </c>
      <c r="H1158" s="15" t="str">
        <f aca="false">IF(C1158&gt;=L1158,"ja","nein")</f>
        <v>ja</v>
      </c>
      <c r="I1158" s="15" t="str">
        <f aca="false">IF(C1158&gt;=M1158,"ja","nein")</f>
        <v>ja</v>
      </c>
      <c r="J1158" s="15" t="n">
        <f aca="false">ROUND(Annahmen!$K$35*(1+Annahmen!$B$20*D1158/1000),0)</f>
        <v>841</v>
      </c>
      <c r="K1158" s="15" t="n">
        <f aca="false">ROUND(Annahmen!$K$36*(1+Annahmen!$B$20*D1158/1000),0)</f>
        <v>1092</v>
      </c>
      <c r="L1158" s="15" t="n">
        <f aca="false">ROUND(Annahmen!$K$37*(1+Annahmen!$B$20*D1158/1000),0)</f>
        <v>1116</v>
      </c>
      <c r="M1158" s="15" t="n">
        <f aca="false">ROUND(Annahmen!$K$38*(1+Annahmen!$B$20*D1158/1000),0)</f>
        <v>1116</v>
      </c>
      <c r="N1158" s="16" t="s">
        <v>102</v>
      </c>
    </row>
    <row r="1159" customFormat="false" ht="15" hidden="false" customHeight="false" outlineLevel="0" collapsed="false">
      <c r="A1159" s="13" t="s">
        <v>2370</v>
      </c>
      <c r="B1159" s="14" t="s">
        <v>2371</v>
      </c>
      <c r="C1159" s="15" t="n">
        <v>1200</v>
      </c>
      <c r="D1159" s="15" t="n">
        <v>2440</v>
      </c>
      <c r="E1159" s="13" t="s">
        <v>82</v>
      </c>
      <c r="F1159" s="15" t="str">
        <f aca="false">IF(C1159&gt;=J1159,"ja","nein")</f>
        <v>ja</v>
      </c>
      <c r="G1159" s="15" t="str">
        <f aca="false">IF(C1159&gt;=K1159,"ja","nein")</f>
        <v>nein</v>
      </c>
      <c r="H1159" s="15" t="str">
        <f aca="false">IF(C1159&gt;=L1159,"ja","nein")</f>
        <v>nein</v>
      </c>
      <c r="I1159" s="15" t="str">
        <f aca="false">IF(C1159&gt;=M1159,"ja","nein")</f>
        <v>nein</v>
      </c>
      <c r="J1159" s="15" t="n">
        <f aca="false">ROUND(Annahmen!$K$35*(1+Annahmen!$B$20*D1159/1000),0)</f>
        <v>1024</v>
      </c>
      <c r="K1159" s="15" t="n">
        <f aca="false">ROUND(Annahmen!$K$36*(1+Annahmen!$B$20*D1159/1000),0)</f>
        <v>1331</v>
      </c>
      <c r="L1159" s="15" t="n">
        <f aca="false">ROUND(Annahmen!$K$37*(1+Annahmen!$B$20*D1159/1000),0)</f>
        <v>1360</v>
      </c>
      <c r="M1159" s="15" t="n">
        <f aca="false">ROUND(Annahmen!$K$38*(1+Annahmen!$B$20*D1159/1000),0)</f>
        <v>1360</v>
      </c>
      <c r="N1159" s="16" t="s">
        <v>102</v>
      </c>
    </row>
    <row r="1160" customFormat="false" ht="15" hidden="false" customHeight="false" outlineLevel="0" collapsed="false">
      <c r="A1160" s="13" t="s">
        <v>2372</v>
      </c>
      <c r="B1160" s="14" t="s">
        <v>2373</v>
      </c>
      <c r="C1160" s="15" t="n">
        <v>1200</v>
      </c>
      <c r="D1160" s="15" t="n">
        <v>1444</v>
      </c>
      <c r="E1160" s="13" t="s">
        <v>82</v>
      </c>
      <c r="F1160" s="15" t="str">
        <f aca="false">IF(C1160&gt;=J1160,"ja","nein")</f>
        <v>ja</v>
      </c>
      <c r="G1160" s="15" t="str">
        <f aca="false">IF(C1160&gt;=K1160,"ja","nein")</f>
        <v>nein</v>
      </c>
      <c r="H1160" s="15" t="str">
        <f aca="false">IF(C1160&gt;=L1160,"ja","nein")</f>
        <v>nein</v>
      </c>
      <c r="I1160" s="15" t="str">
        <f aca="false">IF(C1160&gt;=M1160,"ja","nein")</f>
        <v>nein</v>
      </c>
      <c r="J1160" s="15" t="n">
        <f aca="false">ROUND(Annahmen!$K$35*(1+Annahmen!$B$20*D1160/1000),0)</f>
        <v>949</v>
      </c>
      <c r="K1160" s="15" t="n">
        <f aca="false">ROUND(Annahmen!$K$36*(1+Annahmen!$B$20*D1160/1000),0)</f>
        <v>1233</v>
      </c>
      <c r="L1160" s="15" t="n">
        <f aca="false">ROUND(Annahmen!$K$37*(1+Annahmen!$B$20*D1160/1000),0)</f>
        <v>1260</v>
      </c>
      <c r="M1160" s="15" t="n">
        <f aca="false">ROUND(Annahmen!$K$38*(1+Annahmen!$B$20*D1160/1000),0)</f>
        <v>1260</v>
      </c>
      <c r="N1160" s="16" t="s">
        <v>102</v>
      </c>
    </row>
    <row r="1161" customFormat="false" ht="15" hidden="false" customHeight="false" outlineLevel="0" collapsed="false">
      <c r="A1161" s="13" t="s">
        <v>2374</v>
      </c>
      <c r="B1161" s="14" t="s">
        <v>2375</v>
      </c>
      <c r="C1161" s="15" t="n">
        <v>1200</v>
      </c>
      <c r="D1161" s="15" t="n">
        <v>153</v>
      </c>
      <c r="E1161" s="13" t="s">
        <v>82</v>
      </c>
      <c r="F1161" s="15" t="str">
        <f aca="false">IF(C1161&gt;=J1161,"ja","nein")</f>
        <v>ja</v>
      </c>
      <c r="G1161" s="15" t="str">
        <f aca="false">IF(C1161&gt;=K1161,"ja","nein")</f>
        <v>ja</v>
      </c>
      <c r="H1161" s="15" t="str">
        <f aca="false">IF(C1161&gt;=L1161,"ja","nein")</f>
        <v>ja</v>
      </c>
      <c r="I1161" s="15" t="str">
        <f aca="false">IF(C1161&gt;=M1161,"ja","nein")</f>
        <v>ja</v>
      </c>
      <c r="J1161" s="15" t="n">
        <f aca="false">ROUND(Annahmen!$K$35*(1+Annahmen!$B$20*D1161/1000),0)</f>
        <v>852</v>
      </c>
      <c r="K1161" s="15" t="n">
        <f aca="false">ROUND(Annahmen!$K$36*(1+Annahmen!$B$20*D1161/1000),0)</f>
        <v>1106</v>
      </c>
      <c r="L1161" s="15" t="n">
        <f aca="false">ROUND(Annahmen!$K$37*(1+Annahmen!$B$20*D1161/1000),0)</f>
        <v>1130</v>
      </c>
      <c r="M1161" s="15" t="n">
        <f aca="false">ROUND(Annahmen!$K$38*(1+Annahmen!$B$20*D1161/1000),0)</f>
        <v>1130</v>
      </c>
      <c r="N1161" s="16" t="s">
        <v>102</v>
      </c>
    </row>
    <row r="1162" customFormat="false" ht="15" hidden="false" customHeight="false" outlineLevel="0" collapsed="false">
      <c r="A1162" s="13" t="s">
        <v>2376</v>
      </c>
      <c r="B1162" s="14" t="s">
        <v>2377</v>
      </c>
      <c r="C1162" s="15" t="n">
        <v>1174</v>
      </c>
      <c r="D1162" s="15" t="n">
        <v>3330</v>
      </c>
      <c r="E1162" s="13" t="s">
        <v>82</v>
      </c>
      <c r="F1162" s="15" t="str">
        <f aca="false">IF(C1162&gt;=J1162,"ja","nein")</f>
        <v>ja</v>
      </c>
      <c r="G1162" s="15" t="str">
        <f aca="false">IF(C1162&gt;=K1162,"ja","nein")</f>
        <v>nein</v>
      </c>
      <c r="H1162" s="15" t="str">
        <f aca="false">IF(C1162&gt;=L1162,"ja","nein")</f>
        <v>nein</v>
      </c>
      <c r="I1162" s="15" t="str">
        <f aca="false">IF(C1162&gt;=M1162,"ja","nein")</f>
        <v>nein</v>
      </c>
      <c r="J1162" s="15" t="n">
        <f aca="false">ROUND(Annahmen!$K$35*(1+Annahmen!$B$20*D1162/1000),0)</f>
        <v>1092</v>
      </c>
      <c r="K1162" s="15" t="n">
        <f aca="false">ROUND(Annahmen!$K$36*(1+Annahmen!$B$20*D1162/1000),0)</f>
        <v>1418</v>
      </c>
      <c r="L1162" s="15" t="n">
        <f aca="false">ROUND(Annahmen!$K$37*(1+Annahmen!$B$20*D1162/1000),0)</f>
        <v>1449</v>
      </c>
      <c r="M1162" s="15" t="n">
        <f aca="false">ROUND(Annahmen!$K$38*(1+Annahmen!$B$20*D1162/1000),0)</f>
        <v>1449</v>
      </c>
      <c r="N1162" s="16" t="s">
        <v>102</v>
      </c>
    </row>
    <row r="1163" customFormat="false" ht="15" hidden="false" customHeight="false" outlineLevel="0" collapsed="false">
      <c r="A1163" s="13" t="s">
        <v>2378</v>
      </c>
      <c r="B1163" s="14" t="s">
        <v>2379</v>
      </c>
      <c r="C1163" s="15" t="n">
        <v>1150</v>
      </c>
      <c r="D1163" s="15" t="n">
        <v>3586</v>
      </c>
      <c r="E1163" s="13" t="s">
        <v>82</v>
      </c>
      <c r="F1163" s="15" t="str">
        <f aca="false">IF(C1163&gt;=J1163,"ja","nein")</f>
        <v>ja</v>
      </c>
      <c r="G1163" s="15" t="str">
        <f aca="false">IF(C1163&gt;=K1163,"ja","nein")</f>
        <v>nein</v>
      </c>
      <c r="H1163" s="15" t="str">
        <f aca="false">IF(C1163&gt;=L1163,"ja","nein")</f>
        <v>nein</v>
      </c>
      <c r="I1163" s="15" t="str">
        <f aca="false">IF(C1163&gt;=M1163,"ja","nein")</f>
        <v>nein</v>
      </c>
      <c r="J1163" s="15" t="n">
        <f aca="false">ROUND(Annahmen!$K$35*(1+Annahmen!$B$20*D1163/1000),0)</f>
        <v>1111</v>
      </c>
      <c r="K1163" s="15" t="n">
        <f aca="false">ROUND(Annahmen!$K$36*(1+Annahmen!$B$20*D1163/1000),0)</f>
        <v>1443</v>
      </c>
      <c r="L1163" s="15" t="n">
        <f aca="false">ROUND(Annahmen!$K$37*(1+Annahmen!$B$20*D1163/1000),0)</f>
        <v>1475</v>
      </c>
      <c r="M1163" s="15" t="n">
        <f aca="false">ROUND(Annahmen!$K$38*(1+Annahmen!$B$20*D1163/1000),0)</f>
        <v>1475</v>
      </c>
      <c r="N1163" s="16" t="s">
        <v>102</v>
      </c>
    </row>
    <row r="1164" customFormat="false" ht="15" hidden="false" customHeight="false" outlineLevel="0" collapsed="false">
      <c r="A1164" s="13" t="s">
        <v>2380</v>
      </c>
      <c r="B1164" s="14" t="s">
        <v>2381</v>
      </c>
      <c r="C1164" s="15" t="n">
        <v>1126</v>
      </c>
      <c r="D1164" s="15" t="n">
        <v>3654</v>
      </c>
      <c r="E1164" s="13" t="s">
        <v>82</v>
      </c>
      <c r="F1164" s="15" t="str">
        <f aca="false">IF(C1164&gt;=J1164,"ja","nein")</f>
        <v>ja</v>
      </c>
      <c r="G1164" s="15" t="str">
        <f aca="false">IF(C1164&gt;=K1164,"ja","nein")</f>
        <v>nein</v>
      </c>
      <c r="H1164" s="15" t="str">
        <f aca="false">IF(C1164&gt;=L1164,"ja","nein")</f>
        <v>nein</v>
      </c>
      <c r="I1164" s="15" t="str">
        <f aca="false">IF(C1164&gt;=M1164,"ja","nein")</f>
        <v>nein</v>
      </c>
      <c r="J1164" s="15" t="n">
        <f aca="false">ROUND(Annahmen!$K$35*(1+Annahmen!$B$20*D1164/1000),0)</f>
        <v>1116</v>
      </c>
      <c r="K1164" s="15" t="n">
        <f aca="false">ROUND(Annahmen!$K$36*(1+Annahmen!$B$20*D1164/1000),0)</f>
        <v>1450</v>
      </c>
      <c r="L1164" s="15" t="n">
        <f aca="false">ROUND(Annahmen!$K$37*(1+Annahmen!$B$20*D1164/1000),0)</f>
        <v>1482</v>
      </c>
      <c r="M1164" s="15" t="n">
        <f aca="false">ROUND(Annahmen!$K$38*(1+Annahmen!$B$20*D1164/1000),0)</f>
        <v>1482</v>
      </c>
      <c r="N1164" s="16" t="s">
        <v>102</v>
      </c>
    </row>
    <row r="1165" customFormat="false" ht="15" hidden="false" customHeight="false" outlineLevel="0" collapsed="false">
      <c r="A1165" s="13" t="s">
        <v>2382</v>
      </c>
      <c r="B1165" s="14" t="s">
        <v>2383</v>
      </c>
      <c r="C1165" s="15" t="n">
        <v>1049</v>
      </c>
      <c r="D1165" s="15" t="n">
        <v>485</v>
      </c>
      <c r="E1165" s="13" t="s">
        <v>82</v>
      </c>
      <c r="F1165" s="15" t="str">
        <f aca="false">IF(C1165&gt;=J1165,"ja","nein")</f>
        <v>ja</v>
      </c>
      <c r="G1165" s="15" t="str">
        <f aca="false">IF(C1165&gt;=K1165,"ja","nein")</f>
        <v>nein</v>
      </c>
      <c r="H1165" s="15" t="str">
        <f aca="false">IF(C1165&gt;=L1165,"ja","nein")</f>
        <v>nein</v>
      </c>
      <c r="I1165" s="15" t="str">
        <f aca="false">IF(C1165&gt;=M1165,"ja","nein")</f>
        <v>nein</v>
      </c>
      <c r="J1165" s="15" t="n">
        <f aca="false">ROUND(Annahmen!$K$35*(1+Annahmen!$B$20*D1165/1000),0)</f>
        <v>877</v>
      </c>
      <c r="K1165" s="15" t="n">
        <f aca="false">ROUND(Annahmen!$K$36*(1+Annahmen!$B$20*D1165/1000),0)</f>
        <v>1139</v>
      </c>
      <c r="L1165" s="15" t="n">
        <f aca="false">ROUND(Annahmen!$K$37*(1+Annahmen!$B$20*D1165/1000),0)</f>
        <v>1164</v>
      </c>
      <c r="M1165" s="15" t="n">
        <f aca="false">ROUND(Annahmen!$K$38*(1+Annahmen!$B$20*D1165/1000),0)</f>
        <v>1164</v>
      </c>
      <c r="N1165" s="16" t="s">
        <v>102</v>
      </c>
    </row>
    <row r="1166" customFormat="false" ht="15" hidden="false" customHeight="false" outlineLevel="0" collapsed="false">
      <c r="A1166" s="13" t="s">
        <v>2384</v>
      </c>
      <c r="B1166" s="14" t="s">
        <v>2385</v>
      </c>
      <c r="C1166" s="15" t="n">
        <v>1020</v>
      </c>
      <c r="D1166" s="15" t="n">
        <v>1850</v>
      </c>
      <c r="E1166" s="13" t="s">
        <v>82</v>
      </c>
      <c r="F1166" s="15" t="str">
        <f aca="false">IF(C1166&gt;=J1166,"ja","nein")</f>
        <v>ja</v>
      </c>
      <c r="G1166" s="15" t="str">
        <f aca="false">IF(C1166&gt;=K1166,"ja","nein")</f>
        <v>nein</v>
      </c>
      <c r="H1166" s="15" t="str">
        <f aca="false">IF(C1166&gt;=L1166,"ja","nein")</f>
        <v>nein</v>
      </c>
      <c r="I1166" s="15" t="str">
        <f aca="false">IF(C1166&gt;=M1166,"ja","nein")</f>
        <v>nein</v>
      </c>
      <c r="J1166" s="15" t="n">
        <f aca="false">ROUND(Annahmen!$K$35*(1+Annahmen!$B$20*D1166/1000),0)</f>
        <v>980</v>
      </c>
      <c r="K1166" s="15" t="n">
        <f aca="false">ROUND(Annahmen!$K$36*(1+Annahmen!$B$20*D1166/1000),0)</f>
        <v>1273</v>
      </c>
      <c r="L1166" s="15" t="n">
        <f aca="false">ROUND(Annahmen!$K$37*(1+Annahmen!$B$20*D1166/1000),0)</f>
        <v>1301</v>
      </c>
      <c r="M1166" s="15" t="n">
        <f aca="false">ROUND(Annahmen!$K$38*(1+Annahmen!$B$20*D1166/1000),0)</f>
        <v>1301</v>
      </c>
      <c r="N1166" s="16" t="s">
        <v>102</v>
      </c>
    </row>
    <row r="1167" customFormat="false" ht="15" hidden="false" customHeight="false" outlineLevel="0" collapsed="false">
      <c r="A1167" s="13" t="s">
        <v>2386</v>
      </c>
      <c r="B1167" s="14" t="s">
        <v>2387</v>
      </c>
      <c r="C1167" s="15" t="n">
        <v>1006</v>
      </c>
      <c r="D1167" s="15" t="n">
        <v>800</v>
      </c>
      <c r="E1167" s="13" t="s">
        <v>82</v>
      </c>
      <c r="F1167" s="15" t="str">
        <f aca="false">IF(C1167&gt;=J1167,"ja","nein")</f>
        <v>ja</v>
      </c>
      <c r="G1167" s="15" t="str">
        <f aca="false">IF(C1167&gt;=K1167,"ja","nein")</f>
        <v>nein</v>
      </c>
      <c r="H1167" s="15" t="str">
        <f aca="false">IF(C1167&gt;=L1167,"ja","nein")</f>
        <v>nein</v>
      </c>
      <c r="I1167" s="15" t="str">
        <f aca="false">IF(C1167&gt;=M1167,"ja","nein")</f>
        <v>nein</v>
      </c>
      <c r="J1167" s="15" t="n">
        <f aca="false">ROUND(Annahmen!$K$35*(1+Annahmen!$B$20*D1167/1000),0)</f>
        <v>900</v>
      </c>
      <c r="K1167" s="15" t="n">
        <f aca="false">ROUND(Annahmen!$K$36*(1+Annahmen!$B$20*D1167/1000),0)</f>
        <v>1170</v>
      </c>
      <c r="L1167" s="15" t="n">
        <f aca="false">ROUND(Annahmen!$K$37*(1+Annahmen!$B$20*D1167/1000),0)</f>
        <v>1195</v>
      </c>
      <c r="M1167" s="15" t="n">
        <f aca="false">ROUND(Annahmen!$K$38*(1+Annahmen!$B$20*D1167/1000),0)</f>
        <v>1195</v>
      </c>
      <c r="N1167" s="16" t="s">
        <v>102</v>
      </c>
    </row>
    <row r="1168" customFormat="false" ht="15" hidden="false" customHeight="false" outlineLevel="0" collapsed="false">
      <c r="A1168" s="13" t="s">
        <v>2388</v>
      </c>
      <c r="B1168" s="14" t="s">
        <v>2389</v>
      </c>
      <c r="C1168" s="15" t="n">
        <v>1002</v>
      </c>
      <c r="D1168" s="15" t="n">
        <v>2329</v>
      </c>
      <c r="E1168" s="13" t="s">
        <v>82</v>
      </c>
      <c r="F1168" s="15" t="str">
        <f aca="false">IF(C1168&gt;=J1168,"ja","nein")</f>
        <v>nein</v>
      </c>
      <c r="G1168" s="15" t="str">
        <f aca="false">IF(C1168&gt;=K1168,"ja","nein")</f>
        <v>nein</v>
      </c>
      <c r="H1168" s="15" t="str">
        <f aca="false">IF(C1168&gt;=L1168,"ja","nein")</f>
        <v>nein</v>
      </c>
      <c r="I1168" s="15" t="str">
        <f aca="false">IF(C1168&gt;=M1168,"ja","nein")</f>
        <v>nein</v>
      </c>
      <c r="J1168" s="15" t="n">
        <f aca="false">ROUND(Annahmen!$K$35*(1+Annahmen!$B$20*D1168/1000),0)</f>
        <v>1016</v>
      </c>
      <c r="K1168" s="15" t="n">
        <f aca="false">ROUND(Annahmen!$K$36*(1+Annahmen!$B$20*D1168/1000),0)</f>
        <v>1320</v>
      </c>
      <c r="L1168" s="15" t="n">
        <f aca="false">ROUND(Annahmen!$K$37*(1+Annahmen!$B$20*D1168/1000),0)</f>
        <v>1349</v>
      </c>
      <c r="M1168" s="15" t="n">
        <f aca="false">ROUND(Annahmen!$K$38*(1+Annahmen!$B$20*D1168/1000),0)</f>
        <v>1349</v>
      </c>
      <c r="N1168" s="16" t="s">
        <v>102</v>
      </c>
    </row>
    <row r="1169" customFormat="false" ht="15" hidden="false" customHeight="false" outlineLevel="0" collapsed="false">
      <c r="A1169" s="13" t="s">
        <v>2390</v>
      </c>
      <c r="B1169" s="14" t="s">
        <v>2391</v>
      </c>
      <c r="C1169" s="15" t="n">
        <v>1000</v>
      </c>
      <c r="D1169" s="15" t="n">
        <v>3307</v>
      </c>
      <c r="E1169" s="13" t="s">
        <v>82</v>
      </c>
      <c r="F1169" s="15" t="str">
        <f aca="false">IF(C1169&gt;=J1169,"ja","nein")</f>
        <v>nein</v>
      </c>
      <c r="G1169" s="15" t="str">
        <f aca="false">IF(C1169&gt;=K1169,"ja","nein")</f>
        <v>nein</v>
      </c>
      <c r="H1169" s="15" t="str">
        <f aca="false">IF(C1169&gt;=L1169,"ja","nein")</f>
        <v>nein</v>
      </c>
      <c r="I1169" s="15" t="str">
        <f aca="false">IF(C1169&gt;=M1169,"ja","nein")</f>
        <v>nein</v>
      </c>
      <c r="J1169" s="15" t="n">
        <f aca="false">ROUND(Annahmen!$K$35*(1+Annahmen!$B$20*D1169/1000),0)</f>
        <v>1090</v>
      </c>
      <c r="K1169" s="15" t="n">
        <f aca="false">ROUND(Annahmen!$K$36*(1+Annahmen!$B$20*D1169/1000),0)</f>
        <v>1416</v>
      </c>
      <c r="L1169" s="15" t="n">
        <f aca="false">ROUND(Annahmen!$K$37*(1+Annahmen!$B$20*D1169/1000),0)</f>
        <v>1447</v>
      </c>
      <c r="M1169" s="15" t="n">
        <f aca="false">ROUND(Annahmen!$K$38*(1+Annahmen!$B$20*D1169/1000),0)</f>
        <v>1447</v>
      </c>
      <c r="N1169" s="16" t="s">
        <v>102</v>
      </c>
    </row>
    <row r="1170" customFormat="false" ht="15" hidden="false" customHeight="false" outlineLevel="0" collapsed="false">
      <c r="A1170" s="13" t="s">
        <v>2392</v>
      </c>
      <c r="B1170" s="14" t="s">
        <v>2393</v>
      </c>
      <c r="C1170" s="15" t="n">
        <v>1000</v>
      </c>
      <c r="D1170" s="15" t="n">
        <v>541</v>
      </c>
      <c r="E1170" s="13" t="s">
        <v>82</v>
      </c>
      <c r="F1170" s="15" t="str">
        <f aca="false">IF(C1170&gt;=J1170,"ja","nein")</f>
        <v>ja</v>
      </c>
      <c r="G1170" s="15" t="str">
        <f aca="false">IF(C1170&gt;=K1170,"ja","nein")</f>
        <v>nein</v>
      </c>
      <c r="H1170" s="15" t="str">
        <f aca="false">IF(C1170&gt;=L1170,"ja","nein")</f>
        <v>nein</v>
      </c>
      <c r="I1170" s="15" t="str">
        <f aca="false">IF(C1170&gt;=M1170,"ja","nein")</f>
        <v>nein</v>
      </c>
      <c r="J1170" s="15" t="n">
        <f aca="false">ROUND(Annahmen!$K$35*(1+Annahmen!$B$20*D1170/1000),0)</f>
        <v>881</v>
      </c>
      <c r="K1170" s="15" t="n">
        <f aca="false">ROUND(Annahmen!$K$36*(1+Annahmen!$B$20*D1170/1000),0)</f>
        <v>1144</v>
      </c>
      <c r="L1170" s="15" t="n">
        <f aca="false">ROUND(Annahmen!$K$37*(1+Annahmen!$B$20*D1170/1000),0)</f>
        <v>1169</v>
      </c>
      <c r="M1170" s="15" t="n">
        <f aca="false">ROUND(Annahmen!$K$38*(1+Annahmen!$B$20*D1170/1000),0)</f>
        <v>1169</v>
      </c>
      <c r="N1170" s="16" t="s">
        <v>102</v>
      </c>
    </row>
    <row r="1171" customFormat="false" ht="15" hidden="false" customHeight="false" outlineLevel="0" collapsed="false">
      <c r="A1171" s="13" t="s">
        <v>2394</v>
      </c>
      <c r="B1171" s="14" t="s">
        <v>2395</v>
      </c>
      <c r="C1171" s="15" t="n">
        <v>1000</v>
      </c>
      <c r="D1171" s="15" t="n">
        <v>427</v>
      </c>
      <c r="E1171" s="13" t="s">
        <v>82</v>
      </c>
      <c r="F1171" s="15" t="str">
        <f aca="false">IF(C1171&gt;=J1171,"ja","nein")</f>
        <v>ja</v>
      </c>
      <c r="G1171" s="15" t="str">
        <f aca="false">IF(C1171&gt;=K1171,"ja","nein")</f>
        <v>nein</v>
      </c>
      <c r="H1171" s="15" t="str">
        <f aca="false">IF(C1171&gt;=L1171,"ja","nein")</f>
        <v>nein</v>
      </c>
      <c r="I1171" s="15" t="str">
        <f aca="false">IF(C1171&gt;=M1171,"ja","nein")</f>
        <v>nein</v>
      </c>
      <c r="J1171" s="15" t="n">
        <f aca="false">ROUND(Annahmen!$K$35*(1+Annahmen!$B$20*D1171/1000),0)</f>
        <v>872</v>
      </c>
      <c r="K1171" s="15" t="n">
        <f aca="false">ROUND(Annahmen!$K$36*(1+Annahmen!$B$20*D1171/1000),0)</f>
        <v>1133</v>
      </c>
      <c r="L1171" s="15" t="n">
        <f aca="false">ROUND(Annahmen!$K$37*(1+Annahmen!$B$20*D1171/1000),0)</f>
        <v>1158</v>
      </c>
      <c r="M1171" s="15" t="n">
        <f aca="false">ROUND(Annahmen!$K$38*(1+Annahmen!$B$20*D1171/1000),0)</f>
        <v>1158</v>
      </c>
      <c r="N1171" s="16" t="s">
        <v>102</v>
      </c>
    </row>
    <row r="1172" customFormat="false" ht="15" hidden="false" customHeight="false" outlineLevel="0" collapsed="false">
      <c r="A1172" s="13" t="s">
        <v>2396</v>
      </c>
      <c r="B1172" s="14" t="s">
        <v>2397</v>
      </c>
      <c r="C1172" s="15" t="n">
        <v>1000</v>
      </c>
      <c r="D1172" s="15" t="n">
        <v>3097</v>
      </c>
      <c r="E1172" s="13" t="s">
        <v>82</v>
      </c>
      <c r="F1172" s="15" t="str">
        <f aca="false">IF(C1172&gt;=J1172,"ja","nein")</f>
        <v>nein</v>
      </c>
      <c r="G1172" s="15" t="str">
        <f aca="false">IF(C1172&gt;=K1172,"ja","nein")</f>
        <v>nein</v>
      </c>
      <c r="H1172" s="15" t="str">
        <f aca="false">IF(C1172&gt;=L1172,"ja","nein")</f>
        <v>nein</v>
      </c>
      <c r="I1172" s="15" t="str">
        <f aca="false">IF(C1172&gt;=M1172,"ja","nein")</f>
        <v>nein</v>
      </c>
      <c r="J1172" s="15" t="n">
        <f aca="false">ROUND(Annahmen!$K$35*(1+Annahmen!$B$20*D1172/1000),0)</f>
        <v>1074</v>
      </c>
      <c r="K1172" s="15" t="n">
        <f aca="false">ROUND(Annahmen!$K$36*(1+Annahmen!$B$20*D1172/1000),0)</f>
        <v>1395</v>
      </c>
      <c r="L1172" s="15" t="n">
        <f aca="false">ROUND(Annahmen!$K$37*(1+Annahmen!$B$20*D1172/1000),0)</f>
        <v>1426</v>
      </c>
      <c r="M1172" s="15" t="n">
        <f aca="false">ROUND(Annahmen!$K$38*(1+Annahmen!$B$20*D1172/1000),0)</f>
        <v>1426</v>
      </c>
      <c r="N1172" s="16" t="s">
        <v>102</v>
      </c>
    </row>
    <row r="1173" customFormat="false" ht="15" hidden="false" customHeight="false" outlineLevel="0" collapsed="false">
      <c r="A1173" s="13" t="s">
        <v>2398</v>
      </c>
      <c r="B1173" s="14" t="s">
        <v>2399</v>
      </c>
      <c r="C1173" s="15" t="n">
        <v>1000</v>
      </c>
      <c r="D1173" s="15" t="n">
        <v>1401</v>
      </c>
      <c r="E1173" s="13" t="s">
        <v>82</v>
      </c>
      <c r="F1173" s="15" t="str">
        <f aca="false">IF(C1173&gt;=J1173,"ja","nein")</f>
        <v>ja</v>
      </c>
      <c r="G1173" s="15" t="str">
        <f aca="false">IF(C1173&gt;=K1173,"ja","nein")</f>
        <v>nein</v>
      </c>
      <c r="H1173" s="15" t="str">
        <f aca="false">IF(C1173&gt;=L1173,"ja","nein")</f>
        <v>nein</v>
      </c>
      <c r="I1173" s="15" t="str">
        <f aca="false">IF(C1173&gt;=M1173,"ja","nein")</f>
        <v>nein</v>
      </c>
      <c r="J1173" s="15" t="n">
        <f aca="false">ROUND(Annahmen!$K$35*(1+Annahmen!$B$20*D1173/1000),0)</f>
        <v>946</v>
      </c>
      <c r="K1173" s="15" t="n">
        <f aca="false">ROUND(Annahmen!$K$36*(1+Annahmen!$B$20*D1173/1000),0)</f>
        <v>1229</v>
      </c>
      <c r="L1173" s="15" t="n">
        <f aca="false">ROUND(Annahmen!$K$37*(1+Annahmen!$B$20*D1173/1000),0)</f>
        <v>1256</v>
      </c>
      <c r="M1173" s="15" t="n">
        <f aca="false">ROUND(Annahmen!$K$38*(1+Annahmen!$B$20*D1173/1000),0)</f>
        <v>1256</v>
      </c>
      <c r="N1173" s="16" t="s">
        <v>102</v>
      </c>
    </row>
    <row r="1174" customFormat="false" ht="15" hidden="false" customHeight="false" outlineLevel="0" collapsed="false">
      <c r="A1174" s="13" t="s">
        <v>2400</v>
      </c>
      <c r="B1174" s="14" t="s">
        <v>2401</v>
      </c>
      <c r="C1174" s="15" t="n">
        <v>1000</v>
      </c>
      <c r="D1174" s="15" t="n">
        <v>80</v>
      </c>
      <c r="E1174" s="13" t="s">
        <v>82</v>
      </c>
      <c r="F1174" s="15" t="str">
        <f aca="false">IF(C1174&gt;=J1174,"ja","nein")</f>
        <v>ja</v>
      </c>
      <c r="G1174" s="15" t="str">
        <f aca="false">IF(C1174&gt;=K1174,"ja","nein")</f>
        <v>nein</v>
      </c>
      <c r="H1174" s="15" t="str">
        <f aca="false">IF(C1174&gt;=L1174,"ja","nein")</f>
        <v>nein</v>
      </c>
      <c r="I1174" s="15" t="str">
        <f aca="false">IF(C1174&gt;=M1174,"ja","nein")</f>
        <v>nein</v>
      </c>
      <c r="J1174" s="15" t="n">
        <f aca="false">ROUND(Annahmen!$K$35*(1+Annahmen!$B$20*D1174/1000),0)</f>
        <v>846</v>
      </c>
      <c r="K1174" s="15" t="n">
        <f aca="false">ROUND(Annahmen!$K$36*(1+Annahmen!$B$20*D1174/1000),0)</f>
        <v>1099</v>
      </c>
      <c r="L1174" s="15" t="n">
        <f aca="false">ROUND(Annahmen!$K$37*(1+Annahmen!$B$20*D1174/1000),0)</f>
        <v>1123</v>
      </c>
      <c r="M1174" s="15" t="n">
        <f aca="false">ROUND(Annahmen!$K$38*(1+Annahmen!$B$20*D1174/1000),0)</f>
        <v>1123</v>
      </c>
      <c r="N1174" s="16" t="s">
        <v>102</v>
      </c>
    </row>
    <row r="1175" customFormat="false" ht="15" hidden="false" customHeight="false" outlineLevel="0" collapsed="false">
      <c r="A1175" s="13" t="s">
        <v>2402</v>
      </c>
      <c r="B1175" s="14" t="s">
        <v>2403</v>
      </c>
      <c r="C1175" s="15" t="n">
        <v>995</v>
      </c>
      <c r="D1175" s="15" t="n">
        <v>2340</v>
      </c>
      <c r="E1175" s="13" t="s">
        <v>82</v>
      </c>
      <c r="F1175" s="15" t="str">
        <f aca="false">IF(C1175&gt;=J1175,"ja","nein")</f>
        <v>nein</v>
      </c>
      <c r="G1175" s="15" t="str">
        <f aca="false">IF(C1175&gt;=K1175,"ja","nein")</f>
        <v>nein</v>
      </c>
      <c r="H1175" s="15" t="str">
        <f aca="false">IF(C1175&gt;=L1175,"ja","nein")</f>
        <v>nein</v>
      </c>
      <c r="I1175" s="15" t="str">
        <f aca="false">IF(C1175&gt;=M1175,"ja","nein")</f>
        <v>nein</v>
      </c>
      <c r="J1175" s="15" t="n">
        <f aca="false">ROUND(Annahmen!$K$35*(1+Annahmen!$B$20*D1175/1000),0)</f>
        <v>1017</v>
      </c>
      <c r="K1175" s="15" t="n">
        <f aca="false">ROUND(Annahmen!$K$36*(1+Annahmen!$B$20*D1175/1000),0)</f>
        <v>1321</v>
      </c>
      <c r="L1175" s="15" t="n">
        <f aca="false">ROUND(Annahmen!$K$37*(1+Annahmen!$B$20*D1175/1000),0)</f>
        <v>1350</v>
      </c>
      <c r="M1175" s="15" t="n">
        <f aca="false">ROUND(Annahmen!$K$38*(1+Annahmen!$B$20*D1175/1000),0)</f>
        <v>1350</v>
      </c>
      <c r="N1175" s="16" t="s">
        <v>102</v>
      </c>
    </row>
    <row r="1176" customFormat="false" ht="15" hidden="false" customHeight="false" outlineLevel="0" collapsed="false">
      <c r="A1176" s="13" t="s">
        <v>2404</v>
      </c>
      <c r="B1176" s="14" t="s">
        <v>2405</v>
      </c>
      <c r="C1176" s="15" t="n">
        <v>959</v>
      </c>
      <c r="D1176" s="15" t="n">
        <v>118</v>
      </c>
      <c r="E1176" s="13" t="s">
        <v>82</v>
      </c>
      <c r="F1176" s="15" t="str">
        <f aca="false">IF(C1176&gt;=J1176,"ja","nein")</f>
        <v>ja</v>
      </c>
      <c r="G1176" s="15" t="str">
        <f aca="false">IF(C1176&gt;=K1176,"ja","nein")</f>
        <v>nein</v>
      </c>
      <c r="H1176" s="15" t="str">
        <f aca="false">IF(C1176&gt;=L1176,"ja","nein")</f>
        <v>nein</v>
      </c>
      <c r="I1176" s="15" t="str">
        <f aca="false">IF(C1176&gt;=M1176,"ja","nein")</f>
        <v>nein</v>
      </c>
      <c r="J1176" s="15" t="n">
        <f aca="false">ROUND(Annahmen!$K$35*(1+Annahmen!$B$20*D1176/1000),0)</f>
        <v>849</v>
      </c>
      <c r="K1176" s="15" t="n">
        <f aca="false">ROUND(Annahmen!$K$36*(1+Annahmen!$B$20*D1176/1000),0)</f>
        <v>1103</v>
      </c>
      <c r="L1176" s="15" t="n">
        <f aca="false">ROUND(Annahmen!$K$37*(1+Annahmen!$B$20*D1176/1000),0)</f>
        <v>1127</v>
      </c>
      <c r="M1176" s="15" t="n">
        <f aca="false">ROUND(Annahmen!$K$38*(1+Annahmen!$B$20*D1176/1000),0)</f>
        <v>1127</v>
      </c>
      <c r="N1176" s="16" t="s">
        <v>102</v>
      </c>
    </row>
    <row r="1177" customFormat="false" ht="15" hidden="false" customHeight="false" outlineLevel="0" collapsed="false">
      <c r="A1177" s="13" t="s">
        <v>2406</v>
      </c>
      <c r="B1177" s="14" t="s">
        <v>2407</v>
      </c>
      <c r="C1177" s="15" t="n">
        <v>950</v>
      </c>
      <c r="D1177" s="15" t="n">
        <v>20</v>
      </c>
      <c r="E1177" s="13" t="s">
        <v>82</v>
      </c>
      <c r="F1177" s="15" t="str">
        <f aca="false">IF(C1177&gt;=J1177,"ja","nein")</f>
        <v>ja</v>
      </c>
      <c r="G1177" s="15" t="str">
        <f aca="false">IF(C1177&gt;=K1177,"ja","nein")</f>
        <v>nein</v>
      </c>
      <c r="H1177" s="15" t="str">
        <f aca="false">IF(C1177&gt;=L1177,"ja","nein")</f>
        <v>nein</v>
      </c>
      <c r="I1177" s="15" t="str">
        <f aca="false">IF(C1177&gt;=M1177,"ja","nein")</f>
        <v>nein</v>
      </c>
      <c r="J1177" s="15" t="n">
        <f aca="false">ROUND(Annahmen!$K$35*(1+Annahmen!$B$20*D1177/1000),0)</f>
        <v>842</v>
      </c>
      <c r="K1177" s="15" t="n">
        <f aca="false">ROUND(Annahmen!$K$36*(1+Annahmen!$B$20*D1177/1000),0)</f>
        <v>1093</v>
      </c>
      <c r="L1177" s="15" t="n">
        <f aca="false">ROUND(Annahmen!$K$37*(1+Annahmen!$B$20*D1177/1000),0)</f>
        <v>1117</v>
      </c>
      <c r="M1177" s="15" t="n">
        <f aca="false">ROUND(Annahmen!$K$38*(1+Annahmen!$B$20*D1177/1000),0)</f>
        <v>1117</v>
      </c>
      <c r="N1177" s="16" t="s">
        <v>102</v>
      </c>
    </row>
    <row r="1178" customFormat="false" ht="15" hidden="false" customHeight="false" outlineLevel="0" collapsed="false">
      <c r="A1178" s="13" t="s">
        <v>2408</v>
      </c>
      <c r="B1178" s="14" t="s">
        <v>2409</v>
      </c>
      <c r="C1178" s="15" t="n">
        <v>950</v>
      </c>
      <c r="D1178" s="15" t="n">
        <v>2050</v>
      </c>
      <c r="E1178" s="13" t="s">
        <v>82</v>
      </c>
      <c r="F1178" s="15" t="str">
        <f aca="false">IF(C1178&gt;=J1178,"ja","nein")</f>
        <v>nein</v>
      </c>
      <c r="G1178" s="15" t="str">
        <f aca="false">IF(C1178&gt;=K1178,"ja","nein")</f>
        <v>nein</v>
      </c>
      <c r="H1178" s="15" t="str">
        <f aca="false">IF(C1178&gt;=L1178,"ja","nein")</f>
        <v>nein</v>
      </c>
      <c r="I1178" s="15" t="str">
        <f aca="false">IF(C1178&gt;=M1178,"ja","nein")</f>
        <v>nein</v>
      </c>
      <c r="J1178" s="15" t="n">
        <f aca="false">ROUND(Annahmen!$K$35*(1+Annahmen!$B$20*D1178/1000),0)</f>
        <v>995</v>
      </c>
      <c r="K1178" s="15" t="n">
        <f aca="false">ROUND(Annahmen!$K$36*(1+Annahmen!$B$20*D1178/1000),0)</f>
        <v>1292</v>
      </c>
      <c r="L1178" s="15" t="n">
        <f aca="false">ROUND(Annahmen!$K$37*(1+Annahmen!$B$20*D1178/1000),0)</f>
        <v>1321</v>
      </c>
      <c r="M1178" s="15" t="n">
        <f aca="false">ROUND(Annahmen!$K$38*(1+Annahmen!$B$20*D1178/1000),0)</f>
        <v>1321</v>
      </c>
      <c r="N1178" s="16" t="s">
        <v>102</v>
      </c>
    </row>
    <row r="1179" customFormat="false" ht="15" hidden="false" customHeight="false" outlineLevel="0" collapsed="false">
      <c r="A1179" s="13" t="s">
        <v>2410</v>
      </c>
      <c r="B1179" s="14" t="s">
        <v>2411</v>
      </c>
      <c r="C1179" s="15" t="n">
        <v>927</v>
      </c>
      <c r="D1179" s="15" t="n">
        <v>2370</v>
      </c>
      <c r="E1179" s="13" t="s">
        <v>82</v>
      </c>
      <c r="F1179" s="15" t="str">
        <f aca="false">IF(C1179&gt;=J1179,"ja","nein")</f>
        <v>nein</v>
      </c>
      <c r="G1179" s="15" t="str">
        <f aca="false">IF(C1179&gt;=K1179,"ja","nein")</f>
        <v>nein</v>
      </c>
      <c r="H1179" s="15" t="str">
        <f aca="false">IF(C1179&gt;=L1179,"ja","nein")</f>
        <v>nein</v>
      </c>
      <c r="I1179" s="15" t="str">
        <f aca="false">IF(C1179&gt;=M1179,"ja","nein")</f>
        <v>nein</v>
      </c>
      <c r="J1179" s="15" t="n">
        <f aca="false">ROUND(Annahmen!$K$35*(1+Annahmen!$B$20*D1179/1000),0)</f>
        <v>1019</v>
      </c>
      <c r="K1179" s="15" t="n">
        <f aca="false">ROUND(Annahmen!$K$36*(1+Annahmen!$B$20*D1179/1000),0)</f>
        <v>1324</v>
      </c>
      <c r="L1179" s="15" t="n">
        <f aca="false">ROUND(Annahmen!$K$37*(1+Annahmen!$B$20*D1179/1000),0)</f>
        <v>1353</v>
      </c>
      <c r="M1179" s="15" t="n">
        <f aca="false">ROUND(Annahmen!$K$38*(1+Annahmen!$B$20*D1179/1000),0)</f>
        <v>1353</v>
      </c>
      <c r="N1179" s="16" t="s">
        <v>102</v>
      </c>
    </row>
    <row r="1180" customFormat="false" ht="15" hidden="false" customHeight="false" outlineLevel="0" collapsed="false">
      <c r="A1180" s="13" t="s">
        <v>2412</v>
      </c>
      <c r="B1180" s="14" t="s">
        <v>2413</v>
      </c>
      <c r="C1180" s="15" t="n">
        <v>900</v>
      </c>
      <c r="D1180" s="15" t="n">
        <v>2024</v>
      </c>
      <c r="E1180" s="13" t="s">
        <v>82</v>
      </c>
      <c r="F1180" s="15" t="str">
        <f aca="false">IF(C1180&gt;=J1180,"ja","nein")</f>
        <v>nein</v>
      </c>
      <c r="G1180" s="15" t="str">
        <f aca="false">IF(C1180&gt;=K1180,"ja","nein")</f>
        <v>nein</v>
      </c>
      <c r="H1180" s="15" t="str">
        <f aca="false">IF(C1180&gt;=L1180,"ja","nein")</f>
        <v>nein</v>
      </c>
      <c r="I1180" s="15" t="str">
        <f aca="false">IF(C1180&gt;=M1180,"ja","nein")</f>
        <v>nein</v>
      </c>
      <c r="J1180" s="15" t="n">
        <f aca="false">ROUND(Annahmen!$K$35*(1+Annahmen!$B$20*D1180/1000),0)</f>
        <v>993</v>
      </c>
      <c r="K1180" s="15" t="n">
        <f aca="false">ROUND(Annahmen!$K$36*(1+Annahmen!$B$20*D1180/1000),0)</f>
        <v>1290</v>
      </c>
      <c r="L1180" s="15" t="n">
        <f aca="false">ROUND(Annahmen!$K$37*(1+Annahmen!$B$20*D1180/1000),0)</f>
        <v>1318</v>
      </c>
      <c r="M1180" s="15" t="n">
        <f aca="false">ROUND(Annahmen!$K$38*(1+Annahmen!$B$20*D1180/1000),0)</f>
        <v>1318</v>
      </c>
      <c r="N1180" s="16" t="s">
        <v>102</v>
      </c>
    </row>
    <row r="1181" customFormat="false" ht="15" hidden="false" customHeight="false" outlineLevel="0" collapsed="false">
      <c r="A1181" s="13" t="s">
        <v>2414</v>
      </c>
      <c r="B1181" s="14" t="s">
        <v>2415</v>
      </c>
      <c r="C1181" s="15" t="n">
        <v>900</v>
      </c>
      <c r="D1181" s="15" t="n">
        <v>2241</v>
      </c>
      <c r="E1181" s="13" t="s">
        <v>82</v>
      </c>
      <c r="F1181" s="15" t="str">
        <f aca="false">IF(C1181&gt;=J1181,"ja","nein")</f>
        <v>nein</v>
      </c>
      <c r="G1181" s="15" t="str">
        <f aca="false">IF(C1181&gt;=K1181,"ja","nein")</f>
        <v>nein</v>
      </c>
      <c r="H1181" s="15" t="str">
        <f aca="false">IF(C1181&gt;=L1181,"ja","nein")</f>
        <v>nein</v>
      </c>
      <c r="I1181" s="15" t="str">
        <f aca="false">IF(C1181&gt;=M1181,"ja","nein")</f>
        <v>nein</v>
      </c>
      <c r="J1181" s="15" t="n">
        <f aca="false">ROUND(Annahmen!$K$35*(1+Annahmen!$B$20*D1181/1000),0)</f>
        <v>1009</v>
      </c>
      <c r="K1181" s="15" t="n">
        <f aca="false">ROUND(Annahmen!$K$36*(1+Annahmen!$B$20*D1181/1000),0)</f>
        <v>1311</v>
      </c>
      <c r="L1181" s="15" t="n">
        <f aca="false">ROUND(Annahmen!$K$37*(1+Annahmen!$B$20*D1181/1000),0)</f>
        <v>1340</v>
      </c>
      <c r="M1181" s="15" t="n">
        <f aca="false">ROUND(Annahmen!$K$38*(1+Annahmen!$B$20*D1181/1000),0)</f>
        <v>1340</v>
      </c>
      <c r="N1181" s="16" t="s">
        <v>102</v>
      </c>
    </row>
    <row r="1182" customFormat="false" ht="15" hidden="false" customHeight="false" outlineLevel="0" collapsed="false">
      <c r="A1182" s="13" t="s">
        <v>2416</v>
      </c>
      <c r="B1182" s="14" t="s">
        <v>2417</v>
      </c>
      <c r="C1182" s="15" t="n">
        <v>870</v>
      </c>
      <c r="D1182" s="15" t="n">
        <v>2644</v>
      </c>
      <c r="E1182" s="13" t="s">
        <v>82</v>
      </c>
      <c r="F1182" s="15" t="str">
        <f aca="false">IF(C1182&gt;=J1182,"ja","nein")</f>
        <v>nein</v>
      </c>
      <c r="G1182" s="15" t="str">
        <f aca="false">IF(C1182&gt;=K1182,"ja","nein")</f>
        <v>nein</v>
      </c>
      <c r="H1182" s="15" t="str">
        <f aca="false">IF(C1182&gt;=L1182,"ja","nein")</f>
        <v>nein</v>
      </c>
      <c r="I1182" s="15" t="str">
        <f aca="false">IF(C1182&gt;=M1182,"ja","nein")</f>
        <v>nein</v>
      </c>
      <c r="J1182" s="15" t="n">
        <f aca="false">ROUND(Annahmen!$K$35*(1+Annahmen!$B$20*D1182/1000),0)</f>
        <v>1040</v>
      </c>
      <c r="K1182" s="15" t="n">
        <f aca="false">ROUND(Annahmen!$K$36*(1+Annahmen!$B$20*D1182/1000),0)</f>
        <v>1351</v>
      </c>
      <c r="L1182" s="15" t="n">
        <f aca="false">ROUND(Annahmen!$K$37*(1+Annahmen!$B$20*D1182/1000),0)</f>
        <v>1380</v>
      </c>
      <c r="M1182" s="15" t="n">
        <f aca="false">ROUND(Annahmen!$K$38*(1+Annahmen!$B$20*D1182/1000),0)</f>
        <v>1380</v>
      </c>
      <c r="N1182" s="16" t="s">
        <v>102</v>
      </c>
    </row>
    <row r="1183" customFormat="false" ht="15" hidden="false" customHeight="false" outlineLevel="0" collapsed="false">
      <c r="A1183" s="13" t="s">
        <v>2418</v>
      </c>
      <c r="B1183" s="14" t="s">
        <v>2419</v>
      </c>
      <c r="C1183" s="15" t="n">
        <v>860</v>
      </c>
      <c r="D1183" s="15" t="n">
        <v>1080</v>
      </c>
      <c r="E1183" s="13" t="s">
        <v>82</v>
      </c>
      <c r="F1183" s="15" t="str">
        <f aca="false">IF(C1183&gt;=J1183,"ja","nein")</f>
        <v>nein</v>
      </c>
      <c r="G1183" s="15" t="str">
        <f aca="false">IF(C1183&gt;=K1183,"ja","nein")</f>
        <v>nein</v>
      </c>
      <c r="H1183" s="15" t="str">
        <f aca="false">IF(C1183&gt;=L1183,"ja","nein")</f>
        <v>nein</v>
      </c>
      <c r="I1183" s="15" t="str">
        <f aca="false">IF(C1183&gt;=M1183,"ja","nein")</f>
        <v>nein</v>
      </c>
      <c r="J1183" s="15" t="n">
        <f aca="false">ROUND(Annahmen!$K$35*(1+Annahmen!$B$20*D1183/1000),0)</f>
        <v>922</v>
      </c>
      <c r="K1183" s="15" t="n">
        <f aca="false">ROUND(Annahmen!$K$36*(1+Annahmen!$B$20*D1183/1000),0)</f>
        <v>1197</v>
      </c>
      <c r="L1183" s="15" t="n">
        <f aca="false">ROUND(Annahmen!$K$37*(1+Annahmen!$B$20*D1183/1000),0)</f>
        <v>1223</v>
      </c>
      <c r="M1183" s="15" t="n">
        <f aca="false">ROUND(Annahmen!$K$38*(1+Annahmen!$B$20*D1183/1000),0)</f>
        <v>1223</v>
      </c>
      <c r="N1183" s="16" t="s">
        <v>102</v>
      </c>
    </row>
    <row r="1184" customFormat="false" ht="15" hidden="false" customHeight="false" outlineLevel="0" collapsed="false">
      <c r="A1184" s="13" t="s">
        <v>2420</v>
      </c>
      <c r="B1184" s="14" t="s">
        <v>2421</v>
      </c>
      <c r="C1184" s="15" t="n">
        <v>855</v>
      </c>
      <c r="D1184" s="15" t="n">
        <v>2241</v>
      </c>
      <c r="E1184" s="13" t="s">
        <v>82</v>
      </c>
      <c r="F1184" s="15" t="str">
        <f aca="false">IF(C1184&gt;=J1184,"ja","nein")</f>
        <v>nein</v>
      </c>
      <c r="G1184" s="15" t="str">
        <f aca="false">IF(C1184&gt;=K1184,"ja","nein")</f>
        <v>nein</v>
      </c>
      <c r="H1184" s="15" t="str">
        <f aca="false">IF(C1184&gt;=L1184,"ja","nein")</f>
        <v>nein</v>
      </c>
      <c r="I1184" s="15" t="str">
        <f aca="false">IF(C1184&gt;=M1184,"ja","nein")</f>
        <v>nein</v>
      </c>
      <c r="J1184" s="15" t="n">
        <f aca="false">ROUND(Annahmen!$K$35*(1+Annahmen!$B$20*D1184/1000),0)</f>
        <v>1009</v>
      </c>
      <c r="K1184" s="15" t="n">
        <f aca="false">ROUND(Annahmen!$K$36*(1+Annahmen!$B$20*D1184/1000),0)</f>
        <v>1311</v>
      </c>
      <c r="L1184" s="15" t="n">
        <f aca="false">ROUND(Annahmen!$K$37*(1+Annahmen!$B$20*D1184/1000),0)</f>
        <v>1340</v>
      </c>
      <c r="M1184" s="15" t="n">
        <f aca="false">ROUND(Annahmen!$K$38*(1+Annahmen!$B$20*D1184/1000),0)</f>
        <v>1340</v>
      </c>
      <c r="N1184" s="16" t="s">
        <v>102</v>
      </c>
    </row>
    <row r="1185" customFormat="false" ht="15" hidden="false" customHeight="false" outlineLevel="0" collapsed="false">
      <c r="A1185" s="13" t="s">
        <v>2422</v>
      </c>
      <c r="B1185" s="14" t="s">
        <v>2423</v>
      </c>
      <c r="C1185" s="15" t="n">
        <v>850</v>
      </c>
      <c r="D1185" s="15" t="n">
        <v>2300</v>
      </c>
      <c r="E1185" s="13" t="s">
        <v>82</v>
      </c>
      <c r="F1185" s="15" t="str">
        <f aca="false">IF(C1185&gt;=J1185,"ja","nein")</f>
        <v>nein</v>
      </c>
      <c r="G1185" s="15" t="str">
        <f aca="false">IF(C1185&gt;=K1185,"ja","nein")</f>
        <v>nein</v>
      </c>
      <c r="H1185" s="15" t="str">
        <f aca="false">IF(C1185&gt;=L1185,"ja","nein")</f>
        <v>nein</v>
      </c>
      <c r="I1185" s="15" t="str">
        <f aca="false">IF(C1185&gt;=M1185,"ja","nein")</f>
        <v>nein</v>
      </c>
      <c r="J1185" s="15" t="n">
        <f aca="false">ROUND(Annahmen!$K$35*(1+Annahmen!$B$20*D1185/1000),0)</f>
        <v>1014</v>
      </c>
      <c r="K1185" s="15" t="n">
        <f aca="false">ROUND(Annahmen!$K$36*(1+Annahmen!$B$20*D1185/1000),0)</f>
        <v>1317</v>
      </c>
      <c r="L1185" s="15" t="n">
        <f aca="false">ROUND(Annahmen!$K$37*(1+Annahmen!$B$20*D1185/1000),0)</f>
        <v>1346</v>
      </c>
      <c r="M1185" s="15" t="n">
        <f aca="false">ROUND(Annahmen!$K$38*(1+Annahmen!$B$20*D1185/1000),0)</f>
        <v>1346</v>
      </c>
      <c r="N1185" s="16" t="s">
        <v>102</v>
      </c>
    </row>
    <row r="1186" customFormat="false" ht="15" hidden="false" customHeight="false" outlineLevel="0" collapsed="false">
      <c r="A1186" s="13" t="s">
        <v>2424</v>
      </c>
      <c r="B1186" s="14" t="s">
        <v>2425</v>
      </c>
      <c r="C1186" s="15" t="n">
        <v>808</v>
      </c>
      <c r="D1186" s="15" t="n">
        <v>2272</v>
      </c>
      <c r="E1186" s="13" t="s">
        <v>82</v>
      </c>
      <c r="F1186" s="15" t="str">
        <f aca="false">IF(C1186&gt;=J1186,"ja","nein")</f>
        <v>nein</v>
      </c>
      <c r="G1186" s="15" t="str">
        <f aca="false">IF(C1186&gt;=K1186,"ja","nein")</f>
        <v>nein</v>
      </c>
      <c r="H1186" s="15" t="str">
        <f aca="false">IF(C1186&gt;=L1186,"ja","nein")</f>
        <v>nein</v>
      </c>
      <c r="I1186" s="15" t="str">
        <f aca="false">IF(C1186&gt;=M1186,"ja","nein")</f>
        <v>nein</v>
      </c>
      <c r="J1186" s="15" t="n">
        <f aca="false">ROUND(Annahmen!$K$35*(1+Annahmen!$B$20*D1186/1000),0)</f>
        <v>1012</v>
      </c>
      <c r="K1186" s="15" t="n">
        <f aca="false">ROUND(Annahmen!$K$36*(1+Annahmen!$B$20*D1186/1000),0)</f>
        <v>1314</v>
      </c>
      <c r="L1186" s="15" t="n">
        <f aca="false">ROUND(Annahmen!$K$37*(1+Annahmen!$B$20*D1186/1000),0)</f>
        <v>1343</v>
      </c>
      <c r="M1186" s="15" t="n">
        <f aca="false">ROUND(Annahmen!$K$38*(1+Annahmen!$B$20*D1186/1000),0)</f>
        <v>1343</v>
      </c>
      <c r="N1186" s="16" t="s">
        <v>102</v>
      </c>
    </row>
    <row r="1187" customFormat="false" ht="15" hidden="false" customHeight="false" outlineLevel="0" collapsed="false">
      <c r="A1187" s="13" t="s">
        <v>2426</v>
      </c>
      <c r="B1187" s="14" t="s">
        <v>2427</v>
      </c>
      <c r="C1187" s="15" t="n">
        <v>786</v>
      </c>
      <c r="D1187" s="15" t="n">
        <v>2450</v>
      </c>
      <c r="E1187" s="13" t="s">
        <v>82</v>
      </c>
      <c r="F1187" s="15" t="str">
        <f aca="false">IF(C1187&gt;=J1187,"ja","nein")</f>
        <v>nein</v>
      </c>
      <c r="G1187" s="15" t="str">
        <f aca="false">IF(C1187&gt;=K1187,"ja","nein")</f>
        <v>nein</v>
      </c>
      <c r="H1187" s="15" t="str">
        <f aca="false">IF(C1187&gt;=L1187,"ja","nein")</f>
        <v>nein</v>
      </c>
      <c r="I1187" s="15" t="str">
        <f aca="false">IF(C1187&gt;=M1187,"ja","nein")</f>
        <v>nein</v>
      </c>
      <c r="J1187" s="15" t="n">
        <f aca="false">ROUND(Annahmen!$K$35*(1+Annahmen!$B$20*D1187/1000),0)</f>
        <v>1025</v>
      </c>
      <c r="K1187" s="15" t="n">
        <f aca="false">ROUND(Annahmen!$K$36*(1+Annahmen!$B$20*D1187/1000),0)</f>
        <v>1332</v>
      </c>
      <c r="L1187" s="15" t="n">
        <f aca="false">ROUND(Annahmen!$K$37*(1+Annahmen!$B$20*D1187/1000),0)</f>
        <v>1361</v>
      </c>
      <c r="M1187" s="15" t="n">
        <f aca="false">ROUND(Annahmen!$K$38*(1+Annahmen!$B$20*D1187/1000),0)</f>
        <v>1361</v>
      </c>
      <c r="N1187" s="16" t="s">
        <v>102</v>
      </c>
    </row>
    <row r="1188" customFormat="false" ht="15" hidden="false" customHeight="false" outlineLevel="0" collapsed="false">
      <c r="A1188" s="13" t="s">
        <v>2428</v>
      </c>
      <c r="B1188" s="14" t="s">
        <v>2429</v>
      </c>
      <c r="C1188" s="15" t="n">
        <v>700</v>
      </c>
      <c r="D1188" s="15" t="n">
        <v>86</v>
      </c>
      <c r="E1188" s="13" t="s">
        <v>82</v>
      </c>
      <c r="F1188" s="15" t="str">
        <f aca="false">IF(C1188&gt;=J1188,"ja","nein")</f>
        <v>nein</v>
      </c>
      <c r="G1188" s="15" t="str">
        <f aca="false">IF(C1188&gt;=K1188,"ja","nein")</f>
        <v>nein</v>
      </c>
      <c r="H1188" s="15" t="str">
        <f aca="false">IF(C1188&gt;=L1188,"ja","nein")</f>
        <v>nein</v>
      </c>
      <c r="I1188" s="15" t="str">
        <f aca="false">IF(C1188&gt;=M1188,"ja","nein")</f>
        <v>nein</v>
      </c>
      <c r="J1188" s="15" t="n">
        <f aca="false">ROUND(Annahmen!$K$35*(1+Annahmen!$B$20*D1188/1000),0)</f>
        <v>847</v>
      </c>
      <c r="K1188" s="15" t="n">
        <f aca="false">ROUND(Annahmen!$K$36*(1+Annahmen!$B$20*D1188/1000),0)</f>
        <v>1099</v>
      </c>
      <c r="L1188" s="15" t="n">
        <f aca="false">ROUND(Annahmen!$K$37*(1+Annahmen!$B$20*D1188/1000),0)</f>
        <v>1124</v>
      </c>
      <c r="M1188" s="15" t="n">
        <f aca="false">ROUND(Annahmen!$K$38*(1+Annahmen!$B$20*D1188/1000),0)</f>
        <v>1124</v>
      </c>
      <c r="N1188" s="16" t="s">
        <v>102</v>
      </c>
    </row>
    <row r="1189" customFormat="false" ht="15" hidden="false" customHeight="false" outlineLevel="0" collapsed="false">
      <c r="A1189" s="13" t="s">
        <v>2430</v>
      </c>
      <c r="B1189" s="14" t="s">
        <v>2431</v>
      </c>
      <c r="C1189" s="15" t="n">
        <v>668</v>
      </c>
      <c r="D1189" s="15" t="n">
        <v>3068</v>
      </c>
      <c r="E1189" s="13" t="s">
        <v>82</v>
      </c>
      <c r="F1189" s="15" t="str">
        <f aca="false">IF(C1189&gt;=J1189,"ja","nein")</f>
        <v>nein</v>
      </c>
      <c r="G1189" s="15" t="str">
        <f aca="false">IF(C1189&gt;=K1189,"ja","nein")</f>
        <v>nein</v>
      </c>
      <c r="H1189" s="15" t="str">
        <f aca="false">IF(C1189&gt;=L1189,"ja","nein")</f>
        <v>nein</v>
      </c>
      <c r="I1189" s="15" t="str">
        <f aca="false">IF(C1189&gt;=M1189,"ja","nein")</f>
        <v>nein</v>
      </c>
      <c r="J1189" s="15" t="n">
        <f aca="false">ROUND(Annahmen!$K$35*(1+Annahmen!$B$20*D1189/1000),0)</f>
        <v>1072</v>
      </c>
      <c r="K1189" s="15" t="n">
        <f aca="false">ROUND(Annahmen!$K$36*(1+Annahmen!$B$20*D1189/1000),0)</f>
        <v>1392</v>
      </c>
      <c r="L1189" s="15" t="n">
        <f aca="false">ROUND(Annahmen!$K$37*(1+Annahmen!$B$20*D1189/1000),0)</f>
        <v>1423</v>
      </c>
      <c r="M1189" s="15" t="n">
        <f aca="false">ROUND(Annahmen!$K$38*(1+Annahmen!$B$20*D1189/1000),0)</f>
        <v>1423</v>
      </c>
      <c r="N1189" s="16" t="s">
        <v>102</v>
      </c>
    </row>
    <row r="1190" customFormat="false" ht="15" hidden="false" customHeight="false" outlineLevel="0" collapsed="false">
      <c r="A1190" s="13" t="s">
        <v>2432</v>
      </c>
      <c r="B1190" s="14" t="s">
        <v>2433</v>
      </c>
      <c r="C1190" s="15" t="n">
        <v>600</v>
      </c>
      <c r="D1190" s="15" t="n">
        <v>1575</v>
      </c>
      <c r="E1190" s="13" t="s">
        <v>82</v>
      </c>
      <c r="F1190" s="15" t="str">
        <f aca="false">IF(C1190&gt;=J1190,"ja","nein")</f>
        <v>nein</v>
      </c>
      <c r="G1190" s="15" t="str">
        <f aca="false">IF(C1190&gt;=K1190,"ja","nein")</f>
        <v>nein</v>
      </c>
      <c r="H1190" s="15" t="str">
        <f aca="false">IF(C1190&gt;=L1190,"ja","nein")</f>
        <v>nein</v>
      </c>
      <c r="I1190" s="15" t="str">
        <f aca="false">IF(C1190&gt;=M1190,"ja","nein")</f>
        <v>nein</v>
      </c>
      <c r="J1190" s="15" t="n">
        <f aca="false">ROUND(Annahmen!$K$35*(1+Annahmen!$B$20*D1190/1000),0)</f>
        <v>959</v>
      </c>
      <c r="K1190" s="15" t="n">
        <f aca="false">ROUND(Annahmen!$K$36*(1+Annahmen!$B$20*D1190/1000),0)</f>
        <v>1246</v>
      </c>
      <c r="L1190" s="15" t="n">
        <f aca="false">ROUND(Annahmen!$K$37*(1+Annahmen!$B$20*D1190/1000),0)</f>
        <v>1273</v>
      </c>
      <c r="M1190" s="15" t="n">
        <f aca="false">ROUND(Annahmen!$K$38*(1+Annahmen!$B$20*D1190/1000),0)</f>
        <v>1273</v>
      </c>
      <c r="N1190" s="16" t="s">
        <v>102</v>
      </c>
    </row>
    <row r="1191" customFormat="false" ht="15" hidden="false" customHeight="false" outlineLevel="0" collapsed="false">
      <c r="A1191" s="13" t="s">
        <v>2434</v>
      </c>
      <c r="B1191" s="14" t="s">
        <v>2435</v>
      </c>
      <c r="C1191" s="15" t="n">
        <v>505</v>
      </c>
      <c r="D1191" s="15" t="n">
        <v>0</v>
      </c>
      <c r="E1191" s="13" t="s">
        <v>82</v>
      </c>
      <c r="F1191" s="15" t="str">
        <f aca="false">IF(C1191&gt;=J1191,"ja","nein")</f>
        <v>nein</v>
      </c>
      <c r="G1191" s="15" t="str">
        <f aca="false">IF(C1191&gt;=K1191,"ja","nein")</f>
        <v>nein</v>
      </c>
      <c r="H1191" s="15" t="str">
        <f aca="false">IF(C1191&gt;=L1191,"ja","nein")</f>
        <v>nein</v>
      </c>
      <c r="I1191" s="15" t="str">
        <f aca="false">IF(C1191&gt;=M1191,"ja","nein")</f>
        <v>nein</v>
      </c>
      <c r="J1191" s="15" t="n">
        <f aca="false">ROUND(Annahmen!$K$35*(1+Annahmen!$B$20*D1191/1000),0)</f>
        <v>840</v>
      </c>
      <c r="K1191" s="15" t="n">
        <f aca="false">ROUND(Annahmen!$K$36*(1+Annahmen!$B$20*D1191/1000),0)</f>
        <v>1091</v>
      </c>
      <c r="L1191" s="15" t="n">
        <f aca="false">ROUND(Annahmen!$K$37*(1+Annahmen!$B$20*D1191/1000),0)</f>
        <v>1115</v>
      </c>
      <c r="M1191" s="15" t="n">
        <f aca="false">ROUND(Annahmen!$K$38*(1+Annahmen!$B$20*D1191/1000),0)</f>
        <v>1115</v>
      </c>
      <c r="N1191" s="16" t="s">
        <v>102</v>
      </c>
    </row>
    <row r="1192" customFormat="false" ht="15" hidden="false" customHeight="false" outlineLevel="0" collapsed="false">
      <c r="A1192" s="11" t="s">
        <v>2436</v>
      </c>
      <c r="B1192" s="12"/>
      <c r="C1192" s="12"/>
      <c r="D1192" s="12"/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</row>
    <row r="1193" customFormat="false" ht="15" hidden="false" customHeight="false" outlineLevel="0" collapsed="false">
      <c r="A1193" s="13" t="s">
        <v>2437</v>
      </c>
      <c r="B1193" s="14" t="s">
        <v>2438</v>
      </c>
      <c r="C1193" s="15" t="n">
        <v>3715</v>
      </c>
      <c r="D1193" s="15" t="n">
        <v>1247</v>
      </c>
      <c r="E1193" s="13" t="s">
        <v>82</v>
      </c>
      <c r="F1193" s="15" t="str">
        <f aca="false">IF(C1193&gt;=J1193,"ja","nein")</f>
        <v>ja</v>
      </c>
      <c r="G1193" s="15" t="str">
        <f aca="false">IF(C1193&gt;=K1193,"ja","nein")</f>
        <v>ja</v>
      </c>
      <c r="H1193" s="15" t="str">
        <f aca="false">IF(C1193&gt;=L1193,"ja","nein")</f>
        <v>ja</v>
      </c>
      <c r="I1193" s="15" t="str">
        <f aca="false">IF(C1193&gt;=M1193,"ja","nein")</f>
        <v>ja</v>
      </c>
      <c r="J1193" s="15" t="n">
        <f aca="false">ROUND(Annahmen!$K$35*(1+Annahmen!$B$20*D1193/1000),0)</f>
        <v>934</v>
      </c>
      <c r="K1193" s="15" t="n">
        <f aca="false">ROUND(Annahmen!$K$36*(1+Annahmen!$B$20*D1193/1000),0)</f>
        <v>1213</v>
      </c>
      <c r="L1193" s="15" t="n">
        <f aca="false">ROUND(Annahmen!$K$37*(1+Annahmen!$B$20*D1193/1000),0)</f>
        <v>1240</v>
      </c>
      <c r="M1193" s="15" t="n">
        <f aca="false">ROUND(Annahmen!$K$38*(1+Annahmen!$B$20*D1193/1000),0)</f>
        <v>1240</v>
      </c>
      <c r="N1193" s="16" t="s">
        <v>83</v>
      </c>
    </row>
    <row r="1194" customFormat="false" ht="15" hidden="false" customHeight="false" outlineLevel="0" collapsed="false">
      <c r="A1194" s="13" t="s">
        <v>2439</v>
      </c>
      <c r="B1194" s="14" t="s">
        <v>2440</v>
      </c>
      <c r="C1194" s="15" t="n">
        <v>3500</v>
      </c>
      <c r="D1194" s="15" t="n">
        <v>844</v>
      </c>
      <c r="E1194" s="13" t="s">
        <v>82</v>
      </c>
      <c r="F1194" s="15" t="str">
        <f aca="false">IF(C1194&gt;=J1194,"ja","nein")</f>
        <v>ja</v>
      </c>
      <c r="G1194" s="15" t="str">
        <f aca="false">IF(C1194&gt;=K1194,"ja","nein")</f>
        <v>ja</v>
      </c>
      <c r="H1194" s="15" t="str">
        <f aca="false">IF(C1194&gt;=L1194,"ja","nein")</f>
        <v>ja</v>
      </c>
      <c r="I1194" s="15" t="str">
        <f aca="false">IF(C1194&gt;=M1194,"ja","nein")</f>
        <v>ja</v>
      </c>
      <c r="J1194" s="15" t="n">
        <f aca="false">ROUND(Annahmen!$K$35*(1+Annahmen!$B$20*D1194/1000),0)</f>
        <v>904</v>
      </c>
      <c r="K1194" s="15" t="n">
        <f aca="false">ROUND(Annahmen!$K$36*(1+Annahmen!$B$20*D1194/1000),0)</f>
        <v>1174</v>
      </c>
      <c r="L1194" s="15" t="n">
        <f aca="false">ROUND(Annahmen!$K$37*(1+Annahmen!$B$20*D1194/1000),0)</f>
        <v>1200</v>
      </c>
      <c r="M1194" s="15" t="n">
        <f aca="false">ROUND(Annahmen!$K$38*(1+Annahmen!$B$20*D1194/1000),0)</f>
        <v>1200</v>
      </c>
      <c r="N1194" s="16" t="s">
        <v>83</v>
      </c>
    </row>
    <row r="1195" customFormat="false" ht="15" hidden="false" customHeight="false" outlineLevel="0" collapsed="false">
      <c r="A1195" s="13" t="s">
        <v>2441</v>
      </c>
      <c r="B1195" s="14" t="s">
        <v>2442</v>
      </c>
      <c r="C1195" s="15" t="n">
        <v>2650</v>
      </c>
      <c r="D1195" s="15" t="n">
        <v>778</v>
      </c>
      <c r="E1195" s="13" t="s">
        <v>82</v>
      </c>
      <c r="F1195" s="15" t="str">
        <f aca="false">IF(C1195&gt;=J1195,"ja","nein")</f>
        <v>ja</v>
      </c>
      <c r="G1195" s="15" t="str">
        <f aca="false">IF(C1195&gt;=K1195,"ja","nein")</f>
        <v>ja</v>
      </c>
      <c r="H1195" s="15" t="str">
        <f aca="false">IF(C1195&gt;=L1195,"ja","nein")</f>
        <v>ja</v>
      </c>
      <c r="I1195" s="15" t="str">
        <f aca="false">IF(C1195&gt;=M1195,"ja","nein")</f>
        <v>ja</v>
      </c>
      <c r="J1195" s="15" t="n">
        <f aca="false">ROUND(Annahmen!$K$35*(1+Annahmen!$B$20*D1195/1000),0)</f>
        <v>899</v>
      </c>
      <c r="K1195" s="15" t="n">
        <f aca="false">ROUND(Annahmen!$K$36*(1+Annahmen!$B$20*D1195/1000),0)</f>
        <v>1167</v>
      </c>
      <c r="L1195" s="15" t="n">
        <f aca="false">ROUND(Annahmen!$K$37*(1+Annahmen!$B$20*D1195/1000),0)</f>
        <v>1193</v>
      </c>
      <c r="M1195" s="15" t="n">
        <f aca="false">ROUND(Annahmen!$K$38*(1+Annahmen!$B$20*D1195/1000),0)</f>
        <v>1193</v>
      </c>
      <c r="N1195" s="16" t="s">
        <v>86</v>
      </c>
    </row>
    <row r="1196" customFormat="false" ht="15" hidden="false" customHeight="false" outlineLevel="0" collapsed="false">
      <c r="A1196" s="13" t="s">
        <v>2443</v>
      </c>
      <c r="B1196" s="14" t="s">
        <v>2444</v>
      </c>
      <c r="C1196" s="15" t="n">
        <v>2505</v>
      </c>
      <c r="D1196" s="15" t="n">
        <v>1207</v>
      </c>
      <c r="E1196" s="13" t="s">
        <v>82</v>
      </c>
      <c r="F1196" s="15" t="str">
        <f aca="false">IF(C1196&gt;=J1196,"ja","nein")</f>
        <v>ja</v>
      </c>
      <c r="G1196" s="15" t="str">
        <f aca="false">IF(C1196&gt;=K1196,"ja","nein")</f>
        <v>ja</v>
      </c>
      <c r="H1196" s="15" t="str">
        <f aca="false">IF(C1196&gt;=L1196,"ja","nein")</f>
        <v>ja</v>
      </c>
      <c r="I1196" s="15" t="str">
        <f aca="false">IF(C1196&gt;=M1196,"ja","nein")</f>
        <v>ja</v>
      </c>
      <c r="J1196" s="15" t="n">
        <f aca="false">ROUND(Annahmen!$K$35*(1+Annahmen!$B$20*D1196/1000),0)</f>
        <v>931</v>
      </c>
      <c r="K1196" s="15" t="n">
        <f aca="false">ROUND(Annahmen!$K$36*(1+Annahmen!$B$20*D1196/1000),0)</f>
        <v>1210</v>
      </c>
      <c r="L1196" s="15" t="n">
        <f aca="false">ROUND(Annahmen!$K$37*(1+Annahmen!$B$20*D1196/1000),0)</f>
        <v>1236</v>
      </c>
      <c r="M1196" s="15" t="n">
        <f aca="false">ROUND(Annahmen!$K$38*(1+Annahmen!$B$20*D1196/1000),0)</f>
        <v>1236</v>
      </c>
      <c r="N1196" s="16" t="s">
        <v>102</v>
      </c>
    </row>
    <row r="1197" customFormat="false" ht="15" hidden="false" customHeight="false" outlineLevel="0" collapsed="false">
      <c r="A1197" s="13" t="s">
        <v>2445</v>
      </c>
      <c r="B1197" s="14" t="s">
        <v>2446</v>
      </c>
      <c r="C1197" s="15" t="n">
        <v>2500</v>
      </c>
      <c r="D1197" s="15" t="n">
        <v>1417</v>
      </c>
      <c r="E1197" s="13" t="s">
        <v>82</v>
      </c>
      <c r="F1197" s="15" t="str">
        <f aca="false">IF(C1197&gt;=J1197,"ja","nein")</f>
        <v>ja</v>
      </c>
      <c r="G1197" s="15" t="str">
        <f aca="false">IF(C1197&gt;=K1197,"ja","nein")</f>
        <v>ja</v>
      </c>
      <c r="H1197" s="15" t="str">
        <f aca="false">IF(C1197&gt;=L1197,"ja","nein")</f>
        <v>ja</v>
      </c>
      <c r="I1197" s="15" t="str">
        <f aca="false">IF(C1197&gt;=M1197,"ja","nein")</f>
        <v>ja</v>
      </c>
      <c r="J1197" s="15" t="n">
        <f aca="false">ROUND(Annahmen!$K$35*(1+Annahmen!$B$20*D1197/1000),0)</f>
        <v>947</v>
      </c>
      <c r="K1197" s="15" t="n">
        <f aca="false">ROUND(Annahmen!$K$36*(1+Annahmen!$B$20*D1197/1000),0)</f>
        <v>1230</v>
      </c>
      <c r="L1197" s="15" t="n">
        <f aca="false">ROUND(Annahmen!$K$37*(1+Annahmen!$B$20*D1197/1000),0)</f>
        <v>1257</v>
      </c>
      <c r="M1197" s="15" t="n">
        <f aca="false">ROUND(Annahmen!$K$38*(1+Annahmen!$B$20*D1197/1000),0)</f>
        <v>1257</v>
      </c>
      <c r="N1197" s="16" t="s">
        <v>83</v>
      </c>
    </row>
    <row r="1198" customFormat="false" ht="15" hidden="false" customHeight="false" outlineLevel="0" collapsed="false">
      <c r="A1198" s="13" t="s">
        <v>2447</v>
      </c>
      <c r="B1198" s="14" t="s">
        <v>2448</v>
      </c>
      <c r="C1198" s="15" t="n">
        <v>2500</v>
      </c>
      <c r="D1198" s="15" t="n">
        <v>741</v>
      </c>
      <c r="E1198" s="13" t="s">
        <v>82</v>
      </c>
      <c r="F1198" s="15" t="str">
        <f aca="false">IF(C1198&gt;=J1198,"ja","nein")</f>
        <v>ja</v>
      </c>
      <c r="G1198" s="15" t="str">
        <f aca="false">IF(C1198&gt;=K1198,"ja","nein")</f>
        <v>ja</v>
      </c>
      <c r="H1198" s="15" t="str">
        <f aca="false">IF(C1198&gt;=L1198,"ja","nein")</f>
        <v>ja</v>
      </c>
      <c r="I1198" s="15" t="str">
        <f aca="false">IF(C1198&gt;=M1198,"ja","nein")</f>
        <v>ja</v>
      </c>
      <c r="J1198" s="15" t="n">
        <f aca="false">ROUND(Annahmen!$K$35*(1+Annahmen!$B$20*D1198/1000),0)</f>
        <v>896</v>
      </c>
      <c r="K1198" s="15" t="n">
        <f aca="false">ROUND(Annahmen!$K$36*(1+Annahmen!$B$20*D1198/1000),0)</f>
        <v>1164</v>
      </c>
      <c r="L1198" s="15" t="n">
        <f aca="false">ROUND(Annahmen!$K$37*(1+Annahmen!$B$20*D1198/1000),0)</f>
        <v>1189</v>
      </c>
      <c r="M1198" s="15" t="n">
        <f aca="false">ROUND(Annahmen!$K$38*(1+Annahmen!$B$20*D1198/1000),0)</f>
        <v>1189</v>
      </c>
      <c r="N1198" s="16" t="s">
        <v>83</v>
      </c>
    </row>
    <row r="1199" customFormat="false" ht="15" hidden="false" customHeight="false" outlineLevel="0" collapsed="false">
      <c r="A1199" s="13" t="s">
        <v>2449</v>
      </c>
      <c r="B1199" s="14" t="s">
        <v>2450</v>
      </c>
      <c r="C1199" s="15" t="n">
        <v>2500</v>
      </c>
      <c r="D1199" s="15" t="n">
        <v>919</v>
      </c>
      <c r="E1199" s="13" t="s">
        <v>82</v>
      </c>
      <c r="F1199" s="15" t="str">
        <f aca="false">IF(C1199&gt;=J1199,"ja","nein")</f>
        <v>ja</v>
      </c>
      <c r="G1199" s="15" t="str">
        <f aca="false">IF(C1199&gt;=K1199,"ja","nein")</f>
        <v>ja</v>
      </c>
      <c r="H1199" s="15" t="str">
        <f aca="false">IF(C1199&gt;=L1199,"ja","nein")</f>
        <v>ja</v>
      </c>
      <c r="I1199" s="15" t="str">
        <f aca="false">IF(C1199&gt;=M1199,"ja","nein")</f>
        <v>ja</v>
      </c>
      <c r="J1199" s="15" t="n">
        <f aca="false">ROUND(Annahmen!$K$35*(1+Annahmen!$B$20*D1199/1000),0)</f>
        <v>909</v>
      </c>
      <c r="K1199" s="15" t="n">
        <f aca="false">ROUND(Annahmen!$K$36*(1+Annahmen!$B$20*D1199/1000),0)</f>
        <v>1181</v>
      </c>
      <c r="L1199" s="15" t="n">
        <f aca="false">ROUND(Annahmen!$K$37*(1+Annahmen!$B$20*D1199/1000),0)</f>
        <v>1207</v>
      </c>
      <c r="M1199" s="15" t="n">
        <f aca="false">ROUND(Annahmen!$K$38*(1+Annahmen!$B$20*D1199/1000),0)</f>
        <v>1207</v>
      </c>
      <c r="N1199" s="16" t="s">
        <v>86</v>
      </c>
    </row>
    <row r="1200" customFormat="false" ht="15" hidden="false" customHeight="false" outlineLevel="0" collapsed="false">
      <c r="A1200" s="13" t="s">
        <v>2451</v>
      </c>
      <c r="B1200" s="14" t="s">
        <v>2452</v>
      </c>
      <c r="C1200" s="15" t="n">
        <v>2400</v>
      </c>
      <c r="D1200" s="15" t="n">
        <v>791</v>
      </c>
      <c r="E1200" s="13" t="s">
        <v>82</v>
      </c>
      <c r="F1200" s="15" t="str">
        <f aca="false">IF(C1200&gt;=J1200,"ja","nein")</f>
        <v>ja</v>
      </c>
      <c r="G1200" s="15" t="str">
        <f aca="false">IF(C1200&gt;=K1200,"ja","nein")</f>
        <v>ja</v>
      </c>
      <c r="H1200" s="15" t="str">
        <f aca="false">IF(C1200&gt;=L1200,"ja","nein")</f>
        <v>ja</v>
      </c>
      <c r="I1200" s="15" t="str">
        <f aca="false">IF(C1200&gt;=M1200,"ja","nein")</f>
        <v>ja</v>
      </c>
      <c r="J1200" s="15" t="n">
        <f aca="false">ROUND(Annahmen!$K$35*(1+Annahmen!$B$20*D1200/1000),0)</f>
        <v>900</v>
      </c>
      <c r="K1200" s="15" t="n">
        <f aca="false">ROUND(Annahmen!$K$36*(1+Annahmen!$B$20*D1200/1000),0)</f>
        <v>1169</v>
      </c>
      <c r="L1200" s="15" t="n">
        <f aca="false">ROUND(Annahmen!$K$37*(1+Annahmen!$B$20*D1200/1000),0)</f>
        <v>1194</v>
      </c>
      <c r="M1200" s="15" t="n">
        <f aca="false">ROUND(Annahmen!$K$38*(1+Annahmen!$B$20*D1200/1000),0)</f>
        <v>1194</v>
      </c>
      <c r="N1200" s="16" t="s">
        <v>102</v>
      </c>
    </row>
    <row r="1201" customFormat="false" ht="15" hidden="false" customHeight="false" outlineLevel="0" collapsed="false">
      <c r="A1201" s="13" t="s">
        <v>2453</v>
      </c>
      <c r="B1201" s="14" t="s">
        <v>2454</v>
      </c>
      <c r="C1201" s="15" t="n">
        <v>2150</v>
      </c>
      <c r="D1201" s="15" t="n">
        <v>1989</v>
      </c>
      <c r="E1201" s="13" t="s">
        <v>82</v>
      </c>
      <c r="F1201" s="15" t="str">
        <f aca="false">IF(C1201&gt;=J1201,"ja","nein")</f>
        <v>ja</v>
      </c>
      <c r="G1201" s="15" t="str">
        <f aca="false">IF(C1201&gt;=K1201,"ja","nein")</f>
        <v>ja</v>
      </c>
      <c r="H1201" s="15" t="str">
        <f aca="false">IF(C1201&gt;=L1201,"ja","nein")</f>
        <v>ja</v>
      </c>
      <c r="I1201" s="15" t="str">
        <f aca="false">IF(C1201&gt;=M1201,"ja","nein")</f>
        <v>ja</v>
      </c>
      <c r="J1201" s="15" t="n">
        <f aca="false">ROUND(Annahmen!$K$35*(1+Annahmen!$B$20*D1201/1000),0)</f>
        <v>990</v>
      </c>
      <c r="K1201" s="15" t="n">
        <f aca="false">ROUND(Annahmen!$K$36*(1+Annahmen!$B$20*D1201/1000),0)</f>
        <v>1286</v>
      </c>
      <c r="L1201" s="15" t="n">
        <f aca="false">ROUND(Annahmen!$K$37*(1+Annahmen!$B$20*D1201/1000),0)</f>
        <v>1315</v>
      </c>
      <c r="M1201" s="15" t="n">
        <f aca="false">ROUND(Annahmen!$K$38*(1+Annahmen!$B$20*D1201/1000),0)</f>
        <v>1315</v>
      </c>
      <c r="N1201" s="16" t="s">
        <v>83</v>
      </c>
    </row>
    <row r="1202" customFormat="false" ht="15" hidden="false" customHeight="false" outlineLevel="0" collapsed="false">
      <c r="A1202" s="13" t="s">
        <v>2455</v>
      </c>
      <c r="B1202" s="14" t="s">
        <v>2456</v>
      </c>
      <c r="C1202" s="15" t="n">
        <v>2000</v>
      </c>
      <c r="D1202" s="15" t="n">
        <v>581</v>
      </c>
      <c r="E1202" s="13" t="s">
        <v>82</v>
      </c>
      <c r="F1202" s="15" t="str">
        <f aca="false">IF(C1202&gt;=J1202,"ja","nein")</f>
        <v>ja</v>
      </c>
      <c r="G1202" s="15" t="str">
        <f aca="false">IF(C1202&gt;=K1202,"ja","nein")</f>
        <v>ja</v>
      </c>
      <c r="H1202" s="15" t="str">
        <f aca="false">IF(C1202&gt;=L1202,"ja","nein")</f>
        <v>ja</v>
      </c>
      <c r="I1202" s="15" t="str">
        <f aca="false">IF(C1202&gt;=M1202,"ja","nein")</f>
        <v>ja</v>
      </c>
      <c r="J1202" s="15" t="n">
        <f aca="false">ROUND(Annahmen!$K$35*(1+Annahmen!$B$20*D1202/1000),0)</f>
        <v>884</v>
      </c>
      <c r="K1202" s="15" t="n">
        <f aca="false">ROUND(Annahmen!$K$36*(1+Annahmen!$B$20*D1202/1000),0)</f>
        <v>1148</v>
      </c>
      <c r="L1202" s="15" t="n">
        <f aca="false">ROUND(Annahmen!$K$37*(1+Annahmen!$B$20*D1202/1000),0)</f>
        <v>1173</v>
      </c>
      <c r="M1202" s="15" t="n">
        <f aca="false">ROUND(Annahmen!$K$38*(1+Annahmen!$B$20*D1202/1000),0)</f>
        <v>1173</v>
      </c>
      <c r="N1202" s="16" t="s">
        <v>86</v>
      </c>
    </row>
    <row r="1203" customFormat="false" ht="15" hidden="false" customHeight="false" outlineLevel="0" collapsed="false">
      <c r="A1203" s="13" t="s">
        <v>2457</v>
      </c>
      <c r="B1203" s="14" t="s">
        <v>2458</v>
      </c>
      <c r="C1203" s="15" t="n">
        <v>1553</v>
      </c>
      <c r="D1203" s="15" t="n">
        <v>800</v>
      </c>
      <c r="E1203" s="13" t="s">
        <v>82</v>
      </c>
      <c r="F1203" s="15" t="str">
        <f aca="false">IF(C1203&gt;=J1203,"ja","nein")</f>
        <v>ja</v>
      </c>
      <c r="G1203" s="15" t="str">
        <f aca="false">IF(C1203&gt;=K1203,"ja","nein")</f>
        <v>ja</v>
      </c>
      <c r="H1203" s="15" t="str">
        <f aca="false">IF(C1203&gt;=L1203,"ja","nein")</f>
        <v>ja</v>
      </c>
      <c r="I1203" s="15" t="str">
        <f aca="false">IF(C1203&gt;=M1203,"ja","nein")</f>
        <v>ja</v>
      </c>
      <c r="J1203" s="15" t="n">
        <f aca="false">ROUND(Annahmen!$K$35*(1+Annahmen!$B$20*D1203/1000),0)</f>
        <v>900</v>
      </c>
      <c r="K1203" s="15" t="n">
        <f aca="false">ROUND(Annahmen!$K$36*(1+Annahmen!$B$20*D1203/1000),0)</f>
        <v>1170</v>
      </c>
      <c r="L1203" s="15" t="n">
        <f aca="false">ROUND(Annahmen!$K$37*(1+Annahmen!$B$20*D1203/1000),0)</f>
        <v>1195</v>
      </c>
      <c r="M1203" s="15" t="n">
        <f aca="false">ROUND(Annahmen!$K$38*(1+Annahmen!$B$20*D1203/1000),0)</f>
        <v>1195</v>
      </c>
      <c r="N1203" s="16" t="s">
        <v>102</v>
      </c>
    </row>
    <row r="1204" customFormat="false" ht="15" hidden="false" customHeight="false" outlineLevel="0" collapsed="false">
      <c r="A1204" s="13" t="s">
        <v>2459</v>
      </c>
      <c r="B1204" s="14" t="s">
        <v>2460</v>
      </c>
      <c r="C1204" s="15" t="n">
        <v>1450</v>
      </c>
      <c r="D1204" s="15" t="n">
        <v>1188</v>
      </c>
      <c r="E1204" s="13" t="s">
        <v>82</v>
      </c>
      <c r="F1204" s="15" t="str">
        <f aca="false">IF(C1204&gt;=J1204,"ja","nein")</f>
        <v>ja</v>
      </c>
      <c r="G1204" s="15" t="str">
        <f aca="false">IF(C1204&gt;=K1204,"ja","nein")</f>
        <v>ja</v>
      </c>
      <c r="H1204" s="15" t="str">
        <f aca="false">IF(C1204&gt;=L1204,"ja","nein")</f>
        <v>ja</v>
      </c>
      <c r="I1204" s="15" t="str">
        <f aca="false">IF(C1204&gt;=M1204,"ja","nein")</f>
        <v>ja</v>
      </c>
      <c r="J1204" s="15" t="n">
        <f aca="false">ROUND(Annahmen!$K$35*(1+Annahmen!$B$20*D1204/1000),0)</f>
        <v>930</v>
      </c>
      <c r="K1204" s="15" t="n">
        <f aca="false">ROUND(Annahmen!$K$36*(1+Annahmen!$B$20*D1204/1000),0)</f>
        <v>1208</v>
      </c>
      <c r="L1204" s="15" t="n">
        <f aca="false">ROUND(Annahmen!$K$37*(1+Annahmen!$B$20*D1204/1000),0)</f>
        <v>1234</v>
      </c>
      <c r="M1204" s="15" t="n">
        <f aca="false">ROUND(Annahmen!$K$38*(1+Annahmen!$B$20*D1204/1000),0)</f>
        <v>1234</v>
      </c>
      <c r="N1204" s="16" t="s">
        <v>86</v>
      </c>
    </row>
    <row r="1205" customFormat="false" ht="15" hidden="false" customHeight="false" outlineLevel="0" collapsed="false">
      <c r="A1205" s="13" t="s">
        <v>2461</v>
      </c>
      <c r="B1205" s="14" t="s">
        <v>2462</v>
      </c>
      <c r="C1205" s="15" t="n">
        <v>1380</v>
      </c>
      <c r="D1205" s="15" t="n">
        <v>1529</v>
      </c>
      <c r="E1205" s="13" t="s">
        <v>82</v>
      </c>
      <c r="F1205" s="15" t="str">
        <f aca="false">IF(C1205&gt;=J1205,"ja","nein")</f>
        <v>ja</v>
      </c>
      <c r="G1205" s="15" t="str">
        <f aca="false">IF(C1205&gt;=K1205,"ja","nein")</f>
        <v>ja</v>
      </c>
      <c r="H1205" s="15" t="str">
        <f aca="false">IF(C1205&gt;=L1205,"ja","nein")</f>
        <v>ja</v>
      </c>
      <c r="I1205" s="15" t="str">
        <f aca="false">IF(C1205&gt;=M1205,"ja","nein")</f>
        <v>ja</v>
      </c>
      <c r="J1205" s="15" t="n">
        <f aca="false">ROUND(Annahmen!$K$35*(1+Annahmen!$B$20*D1205/1000),0)</f>
        <v>956</v>
      </c>
      <c r="K1205" s="15" t="n">
        <f aca="false">ROUND(Annahmen!$K$36*(1+Annahmen!$B$20*D1205/1000),0)</f>
        <v>1241</v>
      </c>
      <c r="L1205" s="15" t="n">
        <f aca="false">ROUND(Annahmen!$K$37*(1+Annahmen!$B$20*D1205/1000),0)</f>
        <v>1268</v>
      </c>
      <c r="M1205" s="15" t="n">
        <f aca="false">ROUND(Annahmen!$K$38*(1+Annahmen!$B$20*D1205/1000),0)</f>
        <v>1268</v>
      </c>
      <c r="N1205" s="16" t="s">
        <v>102</v>
      </c>
    </row>
    <row r="1206" customFormat="false" ht="15" hidden="false" customHeight="false" outlineLevel="0" collapsed="false">
      <c r="A1206" s="13" t="s">
        <v>2463</v>
      </c>
      <c r="B1206" s="14" t="s">
        <v>2464</v>
      </c>
      <c r="C1206" s="15" t="n">
        <v>1170</v>
      </c>
      <c r="D1206" s="15" t="n">
        <v>1214</v>
      </c>
      <c r="E1206" s="13" t="s">
        <v>82</v>
      </c>
      <c r="F1206" s="15" t="str">
        <f aca="false">IF(C1206&gt;=J1206,"ja","nein")</f>
        <v>ja</v>
      </c>
      <c r="G1206" s="15" t="str">
        <f aca="false">IF(C1206&gt;=K1206,"ja","nein")</f>
        <v>nein</v>
      </c>
      <c r="H1206" s="15" t="str">
        <f aca="false">IF(C1206&gt;=L1206,"ja","nein")</f>
        <v>nein</v>
      </c>
      <c r="I1206" s="15" t="str">
        <f aca="false">IF(C1206&gt;=M1206,"ja","nein")</f>
        <v>nein</v>
      </c>
      <c r="J1206" s="15" t="n">
        <f aca="false">ROUND(Annahmen!$K$35*(1+Annahmen!$B$20*D1206/1000),0)</f>
        <v>932</v>
      </c>
      <c r="K1206" s="15" t="n">
        <f aca="false">ROUND(Annahmen!$K$36*(1+Annahmen!$B$20*D1206/1000),0)</f>
        <v>1210</v>
      </c>
      <c r="L1206" s="15" t="n">
        <f aca="false">ROUND(Annahmen!$K$37*(1+Annahmen!$B$20*D1206/1000),0)</f>
        <v>1237</v>
      </c>
      <c r="M1206" s="15" t="n">
        <f aca="false">ROUND(Annahmen!$K$38*(1+Annahmen!$B$20*D1206/1000),0)</f>
        <v>1237</v>
      </c>
      <c r="N1206" s="16" t="s">
        <v>102</v>
      </c>
    </row>
    <row r="1207" customFormat="false" ht="15" hidden="false" customHeight="false" outlineLevel="0" collapsed="false">
      <c r="A1207" s="13" t="s">
        <v>2465</v>
      </c>
      <c r="B1207" s="14" t="s">
        <v>2466</v>
      </c>
      <c r="C1207" s="15" t="n">
        <v>1000</v>
      </c>
      <c r="D1207" s="15" t="n">
        <v>1585</v>
      </c>
      <c r="E1207" s="13" t="s">
        <v>82</v>
      </c>
      <c r="F1207" s="15" t="str">
        <f aca="false">IF(C1207&gt;=J1207,"ja","nein")</f>
        <v>ja</v>
      </c>
      <c r="G1207" s="15" t="str">
        <f aca="false">IF(C1207&gt;=K1207,"ja","nein")</f>
        <v>nein</v>
      </c>
      <c r="H1207" s="15" t="str">
        <f aca="false">IF(C1207&gt;=L1207,"ja","nein")</f>
        <v>nein</v>
      </c>
      <c r="I1207" s="15" t="str">
        <f aca="false">IF(C1207&gt;=M1207,"ja","nein")</f>
        <v>nein</v>
      </c>
      <c r="J1207" s="15" t="n">
        <f aca="false">ROUND(Annahmen!$K$35*(1+Annahmen!$B$20*D1207/1000),0)</f>
        <v>960</v>
      </c>
      <c r="K1207" s="15" t="n">
        <f aca="false">ROUND(Annahmen!$K$36*(1+Annahmen!$B$20*D1207/1000),0)</f>
        <v>1247</v>
      </c>
      <c r="L1207" s="15" t="n">
        <f aca="false">ROUND(Annahmen!$K$37*(1+Annahmen!$B$20*D1207/1000),0)</f>
        <v>1274</v>
      </c>
      <c r="M1207" s="15" t="n">
        <f aca="false">ROUND(Annahmen!$K$38*(1+Annahmen!$B$20*D1207/1000),0)</f>
        <v>1274</v>
      </c>
      <c r="N1207" s="16" t="s">
        <v>102</v>
      </c>
    </row>
    <row r="1208" customFormat="false" ht="15" hidden="false" customHeight="false" outlineLevel="0" collapsed="false">
      <c r="A1208" s="13" t="s">
        <v>2467</v>
      </c>
      <c r="B1208" s="14" t="s">
        <v>2468</v>
      </c>
      <c r="C1208" s="15" t="n">
        <v>799</v>
      </c>
      <c r="D1208" s="15" t="n">
        <v>1621</v>
      </c>
      <c r="E1208" s="13" t="s">
        <v>82</v>
      </c>
      <c r="F1208" s="15" t="str">
        <f aca="false">IF(C1208&gt;=J1208,"ja","nein")</f>
        <v>nein</v>
      </c>
      <c r="G1208" s="15" t="str">
        <f aca="false">IF(C1208&gt;=K1208,"ja","nein")</f>
        <v>nein</v>
      </c>
      <c r="H1208" s="15" t="str">
        <f aca="false">IF(C1208&gt;=L1208,"ja","nein")</f>
        <v>nein</v>
      </c>
      <c r="I1208" s="15" t="str">
        <f aca="false">IF(C1208&gt;=M1208,"ja","nein")</f>
        <v>nein</v>
      </c>
      <c r="J1208" s="15" t="n">
        <f aca="false">ROUND(Annahmen!$K$35*(1+Annahmen!$B$20*D1208/1000),0)</f>
        <v>963</v>
      </c>
      <c r="K1208" s="15" t="n">
        <f aca="false">ROUND(Annahmen!$K$36*(1+Annahmen!$B$20*D1208/1000),0)</f>
        <v>1250</v>
      </c>
      <c r="L1208" s="15" t="n">
        <f aca="false">ROUND(Annahmen!$K$37*(1+Annahmen!$B$20*D1208/1000),0)</f>
        <v>1278</v>
      </c>
      <c r="M1208" s="15" t="n">
        <f aca="false">ROUND(Annahmen!$K$38*(1+Annahmen!$B$20*D1208/1000),0)</f>
        <v>1278</v>
      </c>
      <c r="N1208" s="16" t="s">
        <v>102</v>
      </c>
    </row>
    <row r="1209" customFormat="false" ht="15" hidden="false" customHeight="false" outlineLevel="0" collapsed="false">
      <c r="A1209" s="13" t="s">
        <v>2469</v>
      </c>
      <c r="B1209" s="14" t="s">
        <v>2470</v>
      </c>
      <c r="C1209" s="15" t="n">
        <v>714</v>
      </c>
      <c r="D1209" s="15" t="n">
        <v>1322</v>
      </c>
      <c r="E1209" s="13" t="s">
        <v>82</v>
      </c>
      <c r="F1209" s="15" t="str">
        <f aca="false">IF(C1209&gt;=J1209,"ja","nein")</f>
        <v>nein</v>
      </c>
      <c r="G1209" s="15" t="str">
        <f aca="false">IF(C1209&gt;=K1209,"ja","nein")</f>
        <v>nein</v>
      </c>
      <c r="H1209" s="15" t="str">
        <f aca="false">IF(C1209&gt;=L1209,"ja","nein")</f>
        <v>nein</v>
      </c>
      <c r="I1209" s="15" t="str">
        <f aca="false">IF(C1209&gt;=M1209,"ja","nein")</f>
        <v>nein</v>
      </c>
      <c r="J1209" s="15" t="n">
        <f aca="false">ROUND(Annahmen!$K$35*(1+Annahmen!$B$20*D1209/1000),0)</f>
        <v>940</v>
      </c>
      <c r="K1209" s="15" t="n">
        <f aca="false">ROUND(Annahmen!$K$36*(1+Annahmen!$B$20*D1209/1000),0)</f>
        <v>1221</v>
      </c>
      <c r="L1209" s="15" t="n">
        <f aca="false">ROUND(Annahmen!$K$37*(1+Annahmen!$B$20*D1209/1000),0)</f>
        <v>1248</v>
      </c>
      <c r="M1209" s="15" t="n">
        <f aca="false">ROUND(Annahmen!$K$38*(1+Annahmen!$B$20*D1209/1000),0)</f>
        <v>1248</v>
      </c>
      <c r="N1209" s="16" t="s">
        <v>102</v>
      </c>
    </row>
    <row r="1210" customFormat="false" ht="15" hidden="false" customHeight="false" outlineLevel="0" collapsed="false">
      <c r="A1210" s="13" t="s">
        <v>2471</v>
      </c>
      <c r="B1210" s="14" t="s">
        <v>2472</v>
      </c>
      <c r="C1210" s="15" t="n">
        <v>686</v>
      </c>
      <c r="D1210" s="15" t="n">
        <v>1667</v>
      </c>
      <c r="E1210" s="13" t="s">
        <v>82</v>
      </c>
      <c r="F1210" s="15" t="str">
        <f aca="false">IF(C1210&gt;=J1210,"ja","nein")</f>
        <v>nein</v>
      </c>
      <c r="G1210" s="15" t="str">
        <f aca="false">IF(C1210&gt;=K1210,"ja","nein")</f>
        <v>nein</v>
      </c>
      <c r="H1210" s="15" t="str">
        <f aca="false">IF(C1210&gt;=L1210,"ja","nein")</f>
        <v>nein</v>
      </c>
      <c r="I1210" s="15" t="str">
        <f aca="false">IF(C1210&gt;=M1210,"ja","nein")</f>
        <v>nein</v>
      </c>
      <c r="J1210" s="15" t="n">
        <f aca="false">ROUND(Annahmen!$K$35*(1+Annahmen!$B$20*D1210/1000),0)</f>
        <v>966</v>
      </c>
      <c r="K1210" s="15" t="n">
        <f aca="false">ROUND(Annahmen!$K$36*(1+Annahmen!$B$20*D1210/1000),0)</f>
        <v>1255</v>
      </c>
      <c r="L1210" s="15" t="n">
        <f aca="false">ROUND(Annahmen!$K$37*(1+Annahmen!$B$20*D1210/1000),0)</f>
        <v>1282</v>
      </c>
      <c r="M1210" s="15" t="n">
        <f aca="false">ROUND(Annahmen!$K$38*(1+Annahmen!$B$20*D1210/1000),0)</f>
        <v>1282</v>
      </c>
      <c r="N1210" s="16" t="s">
        <v>102</v>
      </c>
    </row>
    <row r="1211" customFormat="false" ht="15" hidden="false" customHeight="false" outlineLevel="0" collapsed="false">
      <c r="A1211" s="13" t="s">
        <v>2473</v>
      </c>
      <c r="B1211" s="14" t="s">
        <v>2474</v>
      </c>
      <c r="C1211" s="15" t="n">
        <v>650</v>
      </c>
      <c r="D1211" s="15" t="n">
        <v>600</v>
      </c>
      <c r="E1211" s="13" t="s">
        <v>82</v>
      </c>
      <c r="F1211" s="15" t="str">
        <f aca="false">IF(C1211&gt;=J1211,"ja","nein")</f>
        <v>nein</v>
      </c>
      <c r="G1211" s="15" t="str">
        <f aca="false">IF(C1211&gt;=K1211,"ja","nein")</f>
        <v>nein</v>
      </c>
      <c r="H1211" s="15" t="str">
        <f aca="false">IF(C1211&gt;=L1211,"ja","nein")</f>
        <v>nein</v>
      </c>
      <c r="I1211" s="15" t="str">
        <f aca="false">IF(C1211&gt;=M1211,"ja","nein")</f>
        <v>nein</v>
      </c>
      <c r="J1211" s="15" t="n">
        <f aca="false">ROUND(Annahmen!$K$35*(1+Annahmen!$B$20*D1211/1000),0)</f>
        <v>885</v>
      </c>
      <c r="K1211" s="15" t="n">
        <f aca="false">ROUND(Annahmen!$K$36*(1+Annahmen!$B$20*D1211/1000),0)</f>
        <v>1150</v>
      </c>
      <c r="L1211" s="15" t="n">
        <f aca="false">ROUND(Annahmen!$K$37*(1+Annahmen!$B$20*D1211/1000),0)</f>
        <v>1175</v>
      </c>
      <c r="M1211" s="15" t="n">
        <f aca="false">ROUND(Annahmen!$K$38*(1+Annahmen!$B$20*D1211/1000),0)</f>
        <v>1175</v>
      </c>
      <c r="N1211" s="16" t="s">
        <v>102</v>
      </c>
    </row>
    <row r="1212" customFormat="false" ht="15" hidden="false" customHeight="false" outlineLevel="0" collapsed="false">
      <c r="A1212" s="13" t="s">
        <v>2475</v>
      </c>
      <c r="B1212" s="14" t="s">
        <v>2476</v>
      </c>
      <c r="C1212" s="15" t="n">
        <v>600</v>
      </c>
      <c r="D1212" s="15" t="n">
        <v>2541</v>
      </c>
      <c r="E1212" s="13" t="s">
        <v>82</v>
      </c>
      <c r="F1212" s="15" t="str">
        <f aca="false">IF(C1212&gt;=J1212,"ja","nein")</f>
        <v>nein</v>
      </c>
      <c r="G1212" s="15" t="str">
        <f aca="false">IF(C1212&gt;=K1212,"ja","nein")</f>
        <v>nein</v>
      </c>
      <c r="H1212" s="15" t="str">
        <f aca="false">IF(C1212&gt;=L1212,"ja","nein")</f>
        <v>nein</v>
      </c>
      <c r="I1212" s="15" t="str">
        <f aca="false">IF(C1212&gt;=M1212,"ja","nein")</f>
        <v>nein</v>
      </c>
      <c r="J1212" s="15" t="n">
        <f aca="false">ROUND(Annahmen!$K$35*(1+Annahmen!$B$20*D1212/1000),0)</f>
        <v>1032</v>
      </c>
      <c r="K1212" s="15" t="n">
        <f aca="false">ROUND(Annahmen!$K$36*(1+Annahmen!$B$20*D1212/1000),0)</f>
        <v>1341</v>
      </c>
      <c r="L1212" s="15" t="n">
        <f aca="false">ROUND(Annahmen!$K$37*(1+Annahmen!$B$20*D1212/1000),0)</f>
        <v>1370</v>
      </c>
      <c r="M1212" s="15" t="n">
        <f aca="false">ROUND(Annahmen!$K$38*(1+Annahmen!$B$20*D1212/1000),0)</f>
        <v>1370</v>
      </c>
      <c r="N1212" s="16" t="s">
        <v>102</v>
      </c>
    </row>
    <row r="1213" customFormat="false" ht="15" hidden="false" customHeight="false" outlineLevel="0" collapsed="false">
      <c r="A1213" s="13" t="s">
        <v>2477</v>
      </c>
      <c r="B1213" s="14" t="s">
        <v>2478</v>
      </c>
      <c r="C1213" s="15" t="n">
        <v>600</v>
      </c>
      <c r="D1213" s="15" t="n">
        <v>991</v>
      </c>
      <c r="E1213" s="13" t="s">
        <v>82</v>
      </c>
      <c r="F1213" s="15" t="str">
        <f aca="false">IF(C1213&gt;=J1213,"ja","nein")</f>
        <v>nein</v>
      </c>
      <c r="G1213" s="15" t="str">
        <f aca="false">IF(C1213&gt;=K1213,"ja","nein")</f>
        <v>nein</v>
      </c>
      <c r="H1213" s="15" t="str">
        <f aca="false">IF(C1213&gt;=L1213,"ja","nein")</f>
        <v>nein</v>
      </c>
      <c r="I1213" s="15" t="str">
        <f aca="false">IF(C1213&gt;=M1213,"ja","nein")</f>
        <v>nein</v>
      </c>
      <c r="J1213" s="15" t="n">
        <f aca="false">ROUND(Annahmen!$K$35*(1+Annahmen!$B$20*D1213/1000),0)</f>
        <v>915</v>
      </c>
      <c r="K1213" s="15" t="n">
        <f aca="false">ROUND(Annahmen!$K$36*(1+Annahmen!$B$20*D1213/1000),0)</f>
        <v>1188</v>
      </c>
      <c r="L1213" s="15" t="n">
        <f aca="false">ROUND(Annahmen!$K$37*(1+Annahmen!$B$20*D1213/1000),0)</f>
        <v>1214</v>
      </c>
      <c r="M1213" s="15" t="n">
        <f aca="false">ROUND(Annahmen!$K$38*(1+Annahmen!$B$20*D1213/1000),0)</f>
        <v>1214</v>
      </c>
      <c r="N1213" s="16" t="s">
        <v>102</v>
      </c>
    </row>
    <row r="1214" customFormat="false" ht="15" hidden="false" customHeight="false" outlineLevel="0" collapsed="false">
      <c r="A1214" s="13" t="s">
        <v>2479</v>
      </c>
      <c r="B1214" s="14" t="s">
        <v>2480</v>
      </c>
      <c r="C1214" s="15" t="n">
        <v>580</v>
      </c>
      <c r="D1214" s="15" t="n">
        <v>1351</v>
      </c>
      <c r="E1214" s="13" t="s">
        <v>82</v>
      </c>
      <c r="F1214" s="15" t="str">
        <f aca="false">IF(C1214&gt;=J1214,"ja","nein")</f>
        <v>nein</v>
      </c>
      <c r="G1214" s="15" t="str">
        <f aca="false">IF(C1214&gt;=K1214,"ja","nein")</f>
        <v>nein</v>
      </c>
      <c r="H1214" s="15" t="str">
        <f aca="false">IF(C1214&gt;=L1214,"ja","nein")</f>
        <v>nein</v>
      </c>
      <c r="I1214" s="15" t="str">
        <f aca="false">IF(C1214&gt;=M1214,"ja","nein")</f>
        <v>nein</v>
      </c>
      <c r="J1214" s="15" t="n">
        <f aca="false">ROUND(Annahmen!$K$35*(1+Annahmen!$B$20*D1214/1000),0)</f>
        <v>942</v>
      </c>
      <c r="K1214" s="15" t="n">
        <f aca="false">ROUND(Annahmen!$K$36*(1+Annahmen!$B$20*D1214/1000),0)</f>
        <v>1224</v>
      </c>
      <c r="L1214" s="15" t="n">
        <f aca="false">ROUND(Annahmen!$K$37*(1+Annahmen!$B$20*D1214/1000),0)</f>
        <v>1251</v>
      </c>
      <c r="M1214" s="15" t="n">
        <f aca="false">ROUND(Annahmen!$K$38*(1+Annahmen!$B$20*D1214/1000),0)</f>
        <v>1251</v>
      </c>
      <c r="N1214" s="16" t="s">
        <v>102</v>
      </c>
    </row>
    <row r="1215" customFormat="false" ht="15" hidden="false" customHeight="false" outlineLevel="0" collapsed="false">
      <c r="A1215" s="13" t="s">
        <v>2481</v>
      </c>
      <c r="B1215" s="14" t="s">
        <v>2482</v>
      </c>
      <c r="C1215" s="15" t="n">
        <v>520</v>
      </c>
      <c r="D1215" s="15" t="n">
        <v>1339</v>
      </c>
      <c r="E1215" s="13" t="s">
        <v>82</v>
      </c>
      <c r="F1215" s="15" t="str">
        <f aca="false">IF(C1215&gt;=J1215,"ja","nein")</f>
        <v>nein</v>
      </c>
      <c r="G1215" s="15" t="str">
        <f aca="false">IF(C1215&gt;=K1215,"ja","nein")</f>
        <v>nein</v>
      </c>
      <c r="H1215" s="15" t="str">
        <f aca="false">IF(C1215&gt;=L1215,"ja","nein")</f>
        <v>nein</v>
      </c>
      <c r="I1215" s="15" t="str">
        <f aca="false">IF(C1215&gt;=M1215,"ja","nein")</f>
        <v>nein</v>
      </c>
      <c r="J1215" s="15" t="n">
        <f aca="false">ROUND(Annahmen!$K$35*(1+Annahmen!$B$20*D1215/1000),0)</f>
        <v>941</v>
      </c>
      <c r="K1215" s="15" t="n">
        <f aca="false">ROUND(Annahmen!$K$36*(1+Annahmen!$B$20*D1215/1000),0)</f>
        <v>1222</v>
      </c>
      <c r="L1215" s="15" t="n">
        <f aca="false">ROUND(Annahmen!$K$37*(1+Annahmen!$B$20*D1215/1000),0)</f>
        <v>1249</v>
      </c>
      <c r="M1215" s="15" t="n">
        <f aca="false">ROUND(Annahmen!$K$38*(1+Annahmen!$B$20*D1215/1000),0)</f>
        <v>1249</v>
      </c>
      <c r="N1215" s="16" t="s">
        <v>102</v>
      </c>
    </row>
    <row r="1216" customFormat="false" ht="15" hidden="false" customHeight="false" outlineLevel="0" collapsed="false">
      <c r="A1216" s="11" t="s">
        <v>2483</v>
      </c>
      <c r="B1216" s="12"/>
      <c r="C1216" s="12"/>
      <c r="D1216" s="12"/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</row>
    <row r="1217" customFormat="false" ht="15" hidden="false" customHeight="false" outlineLevel="0" collapsed="false">
      <c r="A1217" s="13" t="s">
        <v>2484</v>
      </c>
      <c r="B1217" s="14" t="s">
        <v>2485</v>
      </c>
      <c r="C1217" s="15" t="n">
        <v>4100</v>
      </c>
      <c r="D1217" s="15" t="n">
        <v>325</v>
      </c>
      <c r="E1217" s="13" t="s">
        <v>82</v>
      </c>
      <c r="F1217" s="15" t="str">
        <f aca="false">IF(C1217&gt;=J1217,"ja","nein")</f>
        <v>ja</v>
      </c>
      <c r="G1217" s="15" t="str">
        <f aca="false">IF(C1217&gt;=K1217,"ja","nein")</f>
        <v>ja</v>
      </c>
      <c r="H1217" s="15" t="str">
        <f aca="false">IF(C1217&gt;=L1217,"ja","nein")</f>
        <v>ja</v>
      </c>
      <c r="I1217" s="15" t="str">
        <f aca="false">IF(C1217&gt;=M1217,"ja","nein")</f>
        <v>ja</v>
      </c>
      <c r="J1217" s="15" t="n">
        <f aca="false">ROUND(Annahmen!$K$35*(1+Annahmen!$B$20*D1217/1000),0)</f>
        <v>865</v>
      </c>
      <c r="K1217" s="15" t="n">
        <f aca="false">ROUND(Annahmen!$K$36*(1+Annahmen!$B$20*D1217/1000),0)</f>
        <v>1123</v>
      </c>
      <c r="L1217" s="15" t="n">
        <f aca="false">ROUND(Annahmen!$K$37*(1+Annahmen!$B$20*D1217/1000),0)</f>
        <v>1148</v>
      </c>
      <c r="M1217" s="15" t="n">
        <f aca="false">ROUND(Annahmen!$K$38*(1+Annahmen!$B$20*D1217/1000),0)</f>
        <v>1148</v>
      </c>
      <c r="N1217" s="16" t="s">
        <v>83</v>
      </c>
    </row>
    <row r="1218" customFormat="false" ht="15" hidden="false" customHeight="false" outlineLevel="0" collapsed="false">
      <c r="A1218" s="13" t="s">
        <v>2486</v>
      </c>
      <c r="B1218" s="14" t="s">
        <v>2487</v>
      </c>
      <c r="C1218" s="15" t="n">
        <v>4000</v>
      </c>
      <c r="D1218" s="15" t="n">
        <v>2708</v>
      </c>
      <c r="E1218" s="13" t="s">
        <v>82</v>
      </c>
      <c r="F1218" s="15" t="str">
        <f aca="false">IF(C1218&gt;=J1218,"ja","nein")</f>
        <v>ja</v>
      </c>
      <c r="G1218" s="15" t="str">
        <f aca="false">IF(C1218&gt;=K1218,"ja","nein")</f>
        <v>ja</v>
      </c>
      <c r="H1218" s="15" t="str">
        <f aca="false">IF(C1218&gt;=L1218,"ja","nein")</f>
        <v>ja</v>
      </c>
      <c r="I1218" s="15" t="str">
        <f aca="false">IF(C1218&gt;=M1218,"ja","nein")</f>
        <v>ja</v>
      </c>
      <c r="J1218" s="15" t="n">
        <f aca="false">ROUND(Annahmen!$K$35*(1+Annahmen!$B$20*D1218/1000),0)</f>
        <v>1045</v>
      </c>
      <c r="K1218" s="15" t="n">
        <f aca="false">ROUND(Annahmen!$K$36*(1+Annahmen!$B$20*D1218/1000),0)</f>
        <v>1357</v>
      </c>
      <c r="L1218" s="15" t="n">
        <f aca="false">ROUND(Annahmen!$K$37*(1+Annahmen!$B$20*D1218/1000),0)</f>
        <v>1387</v>
      </c>
      <c r="M1218" s="15" t="n">
        <f aca="false">ROUND(Annahmen!$K$38*(1+Annahmen!$B$20*D1218/1000),0)</f>
        <v>1387</v>
      </c>
      <c r="N1218" s="16" t="s">
        <v>83</v>
      </c>
    </row>
    <row r="1219" customFormat="false" ht="15" hidden="false" customHeight="false" outlineLevel="0" collapsed="false">
      <c r="A1219" s="13" t="s">
        <v>2488</v>
      </c>
      <c r="B1219" s="14" t="s">
        <v>2489</v>
      </c>
      <c r="C1219" s="15" t="n">
        <v>3811</v>
      </c>
      <c r="D1219" s="15" t="n">
        <v>5239</v>
      </c>
      <c r="E1219" s="13" t="s">
        <v>82</v>
      </c>
      <c r="F1219" s="15" t="str">
        <f aca="false">IF(C1219&gt;=J1219,"ja","nein")</f>
        <v>ja</v>
      </c>
      <c r="G1219" s="15" t="str">
        <f aca="false">IF(C1219&gt;=K1219,"ja","nein")</f>
        <v>ja</v>
      </c>
      <c r="H1219" s="15" t="str">
        <f aca="false">IF(C1219&gt;=L1219,"ja","nein")</f>
        <v>ja</v>
      </c>
      <c r="I1219" s="15" t="str">
        <f aca="false">IF(C1219&gt;=M1219,"ja","nein")</f>
        <v>ja</v>
      </c>
      <c r="J1219" s="15" t="n">
        <f aca="false">ROUND(Annahmen!$K$35*(1+Annahmen!$B$20*D1219/1000),0)</f>
        <v>1236</v>
      </c>
      <c r="K1219" s="15" t="n">
        <f aca="false">ROUND(Annahmen!$K$36*(1+Annahmen!$B$20*D1219/1000),0)</f>
        <v>1605</v>
      </c>
      <c r="L1219" s="15" t="n">
        <f aca="false">ROUND(Annahmen!$K$37*(1+Annahmen!$B$20*D1219/1000),0)</f>
        <v>1641</v>
      </c>
      <c r="M1219" s="15" t="n">
        <f aca="false">ROUND(Annahmen!$K$38*(1+Annahmen!$B$20*D1219/1000),0)</f>
        <v>1641</v>
      </c>
      <c r="N1219" s="16" t="s">
        <v>102</v>
      </c>
    </row>
    <row r="1220" customFormat="false" ht="15" hidden="false" customHeight="false" outlineLevel="0" collapsed="false">
      <c r="A1220" s="13" t="s">
        <v>2490</v>
      </c>
      <c r="B1220" s="14" t="s">
        <v>2491</v>
      </c>
      <c r="C1220" s="15" t="n">
        <v>3810</v>
      </c>
      <c r="D1220" s="15" t="n">
        <v>5763</v>
      </c>
      <c r="E1220" s="13" t="s">
        <v>82</v>
      </c>
      <c r="F1220" s="15" t="str">
        <f aca="false">IF(C1220&gt;=J1220,"ja","nein")</f>
        <v>ja</v>
      </c>
      <c r="G1220" s="15" t="str">
        <f aca="false">IF(C1220&gt;=K1220,"ja","nein")</f>
        <v>ja</v>
      </c>
      <c r="H1220" s="15" t="str">
        <f aca="false">IF(C1220&gt;=L1220,"ja","nein")</f>
        <v>ja</v>
      </c>
      <c r="I1220" s="15" t="str">
        <f aca="false">IF(C1220&gt;=M1220,"ja","nein")</f>
        <v>ja</v>
      </c>
      <c r="J1220" s="15" t="n">
        <f aca="false">ROUND(Annahmen!$K$35*(1+Annahmen!$B$20*D1220/1000),0)</f>
        <v>1276</v>
      </c>
      <c r="K1220" s="15" t="n">
        <f aca="false">ROUND(Annahmen!$K$36*(1+Annahmen!$B$20*D1220/1000),0)</f>
        <v>1657</v>
      </c>
      <c r="L1220" s="15" t="n">
        <f aca="false">ROUND(Annahmen!$K$37*(1+Annahmen!$B$20*D1220/1000),0)</f>
        <v>1693</v>
      </c>
      <c r="M1220" s="15" t="n">
        <f aca="false">ROUND(Annahmen!$K$38*(1+Annahmen!$B$20*D1220/1000),0)</f>
        <v>1693</v>
      </c>
      <c r="N1220" s="16" t="s">
        <v>86</v>
      </c>
    </row>
    <row r="1221" customFormat="false" ht="15" hidden="false" customHeight="false" outlineLevel="0" collapsed="false">
      <c r="A1221" s="13" t="s">
        <v>2492</v>
      </c>
      <c r="B1221" s="14" t="s">
        <v>2493</v>
      </c>
      <c r="C1221" s="15" t="n">
        <v>3750</v>
      </c>
      <c r="D1221" s="15" t="n">
        <v>3125</v>
      </c>
      <c r="E1221" s="13" t="s">
        <v>82</v>
      </c>
      <c r="F1221" s="15" t="str">
        <f aca="false">IF(C1221&gt;=J1221,"ja","nein")</f>
        <v>ja</v>
      </c>
      <c r="G1221" s="15" t="str">
        <f aca="false">IF(C1221&gt;=K1221,"ja","nein")</f>
        <v>ja</v>
      </c>
      <c r="H1221" s="15" t="str">
        <f aca="false">IF(C1221&gt;=L1221,"ja","nein")</f>
        <v>ja</v>
      </c>
      <c r="I1221" s="15" t="str">
        <f aca="false">IF(C1221&gt;=M1221,"ja","nein")</f>
        <v>ja</v>
      </c>
      <c r="J1221" s="15" t="n">
        <f aca="false">ROUND(Annahmen!$K$35*(1+Annahmen!$B$20*D1221/1000),0)</f>
        <v>1076</v>
      </c>
      <c r="K1221" s="15" t="n">
        <f aca="false">ROUND(Annahmen!$K$36*(1+Annahmen!$B$20*D1221/1000),0)</f>
        <v>1398</v>
      </c>
      <c r="L1221" s="15" t="n">
        <f aca="false">ROUND(Annahmen!$K$37*(1+Annahmen!$B$20*D1221/1000),0)</f>
        <v>1429</v>
      </c>
      <c r="M1221" s="15" t="n">
        <f aca="false">ROUND(Annahmen!$K$38*(1+Annahmen!$B$20*D1221/1000),0)</f>
        <v>1429</v>
      </c>
      <c r="N1221" s="16" t="s">
        <v>83</v>
      </c>
    </row>
    <row r="1222" customFormat="false" ht="15" hidden="false" customHeight="false" outlineLevel="0" collapsed="false">
      <c r="A1222" s="13" t="s">
        <v>2494</v>
      </c>
      <c r="B1222" s="14" t="s">
        <v>2495</v>
      </c>
      <c r="C1222" s="15" t="n">
        <v>3551</v>
      </c>
      <c r="D1222" s="15" t="n">
        <v>4157</v>
      </c>
      <c r="E1222" s="13" t="s">
        <v>82</v>
      </c>
      <c r="F1222" s="15" t="str">
        <f aca="false">IF(C1222&gt;=J1222,"ja","nein")</f>
        <v>ja</v>
      </c>
      <c r="G1222" s="15" t="str">
        <f aca="false">IF(C1222&gt;=K1222,"ja","nein")</f>
        <v>ja</v>
      </c>
      <c r="H1222" s="15" t="str">
        <f aca="false">IF(C1222&gt;=L1222,"ja","nein")</f>
        <v>ja</v>
      </c>
      <c r="I1222" s="15" t="str">
        <f aca="false">IF(C1222&gt;=M1222,"ja","nein")</f>
        <v>ja</v>
      </c>
      <c r="J1222" s="15" t="n">
        <f aca="false">ROUND(Annahmen!$K$35*(1+Annahmen!$B$20*D1222/1000),0)</f>
        <v>1154</v>
      </c>
      <c r="K1222" s="15" t="n">
        <f aca="false">ROUND(Annahmen!$K$36*(1+Annahmen!$B$20*D1222/1000),0)</f>
        <v>1499</v>
      </c>
      <c r="L1222" s="15" t="n">
        <f aca="false">ROUND(Annahmen!$K$37*(1+Annahmen!$B$20*D1222/1000),0)</f>
        <v>1532</v>
      </c>
      <c r="M1222" s="15" t="n">
        <f aca="false">ROUND(Annahmen!$K$38*(1+Annahmen!$B$20*D1222/1000),0)</f>
        <v>1532</v>
      </c>
      <c r="N1222" s="16" t="s">
        <v>86</v>
      </c>
    </row>
    <row r="1223" customFormat="false" ht="15" hidden="false" customHeight="false" outlineLevel="0" collapsed="false">
      <c r="A1223" s="13" t="s">
        <v>2496</v>
      </c>
      <c r="B1223" s="14" t="s">
        <v>2497</v>
      </c>
      <c r="C1223" s="15" t="n">
        <v>3549</v>
      </c>
      <c r="D1223" s="15" t="n">
        <v>2251</v>
      </c>
      <c r="E1223" s="13" t="s">
        <v>82</v>
      </c>
      <c r="F1223" s="15" t="str">
        <f aca="false">IF(C1223&gt;=J1223,"ja","nein")</f>
        <v>ja</v>
      </c>
      <c r="G1223" s="15" t="str">
        <f aca="false">IF(C1223&gt;=K1223,"ja","nein")</f>
        <v>ja</v>
      </c>
      <c r="H1223" s="15" t="str">
        <f aca="false">IF(C1223&gt;=L1223,"ja","nein")</f>
        <v>ja</v>
      </c>
      <c r="I1223" s="15" t="str">
        <f aca="false">IF(C1223&gt;=M1223,"ja","nein")</f>
        <v>ja</v>
      </c>
      <c r="J1223" s="15" t="n">
        <f aca="false">ROUND(Annahmen!$K$35*(1+Annahmen!$B$20*D1223/1000),0)</f>
        <v>1010</v>
      </c>
      <c r="K1223" s="15" t="n">
        <f aca="false">ROUND(Annahmen!$K$36*(1+Annahmen!$B$20*D1223/1000),0)</f>
        <v>1312</v>
      </c>
      <c r="L1223" s="15" t="n">
        <f aca="false">ROUND(Annahmen!$K$37*(1+Annahmen!$B$20*D1223/1000),0)</f>
        <v>1341</v>
      </c>
      <c r="M1223" s="15" t="n">
        <f aca="false">ROUND(Annahmen!$K$38*(1+Annahmen!$B$20*D1223/1000),0)</f>
        <v>1341</v>
      </c>
      <c r="N1223" s="16" t="s">
        <v>86</v>
      </c>
    </row>
    <row r="1224" customFormat="false" ht="15" hidden="false" customHeight="false" outlineLevel="0" collapsed="false">
      <c r="A1224" s="13" t="s">
        <v>2498</v>
      </c>
      <c r="B1224" s="14" t="s">
        <v>2499</v>
      </c>
      <c r="C1224" s="15" t="n">
        <v>3540</v>
      </c>
      <c r="D1224" s="15" t="n">
        <v>312</v>
      </c>
      <c r="E1224" s="13" t="s">
        <v>82</v>
      </c>
      <c r="F1224" s="15" t="str">
        <f aca="false">IF(C1224&gt;=J1224,"ja","nein")</f>
        <v>ja</v>
      </c>
      <c r="G1224" s="15" t="str">
        <f aca="false">IF(C1224&gt;=K1224,"ja","nein")</f>
        <v>ja</v>
      </c>
      <c r="H1224" s="15" t="str">
        <f aca="false">IF(C1224&gt;=L1224,"ja","nein")</f>
        <v>ja</v>
      </c>
      <c r="I1224" s="15" t="str">
        <f aca="false">IF(C1224&gt;=M1224,"ja","nein")</f>
        <v>ja</v>
      </c>
      <c r="J1224" s="15" t="n">
        <f aca="false">ROUND(Annahmen!$K$35*(1+Annahmen!$B$20*D1224/1000),0)</f>
        <v>864</v>
      </c>
      <c r="K1224" s="15" t="n">
        <f aca="false">ROUND(Annahmen!$K$36*(1+Annahmen!$B$20*D1224/1000),0)</f>
        <v>1122</v>
      </c>
      <c r="L1224" s="15" t="n">
        <f aca="false">ROUND(Annahmen!$K$37*(1+Annahmen!$B$20*D1224/1000),0)</f>
        <v>1146</v>
      </c>
      <c r="M1224" s="15" t="n">
        <f aca="false">ROUND(Annahmen!$K$38*(1+Annahmen!$B$20*D1224/1000),0)</f>
        <v>1146</v>
      </c>
      <c r="N1224" s="16" t="s">
        <v>83</v>
      </c>
    </row>
    <row r="1225" customFormat="false" ht="15" hidden="false" customHeight="false" outlineLevel="0" collapsed="false">
      <c r="A1225" s="13" t="s">
        <v>2500</v>
      </c>
      <c r="B1225" s="14" t="s">
        <v>2501</v>
      </c>
      <c r="C1225" s="15" t="n">
        <v>3500</v>
      </c>
      <c r="D1225" s="15" t="n">
        <v>5889</v>
      </c>
      <c r="E1225" s="13" t="s">
        <v>82</v>
      </c>
      <c r="F1225" s="15" t="str">
        <f aca="false">IF(C1225&gt;=J1225,"ja","nein")</f>
        <v>ja</v>
      </c>
      <c r="G1225" s="15" t="str">
        <f aca="false">IF(C1225&gt;=K1225,"ja","nein")</f>
        <v>ja</v>
      </c>
      <c r="H1225" s="15" t="str">
        <f aca="false">IF(C1225&gt;=L1225,"ja","nein")</f>
        <v>ja</v>
      </c>
      <c r="I1225" s="15" t="str">
        <f aca="false">IF(C1225&gt;=M1225,"ja","nein")</f>
        <v>ja</v>
      </c>
      <c r="J1225" s="15" t="n">
        <f aca="false">ROUND(Annahmen!$K$35*(1+Annahmen!$B$20*D1225/1000),0)</f>
        <v>1285</v>
      </c>
      <c r="K1225" s="15" t="n">
        <f aca="false">ROUND(Annahmen!$K$36*(1+Annahmen!$B$20*D1225/1000),0)</f>
        <v>1669</v>
      </c>
      <c r="L1225" s="15" t="n">
        <f aca="false">ROUND(Annahmen!$K$37*(1+Annahmen!$B$20*D1225/1000),0)</f>
        <v>1706</v>
      </c>
      <c r="M1225" s="15" t="n">
        <f aca="false">ROUND(Annahmen!$K$38*(1+Annahmen!$B$20*D1225/1000),0)</f>
        <v>1706</v>
      </c>
      <c r="N1225" s="16" t="s">
        <v>86</v>
      </c>
    </row>
    <row r="1226" customFormat="false" ht="15" hidden="false" customHeight="false" outlineLevel="0" collapsed="false">
      <c r="A1226" s="13" t="s">
        <v>2502</v>
      </c>
      <c r="B1226" s="14" t="s">
        <v>2503</v>
      </c>
      <c r="C1226" s="15" t="n">
        <v>3500</v>
      </c>
      <c r="D1226" s="15" t="n">
        <v>35</v>
      </c>
      <c r="E1226" s="13" t="s">
        <v>82</v>
      </c>
      <c r="F1226" s="15" t="str">
        <f aca="false">IF(C1226&gt;=J1226,"ja","nein")</f>
        <v>ja</v>
      </c>
      <c r="G1226" s="15" t="str">
        <f aca="false">IF(C1226&gt;=K1226,"ja","nein")</f>
        <v>ja</v>
      </c>
      <c r="H1226" s="15" t="str">
        <f aca="false">IF(C1226&gt;=L1226,"ja","nein")</f>
        <v>ja</v>
      </c>
      <c r="I1226" s="15" t="str">
        <f aca="false">IF(C1226&gt;=M1226,"ja","nein")</f>
        <v>ja</v>
      </c>
      <c r="J1226" s="15" t="n">
        <f aca="false">ROUND(Annahmen!$K$35*(1+Annahmen!$B$20*D1226/1000),0)</f>
        <v>843</v>
      </c>
      <c r="K1226" s="15" t="n">
        <f aca="false">ROUND(Annahmen!$K$36*(1+Annahmen!$B$20*D1226/1000),0)</f>
        <v>1094</v>
      </c>
      <c r="L1226" s="15" t="n">
        <f aca="false">ROUND(Annahmen!$K$37*(1+Annahmen!$B$20*D1226/1000),0)</f>
        <v>1119</v>
      </c>
      <c r="M1226" s="15" t="n">
        <f aca="false">ROUND(Annahmen!$K$38*(1+Annahmen!$B$20*D1226/1000),0)</f>
        <v>1119</v>
      </c>
      <c r="N1226" s="16" t="s">
        <v>83</v>
      </c>
    </row>
    <row r="1227" customFormat="false" ht="15" hidden="false" customHeight="false" outlineLevel="0" collapsed="false">
      <c r="A1227" s="13" t="s">
        <v>2504</v>
      </c>
      <c r="B1227" s="14" t="s">
        <v>2505</v>
      </c>
      <c r="C1227" s="15" t="n">
        <v>3400</v>
      </c>
      <c r="D1227" s="15" t="n">
        <v>177</v>
      </c>
      <c r="E1227" s="13" t="s">
        <v>82</v>
      </c>
      <c r="F1227" s="15" t="str">
        <f aca="false">IF(C1227&gt;=J1227,"ja","nein")</f>
        <v>ja</v>
      </c>
      <c r="G1227" s="15" t="str">
        <f aca="false">IF(C1227&gt;=K1227,"ja","nein")</f>
        <v>ja</v>
      </c>
      <c r="H1227" s="15" t="str">
        <f aca="false">IF(C1227&gt;=L1227,"ja","nein")</f>
        <v>ja</v>
      </c>
      <c r="I1227" s="15" t="str">
        <f aca="false">IF(C1227&gt;=M1227,"ja","nein")</f>
        <v>ja</v>
      </c>
      <c r="J1227" s="15" t="n">
        <f aca="false">ROUND(Annahmen!$K$35*(1+Annahmen!$B$20*D1227/1000),0)</f>
        <v>853</v>
      </c>
      <c r="K1227" s="15" t="n">
        <f aca="false">ROUND(Annahmen!$K$36*(1+Annahmen!$B$20*D1227/1000),0)</f>
        <v>1108</v>
      </c>
      <c r="L1227" s="15" t="n">
        <f aca="false">ROUND(Annahmen!$K$37*(1+Annahmen!$B$20*D1227/1000),0)</f>
        <v>1133</v>
      </c>
      <c r="M1227" s="15" t="n">
        <f aca="false">ROUND(Annahmen!$K$38*(1+Annahmen!$B$20*D1227/1000),0)</f>
        <v>1133</v>
      </c>
      <c r="N1227" s="16" t="s">
        <v>83</v>
      </c>
    </row>
    <row r="1228" customFormat="false" ht="15" hidden="false" customHeight="false" outlineLevel="0" collapsed="false">
      <c r="A1228" s="13" t="s">
        <v>2506</v>
      </c>
      <c r="B1228" s="14" t="s">
        <v>2507</v>
      </c>
      <c r="C1228" s="15" t="n">
        <v>3400</v>
      </c>
      <c r="D1228" s="15" t="n">
        <v>3185</v>
      </c>
      <c r="E1228" s="13" t="s">
        <v>82</v>
      </c>
      <c r="F1228" s="15" t="str">
        <f aca="false">IF(C1228&gt;=J1228,"ja","nein")</f>
        <v>ja</v>
      </c>
      <c r="G1228" s="15" t="str">
        <f aca="false">IF(C1228&gt;=K1228,"ja","nein")</f>
        <v>ja</v>
      </c>
      <c r="H1228" s="15" t="str">
        <f aca="false">IF(C1228&gt;=L1228,"ja","nein")</f>
        <v>ja</v>
      </c>
      <c r="I1228" s="15" t="str">
        <f aca="false">IF(C1228&gt;=M1228,"ja","nein")</f>
        <v>ja</v>
      </c>
      <c r="J1228" s="15" t="n">
        <f aca="false">ROUND(Annahmen!$K$35*(1+Annahmen!$B$20*D1228/1000),0)</f>
        <v>1081</v>
      </c>
      <c r="K1228" s="15" t="n">
        <f aca="false">ROUND(Annahmen!$K$36*(1+Annahmen!$B$20*D1228/1000),0)</f>
        <v>1404</v>
      </c>
      <c r="L1228" s="15" t="n">
        <f aca="false">ROUND(Annahmen!$K$37*(1+Annahmen!$B$20*D1228/1000),0)</f>
        <v>1435</v>
      </c>
      <c r="M1228" s="15" t="n">
        <f aca="false">ROUND(Annahmen!$K$38*(1+Annahmen!$B$20*D1228/1000),0)</f>
        <v>1435</v>
      </c>
      <c r="N1228" s="16" t="s">
        <v>86</v>
      </c>
    </row>
    <row r="1229" customFormat="false" ht="15" hidden="false" customHeight="false" outlineLevel="0" collapsed="false">
      <c r="A1229" s="13" t="s">
        <v>2508</v>
      </c>
      <c r="B1229" s="14" t="s">
        <v>2509</v>
      </c>
      <c r="C1229" s="15" t="n">
        <v>3350</v>
      </c>
      <c r="D1229" s="15" t="n">
        <v>3392</v>
      </c>
      <c r="E1229" s="13" t="s">
        <v>82</v>
      </c>
      <c r="F1229" s="15" t="str">
        <f aca="false">IF(C1229&gt;=J1229,"ja","nein")</f>
        <v>ja</v>
      </c>
      <c r="G1229" s="15" t="str">
        <f aca="false">IF(C1229&gt;=K1229,"ja","nein")</f>
        <v>ja</v>
      </c>
      <c r="H1229" s="15" t="str">
        <f aca="false">IF(C1229&gt;=L1229,"ja","nein")</f>
        <v>ja</v>
      </c>
      <c r="I1229" s="15" t="str">
        <f aca="false">IF(C1229&gt;=M1229,"ja","nein")</f>
        <v>ja</v>
      </c>
      <c r="J1229" s="15" t="n">
        <f aca="false">ROUND(Annahmen!$K$35*(1+Annahmen!$B$20*D1229/1000),0)</f>
        <v>1096</v>
      </c>
      <c r="K1229" s="15" t="n">
        <f aca="false">ROUND(Annahmen!$K$36*(1+Annahmen!$B$20*D1229/1000),0)</f>
        <v>1424</v>
      </c>
      <c r="L1229" s="15" t="n">
        <f aca="false">ROUND(Annahmen!$K$37*(1+Annahmen!$B$20*D1229/1000),0)</f>
        <v>1455</v>
      </c>
      <c r="M1229" s="15" t="n">
        <f aca="false">ROUND(Annahmen!$K$38*(1+Annahmen!$B$20*D1229/1000),0)</f>
        <v>1455</v>
      </c>
      <c r="N1229" s="16" t="s">
        <v>83</v>
      </c>
    </row>
    <row r="1230" customFormat="false" ht="15" hidden="false" customHeight="false" outlineLevel="0" collapsed="false">
      <c r="A1230" s="13" t="s">
        <v>2510</v>
      </c>
      <c r="B1230" s="14" t="s">
        <v>2511</v>
      </c>
      <c r="C1230" s="15" t="n">
        <v>3350</v>
      </c>
      <c r="D1230" s="15" t="n">
        <v>2828</v>
      </c>
      <c r="E1230" s="13" t="s">
        <v>82</v>
      </c>
      <c r="F1230" s="15" t="str">
        <f aca="false">IF(C1230&gt;=J1230,"ja","nein")</f>
        <v>ja</v>
      </c>
      <c r="G1230" s="15" t="str">
        <f aca="false">IF(C1230&gt;=K1230,"ja","nein")</f>
        <v>ja</v>
      </c>
      <c r="H1230" s="15" t="str">
        <f aca="false">IF(C1230&gt;=L1230,"ja","nein")</f>
        <v>ja</v>
      </c>
      <c r="I1230" s="15" t="str">
        <f aca="false">IF(C1230&gt;=M1230,"ja","nein")</f>
        <v>ja</v>
      </c>
      <c r="J1230" s="15" t="n">
        <f aca="false">ROUND(Annahmen!$K$35*(1+Annahmen!$B$20*D1230/1000),0)</f>
        <v>1054</v>
      </c>
      <c r="K1230" s="15" t="n">
        <f aca="false">ROUND(Annahmen!$K$36*(1+Annahmen!$B$20*D1230/1000),0)</f>
        <v>1369</v>
      </c>
      <c r="L1230" s="15" t="n">
        <f aca="false">ROUND(Annahmen!$K$37*(1+Annahmen!$B$20*D1230/1000),0)</f>
        <v>1399</v>
      </c>
      <c r="M1230" s="15" t="n">
        <f aca="false">ROUND(Annahmen!$K$38*(1+Annahmen!$B$20*D1230/1000),0)</f>
        <v>1399</v>
      </c>
      <c r="N1230" s="16" t="s">
        <v>86</v>
      </c>
    </row>
    <row r="1231" customFormat="false" ht="15" hidden="false" customHeight="false" outlineLevel="0" collapsed="false">
      <c r="A1231" s="13" t="s">
        <v>2512</v>
      </c>
      <c r="B1231" s="14" t="s">
        <v>2513</v>
      </c>
      <c r="C1231" s="15" t="n">
        <v>3240</v>
      </c>
      <c r="D1231" s="15" t="n">
        <v>412</v>
      </c>
      <c r="E1231" s="13" t="s">
        <v>82</v>
      </c>
      <c r="F1231" s="15" t="str">
        <f aca="false">IF(C1231&gt;=J1231,"ja","nein")</f>
        <v>ja</v>
      </c>
      <c r="G1231" s="15" t="str">
        <f aca="false">IF(C1231&gt;=K1231,"ja","nein")</f>
        <v>ja</v>
      </c>
      <c r="H1231" s="15" t="str">
        <f aca="false">IF(C1231&gt;=L1231,"ja","nein")</f>
        <v>ja</v>
      </c>
      <c r="I1231" s="15" t="str">
        <f aca="false">IF(C1231&gt;=M1231,"ja","nein")</f>
        <v>ja</v>
      </c>
      <c r="J1231" s="15" t="n">
        <f aca="false">ROUND(Annahmen!$K$35*(1+Annahmen!$B$20*D1231/1000),0)</f>
        <v>871</v>
      </c>
      <c r="K1231" s="15" t="n">
        <f aca="false">ROUND(Annahmen!$K$36*(1+Annahmen!$B$20*D1231/1000),0)</f>
        <v>1131</v>
      </c>
      <c r="L1231" s="15" t="n">
        <f aca="false">ROUND(Annahmen!$K$37*(1+Annahmen!$B$20*D1231/1000),0)</f>
        <v>1156</v>
      </c>
      <c r="M1231" s="15" t="n">
        <f aca="false">ROUND(Annahmen!$K$38*(1+Annahmen!$B$20*D1231/1000),0)</f>
        <v>1156</v>
      </c>
      <c r="N1231" s="16" t="s">
        <v>83</v>
      </c>
    </row>
    <row r="1232" customFormat="false" ht="15" hidden="false" customHeight="false" outlineLevel="0" collapsed="false">
      <c r="A1232" s="13" t="s">
        <v>2514</v>
      </c>
      <c r="B1232" s="14" t="s">
        <v>2515</v>
      </c>
      <c r="C1232" s="15" t="n">
        <v>3200</v>
      </c>
      <c r="D1232" s="15" t="n">
        <v>6400</v>
      </c>
      <c r="E1232" s="13" t="s">
        <v>82</v>
      </c>
      <c r="F1232" s="15" t="str">
        <f aca="false">IF(C1232&gt;=J1232,"ja","nein")</f>
        <v>ja</v>
      </c>
      <c r="G1232" s="15" t="str">
        <f aca="false">IF(C1232&gt;=K1232,"ja","nein")</f>
        <v>ja</v>
      </c>
      <c r="H1232" s="15" t="str">
        <f aca="false">IF(C1232&gt;=L1232,"ja","nein")</f>
        <v>ja</v>
      </c>
      <c r="I1232" s="15" t="str">
        <f aca="false">IF(C1232&gt;=M1232,"ja","nein")</f>
        <v>ja</v>
      </c>
      <c r="J1232" s="15" t="n">
        <f aca="false">ROUND(Annahmen!$K$35*(1+Annahmen!$B$20*D1232/1000),0)</f>
        <v>1324</v>
      </c>
      <c r="K1232" s="15" t="n">
        <f aca="false">ROUND(Annahmen!$K$36*(1+Annahmen!$B$20*D1232/1000),0)</f>
        <v>1719</v>
      </c>
      <c r="L1232" s="15" t="n">
        <f aca="false">ROUND(Annahmen!$K$37*(1+Annahmen!$B$20*D1232/1000),0)</f>
        <v>1757</v>
      </c>
      <c r="M1232" s="15" t="n">
        <f aca="false">ROUND(Annahmen!$K$38*(1+Annahmen!$B$20*D1232/1000),0)</f>
        <v>1757</v>
      </c>
      <c r="N1232" s="16" t="s">
        <v>86</v>
      </c>
    </row>
    <row r="1233" customFormat="false" ht="15" hidden="false" customHeight="false" outlineLevel="0" collapsed="false">
      <c r="A1233" s="13" t="s">
        <v>2516</v>
      </c>
      <c r="B1233" s="14" t="s">
        <v>2517</v>
      </c>
      <c r="C1233" s="15" t="n">
        <v>3048</v>
      </c>
      <c r="D1233" s="15" t="n">
        <v>1822</v>
      </c>
      <c r="E1233" s="13" t="s">
        <v>82</v>
      </c>
      <c r="F1233" s="15" t="str">
        <f aca="false">IF(C1233&gt;=J1233,"ja","nein")</f>
        <v>ja</v>
      </c>
      <c r="G1233" s="15" t="str">
        <f aca="false">IF(C1233&gt;=K1233,"ja","nein")</f>
        <v>ja</v>
      </c>
      <c r="H1233" s="15" t="str">
        <f aca="false">IF(C1233&gt;=L1233,"ja","nein")</f>
        <v>ja</v>
      </c>
      <c r="I1233" s="15" t="str">
        <f aca="false">IF(C1233&gt;=M1233,"ja","nein")</f>
        <v>ja</v>
      </c>
      <c r="J1233" s="15" t="n">
        <f aca="false">ROUND(Annahmen!$K$35*(1+Annahmen!$B$20*D1233/1000),0)</f>
        <v>978</v>
      </c>
      <c r="K1233" s="15" t="n">
        <f aca="false">ROUND(Annahmen!$K$36*(1+Annahmen!$B$20*D1233/1000),0)</f>
        <v>1270</v>
      </c>
      <c r="L1233" s="15" t="n">
        <f aca="false">ROUND(Annahmen!$K$37*(1+Annahmen!$B$20*D1233/1000),0)</f>
        <v>1298</v>
      </c>
      <c r="M1233" s="15" t="n">
        <f aca="false">ROUND(Annahmen!$K$38*(1+Annahmen!$B$20*D1233/1000),0)</f>
        <v>1298</v>
      </c>
      <c r="N1233" s="16" t="s">
        <v>86</v>
      </c>
    </row>
    <row r="1234" customFormat="false" ht="15" hidden="false" customHeight="false" outlineLevel="0" collapsed="false">
      <c r="A1234" s="13" t="s">
        <v>2518</v>
      </c>
      <c r="B1234" s="14" t="s">
        <v>2519</v>
      </c>
      <c r="C1234" s="15" t="n">
        <v>3010</v>
      </c>
      <c r="D1234" s="15" t="n">
        <v>170</v>
      </c>
      <c r="E1234" s="13" t="s">
        <v>82</v>
      </c>
      <c r="F1234" s="15" t="str">
        <f aca="false">IF(C1234&gt;=J1234,"ja","nein")</f>
        <v>ja</v>
      </c>
      <c r="G1234" s="15" t="str">
        <f aca="false">IF(C1234&gt;=K1234,"ja","nein")</f>
        <v>ja</v>
      </c>
      <c r="H1234" s="15" t="str">
        <f aca="false">IF(C1234&gt;=L1234,"ja","nein")</f>
        <v>ja</v>
      </c>
      <c r="I1234" s="15" t="str">
        <f aca="false">IF(C1234&gt;=M1234,"ja","nein")</f>
        <v>ja</v>
      </c>
      <c r="J1234" s="15" t="n">
        <f aca="false">ROUND(Annahmen!$K$35*(1+Annahmen!$B$20*D1234/1000),0)</f>
        <v>853</v>
      </c>
      <c r="K1234" s="15" t="n">
        <f aca="false">ROUND(Annahmen!$K$36*(1+Annahmen!$B$20*D1234/1000),0)</f>
        <v>1108</v>
      </c>
      <c r="L1234" s="15" t="n">
        <f aca="false">ROUND(Annahmen!$K$37*(1+Annahmen!$B$20*D1234/1000),0)</f>
        <v>1132</v>
      </c>
      <c r="M1234" s="15" t="n">
        <f aca="false">ROUND(Annahmen!$K$38*(1+Annahmen!$B$20*D1234/1000),0)</f>
        <v>1132</v>
      </c>
      <c r="N1234" s="16" t="s">
        <v>86</v>
      </c>
    </row>
    <row r="1235" customFormat="false" ht="15" hidden="false" customHeight="false" outlineLevel="0" collapsed="false">
      <c r="A1235" s="13" t="s">
        <v>2520</v>
      </c>
      <c r="B1235" s="14" t="s">
        <v>2521</v>
      </c>
      <c r="C1235" s="15" t="n">
        <v>3002</v>
      </c>
      <c r="D1235" s="15" t="n">
        <v>11</v>
      </c>
      <c r="E1235" s="13" t="s">
        <v>82</v>
      </c>
      <c r="F1235" s="15" t="str">
        <f aca="false">IF(C1235&gt;=J1235,"ja","nein")</f>
        <v>ja</v>
      </c>
      <c r="G1235" s="15" t="str">
        <f aca="false">IF(C1235&gt;=K1235,"ja","nein")</f>
        <v>ja</v>
      </c>
      <c r="H1235" s="15" t="str">
        <f aca="false">IF(C1235&gt;=L1235,"ja","nein")</f>
        <v>ja</v>
      </c>
      <c r="I1235" s="15" t="str">
        <f aca="false">IF(C1235&gt;=M1235,"ja","nein")</f>
        <v>ja</v>
      </c>
      <c r="J1235" s="15" t="n">
        <f aca="false">ROUND(Annahmen!$K$35*(1+Annahmen!$B$20*D1235/1000),0)</f>
        <v>841</v>
      </c>
      <c r="K1235" s="15" t="n">
        <f aca="false">ROUND(Annahmen!$K$36*(1+Annahmen!$B$20*D1235/1000),0)</f>
        <v>1092</v>
      </c>
      <c r="L1235" s="15" t="n">
        <f aca="false">ROUND(Annahmen!$K$37*(1+Annahmen!$B$20*D1235/1000),0)</f>
        <v>1116</v>
      </c>
      <c r="M1235" s="15" t="n">
        <f aca="false">ROUND(Annahmen!$K$38*(1+Annahmen!$B$20*D1235/1000),0)</f>
        <v>1116</v>
      </c>
      <c r="N1235" s="16" t="s">
        <v>86</v>
      </c>
    </row>
    <row r="1236" customFormat="false" ht="15" hidden="false" customHeight="false" outlineLevel="0" collapsed="false">
      <c r="A1236" s="13" t="s">
        <v>2522</v>
      </c>
      <c r="B1236" s="14" t="s">
        <v>2523</v>
      </c>
      <c r="C1236" s="15" t="n">
        <v>3000</v>
      </c>
      <c r="D1236" s="15" t="n">
        <v>2315</v>
      </c>
      <c r="E1236" s="13" t="s">
        <v>82</v>
      </c>
      <c r="F1236" s="15" t="str">
        <f aca="false">IF(C1236&gt;=J1236,"ja","nein")</f>
        <v>ja</v>
      </c>
      <c r="G1236" s="15" t="str">
        <f aca="false">IF(C1236&gt;=K1236,"ja","nein")</f>
        <v>ja</v>
      </c>
      <c r="H1236" s="15" t="str">
        <f aca="false">IF(C1236&gt;=L1236,"ja","nein")</f>
        <v>ja</v>
      </c>
      <c r="I1236" s="15" t="str">
        <f aca="false">IF(C1236&gt;=M1236,"ja","nein")</f>
        <v>ja</v>
      </c>
      <c r="J1236" s="15" t="n">
        <f aca="false">ROUND(Annahmen!$K$35*(1+Annahmen!$B$20*D1236/1000),0)</f>
        <v>1015</v>
      </c>
      <c r="K1236" s="15" t="n">
        <f aca="false">ROUND(Annahmen!$K$36*(1+Annahmen!$B$20*D1236/1000),0)</f>
        <v>1318</v>
      </c>
      <c r="L1236" s="15" t="n">
        <f aca="false">ROUND(Annahmen!$K$37*(1+Annahmen!$B$20*D1236/1000),0)</f>
        <v>1347</v>
      </c>
      <c r="M1236" s="15" t="n">
        <f aca="false">ROUND(Annahmen!$K$38*(1+Annahmen!$B$20*D1236/1000),0)</f>
        <v>1347</v>
      </c>
      <c r="N1236" s="16" t="s">
        <v>83</v>
      </c>
    </row>
    <row r="1237" customFormat="false" ht="15" hidden="false" customHeight="false" outlineLevel="0" collapsed="false">
      <c r="A1237" s="13" t="s">
        <v>2524</v>
      </c>
      <c r="B1237" s="14" t="s">
        <v>2525</v>
      </c>
      <c r="C1237" s="15" t="n">
        <v>3000</v>
      </c>
      <c r="D1237" s="15" t="n">
        <v>3463</v>
      </c>
      <c r="E1237" s="13" t="s">
        <v>82</v>
      </c>
      <c r="F1237" s="15" t="str">
        <f aca="false">IF(C1237&gt;=J1237,"ja","nein")</f>
        <v>ja</v>
      </c>
      <c r="G1237" s="15" t="str">
        <f aca="false">IF(C1237&gt;=K1237,"ja","nein")</f>
        <v>ja</v>
      </c>
      <c r="H1237" s="15" t="str">
        <f aca="false">IF(C1237&gt;=L1237,"ja","nein")</f>
        <v>ja</v>
      </c>
      <c r="I1237" s="15" t="str">
        <f aca="false">IF(C1237&gt;=M1237,"ja","nein")</f>
        <v>ja</v>
      </c>
      <c r="J1237" s="15" t="n">
        <f aca="false">ROUND(Annahmen!$K$35*(1+Annahmen!$B$20*D1237/1000),0)</f>
        <v>1102</v>
      </c>
      <c r="K1237" s="15" t="n">
        <f aca="false">ROUND(Annahmen!$K$36*(1+Annahmen!$B$20*D1237/1000),0)</f>
        <v>1431</v>
      </c>
      <c r="L1237" s="15" t="n">
        <f aca="false">ROUND(Annahmen!$K$37*(1+Annahmen!$B$20*D1237/1000),0)</f>
        <v>1463</v>
      </c>
      <c r="M1237" s="15" t="n">
        <f aca="false">ROUND(Annahmen!$K$38*(1+Annahmen!$B$20*D1237/1000),0)</f>
        <v>1463</v>
      </c>
      <c r="N1237" s="16" t="s">
        <v>83</v>
      </c>
    </row>
    <row r="1238" customFormat="false" ht="15" hidden="false" customHeight="false" outlineLevel="0" collapsed="false">
      <c r="A1238" s="13" t="s">
        <v>2526</v>
      </c>
      <c r="B1238" s="14" t="s">
        <v>2527</v>
      </c>
      <c r="C1238" s="15" t="n">
        <v>3000</v>
      </c>
      <c r="D1238" s="15" t="n">
        <v>2795</v>
      </c>
      <c r="E1238" s="13" t="s">
        <v>82</v>
      </c>
      <c r="F1238" s="15" t="str">
        <f aca="false">IF(C1238&gt;=J1238,"ja","nein")</f>
        <v>ja</v>
      </c>
      <c r="G1238" s="15" t="str">
        <f aca="false">IF(C1238&gt;=K1238,"ja","nein")</f>
        <v>ja</v>
      </c>
      <c r="H1238" s="15" t="str">
        <f aca="false">IF(C1238&gt;=L1238,"ja","nein")</f>
        <v>ja</v>
      </c>
      <c r="I1238" s="15" t="str">
        <f aca="false">IF(C1238&gt;=M1238,"ja","nein")</f>
        <v>ja</v>
      </c>
      <c r="J1238" s="15" t="n">
        <f aca="false">ROUND(Annahmen!$K$35*(1+Annahmen!$B$20*D1238/1000),0)</f>
        <v>1051</v>
      </c>
      <c r="K1238" s="15" t="n">
        <f aca="false">ROUND(Annahmen!$K$36*(1+Annahmen!$B$20*D1238/1000),0)</f>
        <v>1365</v>
      </c>
      <c r="L1238" s="15" t="n">
        <f aca="false">ROUND(Annahmen!$K$37*(1+Annahmen!$B$20*D1238/1000),0)</f>
        <v>1395</v>
      </c>
      <c r="M1238" s="15" t="n">
        <f aca="false">ROUND(Annahmen!$K$38*(1+Annahmen!$B$20*D1238/1000),0)</f>
        <v>1395</v>
      </c>
      <c r="N1238" s="16" t="s">
        <v>86</v>
      </c>
    </row>
    <row r="1239" customFormat="false" ht="15" hidden="false" customHeight="false" outlineLevel="0" collapsed="false">
      <c r="A1239" s="13" t="s">
        <v>2528</v>
      </c>
      <c r="B1239" s="14" t="s">
        <v>2529</v>
      </c>
      <c r="C1239" s="15" t="n">
        <v>3000</v>
      </c>
      <c r="D1239" s="15" t="n">
        <v>3100</v>
      </c>
      <c r="E1239" s="13" t="s">
        <v>82</v>
      </c>
      <c r="F1239" s="15" t="str">
        <f aca="false">IF(C1239&gt;=J1239,"ja","nein")</f>
        <v>ja</v>
      </c>
      <c r="G1239" s="15" t="str">
        <f aca="false">IF(C1239&gt;=K1239,"ja","nein")</f>
        <v>ja</v>
      </c>
      <c r="H1239" s="15" t="str">
        <f aca="false">IF(C1239&gt;=L1239,"ja","nein")</f>
        <v>ja</v>
      </c>
      <c r="I1239" s="15" t="str">
        <f aca="false">IF(C1239&gt;=M1239,"ja","nein")</f>
        <v>ja</v>
      </c>
      <c r="J1239" s="15" t="n">
        <f aca="false">ROUND(Annahmen!$K$35*(1+Annahmen!$B$20*D1239/1000),0)</f>
        <v>1074</v>
      </c>
      <c r="K1239" s="15" t="n">
        <f aca="false">ROUND(Annahmen!$K$36*(1+Annahmen!$B$20*D1239/1000),0)</f>
        <v>1395</v>
      </c>
      <c r="L1239" s="15" t="n">
        <f aca="false">ROUND(Annahmen!$K$37*(1+Annahmen!$B$20*D1239/1000),0)</f>
        <v>1426</v>
      </c>
      <c r="M1239" s="15" t="n">
        <f aca="false">ROUND(Annahmen!$K$38*(1+Annahmen!$B$20*D1239/1000),0)</f>
        <v>1426</v>
      </c>
      <c r="N1239" s="16" t="s">
        <v>83</v>
      </c>
    </row>
    <row r="1240" customFormat="false" ht="15" hidden="false" customHeight="false" outlineLevel="0" collapsed="false">
      <c r="A1240" s="13" t="s">
        <v>2530</v>
      </c>
      <c r="B1240" s="14" t="s">
        <v>2531</v>
      </c>
      <c r="C1240" s="15" t="n">
        <v>3000</v>
      </c>
      <c r="D1240" s="15" t="n">
        <v>182</v>
      </c>
      <c r="E1240" s="13" t="s">
        <v>82</v>
      </c>
      <c r="F1240" s="15" t="str">
        <f aca="false">IF(C1240&gt;=J1240,"ja","nein")</f>
        <v>ja</v>
      </c>
      <c r="G1240" s="15" t="str">
        <f aca="false">IF(C1240&gt;=K1240,"ja","nein")</f>
        <v>ja</v>
      </c>
      <c r="H1240" s="15" t="str">
        <f aca="false">IF(C1240&gt;=L1240,"ja","nein")</f>
        <v>ja</v>
      </c>
      <c r="I1240" s="15" t="str">
        <f aca="false">IF(C1240&gt;=M1240,"ja","nein")</f>
        <v>ja</v>
      </c>
      <c r="J1240" s="15" t="n">
        <f aca="false">ROUND(Annahmen!$K$35*(1+Annahmen!$B$20*D1240/1000),0)</f>
        <v>854</v>
      </c>
      <c r="K1240" s="15" t="n">
        <f aca="false">ROUND(Annahmen!$K$36*(1+Annahmen!$B$20*D1240/1000),0)</f>
        <v>1109</v>
      </c>
      <c r="L1240" s="15" t="n">
        <f aca="false">ROUND(Annahmen!$K$37*(1+Annahmen!$B$20*D1240/1000),0)</f>
        <v>1133</v>
      </c>
      <c r="M1240" s="15" t="n">
        <f aca="false">ROUND(Annahmen!$K$38*(1+Annahmen!$B$20*D1240/1000),0)</f>
        <v>1133</v>
      </c>
      <c r="N1240" s="16" t="s">
        <v>86</v>
      </c>
    </row>
    <row r="1241" customFormat="false" ht="15" hidden="false" customHeight="false" outlineLevel="0" collapsed="false">
      <c r="A1241" s="13" t="s">
        <v>2532</v>
      </c>
      <c r="B1241" s="14" t="s">
        <v>2533</v>
      </c>
      <c r="C1241" s="15" t="n">
        <v>3000</v>
      </c>
      <c r="D1241" s="15" t="n">
        <v>20</v>
      </c>
      <c r="E1241" s="13" t="s">
        <v>82</v>
      </c>
      <c r="F1241" s="15" t="str">
        <f aca="false">IF(C1241&gt;=J1241,"ja","nein")</f>
        <v>ja</v>
      </c>
      <c r="G1241" s="15" t="str">
        <f aca="false">IF(C1241&gt;=K1241,"ja","nein")</f>
        <v>ja</v>
      </c>
      <c r="H1241" s="15" t="str">
        <f aca="false">IF(C1241&gt;=L1241,"ja","nein")</f>
        <v>ja</v>
      </c>
      <c r="I1241" s="15" t="str">
        <f aca="false">IF(C1241&gt;=M1241,"ja","nein")</f>
        <v>ja</v>
      </c>
      <c r="J1241" s="15" t="n">
        <f aca="false">ROUND(Annahmen!$K$35*(1+Annahmen!$B$20*D1241/1000),0)</f>
        <v>842</v>
      </c>
      <c r="K1241" s="15" t="n">
        <f aca="false">ROUND(Annahmen!$K$36*(1+Annahmen!$B$20*D1241/1000),0)</f>
        <v>1093</v>
      </c>
      <c r="L1241" s="15" t="n">
        <f aca="false">ROUND(Annahmen!$K$37*(1+Annahmen!$B$20*D1241/1000),0)</f>
        <v>1117</v>
      </c>
      <c r="M1241" s="15" t="n">
        <f aca="false">ROUND(Annahmen!$K$38*(1+Annahmen!$B$20*D1241/1000),0)</f>
        <v>1117</v>
      </c>
      <c r="N1241" s="16" t="s">
        <v>83</v>
      </c>
    </row>
    <row r="1242" customFormat="false" ht="15" hidden="false" customHeight="false" outlineLevel="0" collapsed="false">
      <c r="A1242" s="13" t="s">
        <v>2534</v>
      </c>
      <c r="B1242" s="14" t="s">
        <v>2535</v>
      </c>
      <c r="C1242" s="15" t="n">
        <v>3000</v>
      </c>
      <c r="D1242" s="15" t="n">
        <v>574</v>
      </c>
      <c r="E1242" s="13" t="s">
        <v>82</v>
      </c>
      <c r="F1242" s="15" t="str">
        <f aca="false">IF(C1242&gt;=J1242,"ja","nein")</f>
        <v>ja</v>
      </c>
      <c r="G1242" s="15" t="str">
        <f aca="false">IF(C1242&gt;=K1242,"ja","nein")</f>
        <v>ja</v>
      </c>
      <c r="H1242" s="15" t="str">
        <f aca="false">IF(C1242&gt;=L1242,"ja","nein")</f>
        <v>ja</v>
      </c>
      <c r="I1242" s="15" t="str">
        <f aca="false">IF(C1242&gt;=M1242,"ja","nein")</f>
        <v>ja</v>
      </c>
      <c r="J1242" s="15" t="n">
        <f aca="false">ROUND(Annahmen!$K$35*(1+Annahmen!$B$20*D1242/1000),0)</f>
        <v>883</v>
      </c>
      <c r="K1242" s="15" t="n">
        <f aca="false">ROUND(Annahmen!$K$36*(1+Annahmen!$B$20*D1242/1000),0)</f>
        <v>1147</v>
      </c>
      <c r="L1242" s="15" t="n">
        <f aca="false">ROUND(Annahmen!$K$37*(1+Annahmen!$B$20*D1242/1000),0)</f>
        <v>1173</v>
      </c>
      <c r="M1242" s="15" t="n">
        <f aca="false">ROUND(Annahmen!$K$38*(1+Annahmen!$B$20*D1242/1000),0)</f>
        <v>1173</v>
      </c>
      <c r="N1242" s="16" t="s">
        <v>86</v>
      </c>
    </row>
    <row r="1243" customFormat="false" ht="15" hidden="false" customHeight="false" outlineLevel="0" collapsed="false">
      <c r="A1243" s="13" t="s">
        <v>2536</v>
      </c>
      <c r="B1243" s="14" t="s">
        <v>2537</v>
      </c>
      <c r="C1243" s="15" t="n">
        <v>3000</v>
      </c>
      <c r="D1243" s="15" t="n">
        <v>3327</v>
      </c>
      <c r="E1243" s="13" t="s">
        <v>82</v>
      </c>
      <c r="F1243" s="15" t="str">
        <f aca="false">IF(C1243&gt;=J1243,"ja","nein")</f>
        <v>ja</v>
      </c>
      <c r="G1243" s="15" t="str">
        <f aca="false">IF(C1243&gt;=K1243,"ja","nein")</f>
        <v>ja</v>
      </c>
      <c r="H1243" s="15" t="str">
        <f aca="false">IF(C1243&gt;=L1243,"ja","nein")</f>
        <v>ja</v>
      </c>
      <c r="I1243" s="15" t="str">
        <f aca="false">IF(C1243&gt;=M1243,"ja","nein")</f>
        <v>ja</v>
      </c>
      <c r="J1243" s="15" t="n">
        <f aca="false">ROUND(Annahmen!$K$35*(1+Annahmen!$B$20*D1243/1000),0)</f>
        <v>1092</v>
      </c>
      <c r="K1243" s="15" t="n">
        <f aca="false">ROUND(Annahmen!$K$36*(1+Annahmen!$B$20*D1243/1000),0)</f>
        <v>1418</v>
      </c>
      <c r="L1243" s="15" t="n">
        <f aca="false">ROUND(Annahmen!$K$37*(1+Annahmen!$B$20*D1243/1000),0)</f>
        <v>1449</v>
      </c>
      <c r="M1243" s="15" t="n">
        <f aca="false">ROUND(Annahmen!$K$38*(1+Annahmen!$B$20*D1243/1000),0)</f>
        <v>1449</v>
      </c>
      <c r="N1243" s="16" t="s">
        <v>102</v>
      </c>
    </row>
    <row r="1244" customFormat="false" ht="15" hidden="false" customHeight="false" outlineLevel="0" collapsed="false">
      <c r="A1244" s="13" t="s">
        <v>2538</v>
      </c>
      <c r="B1244" s="14" t="s">
        <v>2539</v>
      </c>
      <c r="C1244" s="15" t="n">
        <v>3000</v>
      </c>
      <c r="D1244" s="15" t="n">
        <v>2927</v>
      </c>
      <c r="E1244" s="13" t="s">
        <v>82</v>
      </c>
      <c r="F1244" s="15" t="str">
        <f aca="false">IF(C1244&gt;=J1244,"ja","nein")</f>
        <v>ja</v>
      </c>
      <c r="G1244" s="15" t="str">
        <f aca="false">IF(C1244&gt;=K1244,"ja","nein")</f>
        <v>ja</v>
      </c>
      <c r="H1244" s="15" t="str">
        <f aca="false">IF(C1244&gt;=L1244,"ja","nein")</f>
        <v>ja</v>
      </c>
      <c r="I1244" s="15" t="str">
        <f aca="false">IF(C1244&gt;=M1244,"ja","nein")</f>
        <v>ja</v>
      </c>
      <c r="J1244" s="15" t="n">
        <f aca="false">ROUND(Annahmen!$K$35*(1+Annahmen!$B$20*D1244/1000),0)</f>
        <v>1061</v>
      </c>
      <c r="K1244" s="15" t="n">
        <f aca="false">ROUND(Annahmen!$K$36*(1+Annahmen!$B$20*D1244/1000),0)</f>
        <v>1378</v>
      </c>
      <c r="L1244" s="15" t="n">
        <f aca="false">ROUND(Annahmen!$K$37*(1+Annahmen!$B$20*D1244/1000),0)</f>
        <v>1409</v>
      </c>
      <c r="M1244" s="15" t="n">
        <f aca="false">ROUND(Annahmen!$K$38*(1+Annahmen!$B$20*D1244/1000),0)</f>
        <v>1409</v>
      </c>
      <c r="N1244" s="16" t="s">
        <v>86</v>
      </c>
    </row>
    <row r="1245" customFormat="false" ht="15" hidden="false" customHeight="false" outlineLevel="0" collapsed="false">
      <c r="A1245" s="13" t="s">
        <v>2540</v>
      </c>
      <c r="B1245" s="14" t="s">
        <v>2541</v>
      </c>
      <c r="C1245" s="15" t="n">
        <v>3000</v>
      </c>
      <c r="D1245" s="15" t="n">
        <v>3783</v>
      </c>
      <c r="E1245" s="13" t="s">
        <v>82</v>
      </c>
      <c r="F1245" s="15" t="str">
        <f aca="false">IF(C1245&gt;=J1245,"ja","nein")</f>
        <v>ja</v>
      </c>
      <c r="G1245" s="15" t="str">
        <f aca="false">IF(C1245&gt;=K1245,"ja","nein")</f>
        <v>ja</v>
      </c>
      <c r="H1245" s="15" t="str">
        <f aca="false">IF(C1245&gt;=L1245,"ja","nein")</f>
        <v>ja</v>
      </c>
      <c r="I1245" s="15" t="str">
        <f aca="false">IF(C1245&gt;=M1245,"ja","nein")</f>
        <v>ja</v>
      </c>
      <c r="J1245" s="15" t="n">
        <f aca="false">ROUND(Annahmen!$K$35*(1+Annahmen!$B$20*D1245/1000),0)</f>
        <v>1126</v>
      </c>
      <c r="K1245" s="15" t="n">
        <f aca="false">ROUND(Annahmen!$K$36*(1+Annahmen!$B$20*D1245/1000),0)</f>
        <v>1462</v>
      </c>
      <c r="L1245" s="15" t="n">
        <f aca="false">ROUND(Annahmen!$K$37*(1+Annahmen!$B$20*D1245/1000),0)</f>
        <v>1495</v>
      </c>
      <c r="M1245" s="15" t="n">
        <f aca="false">ROUND(Annahmen!$K$38*(1+Annahmen!$B$20*D1245/1000),0)</f>
        <v>1495</v>
      </c>
      <c r="N1245" s="16" t="s">
        <v>86</v>
      </c>
    </row>
    <row r="1246" customFormat="false" ht="15" hidden="false" customHeight="false" outlineLevel="0" collapsed="false">
      <c r="A1246" s="13" t="s">
        <v>2542</v>
      </c>
      <c r="B1246" s="14" t="s">
        <v>2543</v>
      </c>
      <c r="C1246" s="15" t="n">
        <v>3000</v>
      </c>
      <c r="D1246" s="15" t="n">
        <v>5462</v>
      </c>
      <c r="E1246" s="13" t="s">
        <v>82</v>
      </c>
      <c r="F1246" s="15" t="str">
        <f aca="false">IF(C1246&gt;=J1246,"ja","nein")</f>
        <v>ja</v>
      </c>
      <c r="G1246" s="15" t="str">
        <f aca="false">IF(C1246&gt;=K1246,"ja","nein")</f>
        <v>ja</v>
      </c>
      <c r="H1246" s="15" t="str">
        <f aca="false">IF(C1246&gt;=L1246,"ja","nein")</f>
        <v>ja</v>
      </c>
      <c r="I1246" s="15" t="str">
        <f aca="false">IF(C1246&gt;=M1246,"ja","nein")</f>
        <v>ja</v>
      </c>
      <c r="J1246" s="15" t="n">
        <f aca="false">ROUND(Annahmen!$K$35*(1+Annahmen!$B$20*D1246/1000),0)</f>
        <v>1253</v>
      </c>
      <c r="K1246" s="15" t="n">
        <f aca="false">ROUND(Annahmen!$K$36*(1+Annahmen!$B$20*D1246/1000),0)</f>
        <v>1627</v>
      </c>
      <c r="L1246" s="15" t="n">
        <f aca="false">ROUND(Annahmen!$K$37*(1+Annahmen!$B$20*D1246/1000),0)</f>
        <v>1663</v>
      </c>
      <c r="M1246" s="15" t="n">
        <f aca="false">ROUND(Annahmen!$K$38*(1+Annahmen!$B$20*D1246/1000),0)</f>
        <v>1663</v>
      </c>
      <c r="N1246" s="16" t="s">
        <v>86</v>
      </c>
    </row>
    <row r="1247" customFormat="false" ht="15" hidden="false" customHeight="false" outlineLevel="0" collapsed="false">
      <c r="A1247" s="13" t="s">
        <v>2544</v>
      </c>
      <c r="B1247" s="14" t="s">
        <v>2545</v>
      </c>
      <c r="C1247" s="15" t="n">
        <v>3000</v>
      </c>
      <c r="D1247" s="15" t="n">
        <v>3101</v>
      </c>
      <c r="E1247" s="13" t="s">
        <v>82</v>
      </c>
      <c r="F1247" s="15" t="str">
        <f aca="false">IF(C1247&gt;=J1247,"ja","nein")</f>
        <v>ja</v>
      </c>
      <c r="G1247" s="15" t="str">
        <f aca="false">IF(C1247&gt;=K1247,"ja","nein")</f>
        <v>ja</v>
      </c>
      <c r="H1247" s="15" t="str">
        <f aca="false">IF(C1247&gt;=L1247,"ja","nein")</f>
        <v>ja</v>
      </c>
      <c r="I1247" s="15" t="str">
        <f aca="false">IF(C1247&gt;=M1247,"ja","nein")</f>
        <v>ja</v>
      </c>
      <c r="J1247" s="15" t="n">
        <f aca="false">ROUND(Annahmen!$K$35*(1+Annahmen!$B$20*D1247/1000),0)</f>
        <v>1074</v>
      </c>
      <c r="K1247" s="15" t="n">
        <f aca="false">ROUND(Annahmen!$K$36*(1+Annahmen!$B$20*D1247/1000),0)</f>
        <v>1395</v>
      </c>
      <c r="L1247" s="15" t="n">
        <f aca="false">ROUND(Annahmen!$K$37*(1+Annahmen!$B$20*D1247/1000),0)</f>
        <v>1426</v>
      </c>
      <c r="M1247" s="15" t="n">
        <f aca="false">ROUND(Annahmen!$K$38*(1+Annahmen!$B$20*D1247/1000),0)</f>
        <v>1426</v>
      </c>
      <c r="N1247" s="16" t="s">
        <v>86</v>
      </c>
    </row>
    <row r="1248" customFormat="false" ht="15" hidden="false" customHeight="false" outlineLevel="0" collapsed="false">
      <c r="A1248" s="13" t="s">
        <v>2546</v>
      </c>
      <c r="B1248" s="14" t="s">
        <v>2547</v>
      </c>
      <c r="C1248" s="15" t="n">
        <v>3000</v>
      </c>
      <c r="D1248" s="15" t="n">
        <v>2038</v>
      </c>
      <c r="E1248" s="13" t="s">
        <v>82</v>
      </c>
      <c r="F1248" s="15" t="str">
        <f aca="false">IF(C1248&gt;=J1248,"ja","nein")</f>
        <v>ja</v>
      </c>
      <c r="G1248" s="15" t="str">
        <f aca="false">IF(C1248&gt;=K1248,"ja","nein")</f>
        <v>ja</v>
      </c>
      <c r="H1248" s="15" t="str">
        <f aca="false">IF(C1248&gt;=L1248,"ja","nein")</f>
        <v>ja</v>
      </c>
      <c r="I1248" s="15" t="str">
        <f aca="false">IF(C1248&gt;=M1248,"ja","nein")</f>
        <v>ja</v>
      </c>
      <c r="J1248" s="15" t="n">
        <f aca="false">ROUND(Annahmen!$K$35*(1+Annahmen!$B$20*D1248/1000),0)</f>
        <v>994</v>
      </c>
      <c r="K1248" s="15" t="n">
        <f aca="false">ROUND(Annahmen!$K$36*(1+Annahmen!$B$20*D1248/1000),0)</f>
        <v>1291</v>
      </c>
      <c r="L1248" s="15" t="n">
        <f aca="false">ROUND(Annahmen!$K$37*(1+Annahmen!$B$20*D1248/1000),0)</f>
        <v>1320</v>
      </c>
      <c r="M1248" s="15" t="n">
        <f aca="false">ROUND(Annahmen!$K$38*(1+Annahmen!$B$20*D1248/1000),0)</f>
        <v>1320</v>
      </c>
      <c r="N1248" s="16" t="s">
        <v>86</v>
      </c>
    </row>
    <row r="1249" customFormat="false" ht="15" hidden="false" customHeight="false" outlineLevel="0" collapsed="false">
      <c r="A1249" s="13" t="s">
        <v>2548</v>
      </c>
      <c r="B1249" s="14" t="s">
        <v>2549</v>
      </c>
      <c r="C1249" s="15" t="n">
        <v>3000</v>
      </c>
      <c r="D1249" s="15" t="n">
        <v>13</v>
      </c>
      <c r="E1249" s="13" t="s">
        <v>82</v>
      </c>
      <c r="F1249" s="15" t="str">
        <f aca="false">IF(C1249&gt;=J1249,"ja","nein")</f>
        <v>ja</v>
      </c>
      <c r="G1249" s="15" t="str">
        <f aca="false">IF(C1249&gt;=K1249,"ja","nein")</f>
        <v>ja</v>
      </c>
      <c r="H1249" s="15" t="str">
        <f aca="false">IF(C1249&gt;=L1249,"ja","nein")</f>
        <v>ja</v>
      </c>
      <c r="I1249" s="15" t="str">
        <f aca="false">IF(C1249&gt;=M1249,"ja","nein")</f>
        <v>ja</v>
      </c>
      <c r="J1249" s="15" t="n">
        <f aca="false">ROUND(Annahmen!$K$35*(1+Annahmen!$B$20*D1249/1000),0)</f>
        <v>841</v>
      </c>
      <c r="K1249" s="15" t="n">
        <f aca="false">ROUND(Annahmen!$K$36*(1+Annahmen!$B$20*D1249/1000),0)</f>
        <v>1092</v>
      </c>
      <c r="L1249" s="15" t="n">
        <f aca="false">ROUND(Annahmen!$K$37*(1+Annahmen!$B$20*D1249/1000),0)</f>
        <v>1116</v>
      </c>
      <c r="M1249" s="15" t="n">
        <f aca="false">ROUND(Annahmen!$K$38*(1+Annahmen!$B$20*D1249/1000),0)</f>
        <v>1116</v>
      </c>
      <c r="N1249" s="16" t="s">
        <v>102</v>
      </c>
    </row>
    <row r="1250" customFormat="false" ht="15" hidden="false" customHeight="false" outlineLevel="0" collapsed="false">
      <c r="A1250" s="13" t="s">
        <v>2550</v>
      </c>
      <c r="B1250" s="14" t="s">
        <v>2551</v>
      </c>
      <c r="C1250" s="15" t="n">
        <v>3000</v>
      </c>
      <c r="D1250" s="15" t="n">
        <v>2835</v>
      </c>
      <c r="E1250" s="13" t="s">
        <v>82</v>
      </c>
      <c r="F1250" s="15" t="str">
        <f aca="false">IF(C1250&gt;=J1250,"ja","nein")</f>
        <v>ja</v>
      </c>
      <c r="G1250" s="15" t="str">
        <f aca="false">IF(C1250&gt;=K1250,"ja","nein")</f>
        <v>ja</v>
      </c>
      <c r="H1250" s="15" t="str">
        <f aca="false">IF(C1250&gt;=L1250,"ja","nein")</f>
        <v>ja</v>
      </c>
      <c r="I1250" s="15" t="str">
        <f aca="false">IF(C1250&gt;=M1250,"ja","nein")</f>
        <v>ja</v>
      </c>
      <c r="J1250" s="15" t="n">
        <f aca="false">ROUND(Annahmen!$K$35*(1+Annahmen!$B$20*D1250/1000),0)</f>
        <v>1054</v>
      </c>
      <c r="K1250" s="15" t="n">
        <f aca="false">ROUND(Annahmen!$K$36*(1+Annahmen!$B$20*D1250/1000),0)</f>
        <v>1369</v>
      </c>
      <c r="L1250" s="15" t="n">
        <f aca="false">ROUND(Annahmen!$K$37*(1+Annahmen!$B$20*D1250/1000),0)</f>
        <v>1399</v>
      </c>
      <c r="M1250" s="15" t="n">
        <f aca="false">ROUND(Annahmen!$K$38*(1+Annahmen!$B$20*D1250/1000),0)</f>
        <v>1399</v>
      </c>
      <c r="N1250" s="16" t="s">
        <v>86</v>
      </c>
    </row>
    <row r="1251" customFormat="false" ht="15" hidden="false" customHeight="false" outlineLevel="0" collapsed="false">
      <c r="A1251" s="13" t="s">
        <v>2552</v>
      </c>
      <c r="B1251" s="14" t="s">
        <v>2553</v>
      </c>
      <c r="C1251" s="15" t="n">
        <v>3000</v>
      </c>
      <c r="D1251" s="15" t="n">
        <v>50</v>
      </c>
      <c r="E1251" s="13" t="s">
        <v>82</v>
      </c>
      <c r="F1251" s="15" t="str">
        <f aca="false">IF(C1251&gt;=J1251,"ja","nein")</f>
        <v>ja</v>
      </c>
      <c r="G1251" s="15" t="str">
        <f aca="false">IF(C1251&gt;=K1251,"ja","nein")</f>
        <v>ja</v>
      </c>
      <c r="H1251" s="15" t="str">
        <f aca="false">IF(C1251&gt;=L1251,"ja","nein")</f>
        <v>ja</v>
      </c>
      <c r="I1251" s="15" t="str">
        <f aca="false">IF(C1251&gt;=M1251,"ja","nein")</f>
        <v>ja</v>
      </c>
      <c r="J1251" s="15" t="n">
        <f aca="false">ROUND(Annahmen!$K$35*(1+Annahmen!$B$20*D1251/1000),0)</f>
        <v>844</v>
      </c>
      <c r="K1251" s="15" t="n">
        <f aca="false">ROUND(Annahmen!$K$36*(1+Annahmen!$B$20*D1251/1000),0)</f>
        <v>1096</v>
      </c>
      <c r="L1251" s="15" t="n">
        <f aca="false">ROUND(Annahmen!$K$37*(1+Annahmen!$B$20*D1251/1000),0)</f>
        <v>1120</v>
      </c>
      <c r="M1251" s="15" t="n">
        <f aca="false">ROUND(Annahmen!$K$38*(1+Annahmen!$B$20*D1251/1000),0)</f>
        <v>1120</v>
      </c>
      <c r="N1251" s="16" t="s">
        <v>83</v>
      </c>
    </row>
    <row r="1252" customFormat="false" ht="15" hidden="false" customHeight="false" outlineLevel="0" collapsed="false">
      <c r="A1252" s="13" t="s">
        <v>2554</v>
      </c>
      <c r="B1252" s="14" t="s">
        <v>2555</v>
      </c>
      <c r="C1252" s="15" t="n">
        <v>3000</v>
      </c>
      <c r="D1252" s="15" t="n">
        <v>21</v>
      </c>
      <c r="E1252" s="13" t="s">
        <v>82</v>
      </c>
      <c r="F1252" s="15" t="str">
        <f aca="false">IF(C1252&gt;=J1252,"ja","nein")</f>
        <v>ja</v>
      </c>
      <c r="G1252" s="15" t="str">
        <f aca="false">IF(C1252&gt;=K1252,"ja","nein")</f>
        <v>ja</v>
      </c>
      <c r="H1252" s="15" t="str">
        <f aca="false">IF(C1252&gt;=L1252,"ja","nein")</f>
        <v>ja</v>
      </c>
      <c r="I1252" s="15" t="str">
        <f aca="false">IF(C1252&gt;=M1252,"ja","nein")</f>
        <v>ja</v>
      </c>
      <c r="J1252" s="15" t="n">
        <f aca="false">ROUND(Annahmen!$K$35*(1+Annahmen!$B$20*D1252/1000),0)</f>
        <v>842</v>
      </c>
      <c r="K1252" s="15" t="n">
        <f aca="false">ROUND(Annahmen!$K$36*(1+Annahmen!$B$20*D1252/1000),0)</f>
        <v>1093</v>
      </c>
      <c r="L1252" s="15" t="n">
        <f aca="false">ROUND(Annahmen!$K$37*(1+Annahmen!$B$20*D1252/1000),0)</f>
        <v>1117</v>
      </c>
      <c r="M1252" s="15" t="n">
        <f aca="false">ROUND(Annahmen!$K$38*(1+Annahmen!$B$20*D1252/1000),0)</f>
        <v>1117</v>
      </c>
      <c r="N1252" s="16" t="s">
        <v>83</v>
      </c>
    </row>
    <row r="1253" customFormat="false" ht="15" hidden="false" customHeight="false" outlineLevel="0" collapsed="false">
      <c r="A1253" s="13" t="s">
        <v>2556</v>
      </c>
      <c r="B1253" s="14" t="s">
        <v>2557</v>
      </c>
      <c r="C1253" s="15" t="n">
        <v>3000</v>
      </c>
      <c r="D1253" s="15" t="n">
        <v>18</v>
      </c>
      <c r="E1253" s="13" t="s">
        <v>82</v>
      </c>
      <c r="F1253" s="15" t="str">
        <f aca="false">IF(C1253&gt;=J1253,"ja","nein")</f>
        <v>ja</v>
      </c>
      <c r="G1253" s="15" t="str">
        <f aca="false">IF(C1253&gt;=K1253,"ja","nein")</f>
        <v>ja</v>
      </c>
      <c r="H1253" s="15" t="str">
        <f aca="false">IF(C1253&gt;=L1253,"ja","nein")</f>
        <v>ja</v>
      </c>
      <c r="I1253" s="15" t="str">
        <f aca="false">IF(C1253&gt;=M1253,"ja","nein")</f>
        <v>ja</v>
      </c>
      <c r="J1253" s="15" t="n">
        <f aca="false">ROUND(Annahmen!$K$35*(1+Annahmen!$B$20*D1253/1000),0)</f>
        <v>841</v>
      </c>
      <c r="K1253" s="15" t="n">
        <f aca="false">ROUND(Annahmen!$K$36*(1+Annahmen!$B$20*D1253/1000),0)</f>
        <v>1093</v>
      </c>
      <c r="L1253" s="15" t="n">
        <f aca="false">ROUND(Annahmen!$K$37*(1+Annahmen!$B$20*D1253/1000),0)</f>
        <v>1117</v>
      </c>
      <c r="M1253" s="15" t="n">
        <f aca="false">ROUND(Annahmen!$K$38*(1+Annahmen!$B$20*D1253/1000),0)</f>
        <v>1117</v>
      </c>
      <c r="N1253" s="16" t="s">
        <v>86</v>
      </c>
    </row>
    <row r="1254" customFormat="false" ht="15" hidden="false" customHeight="false" outlineLevel="0" collapsed="false">
      <c r="A1254" s="13" t="s">
        <v>2558</v>
      </c>
      <c r="B1254" s="14" t="s">
        <v>2559</v>
      </c>
      <c r="C1254" s="15" t="n">
        <v>3000</v>
      </c>
      <c r="D1254" s="15" t="n">
        <v>16</v>
      </c>
      <c r="E1254" s="13" t="s">
        <v>82</v>
      </c>
      <c r="F1254" s="15" t="str">
        <f aca="false">IF(C1254&gt;=J1254,"ja","nein")</f>
        <v>ja</v>
      </c>
      <c r="G1254" s="15" t="str">
        <f aca="false">IF(C1254&gt;=K1254,"ja","nein")</f>
        <v>ja</v>
      </c>
      <c r="H1254" s="15" t="str">
        <f aca="false">IF(C1254&gt;=L1254,"ja","nein")</f>
        <v>ja</v>
      </c>
      <c r="I1254" s="15" t="str">
        <f aca="false">IF(C1254&gt;=M1254,"ja","nein")</f>
        <v>ja</v>
      </c>
      <c r="J1254" s="15" t="n">
        <f aca="false">ROUND(Annahmen!$K$35*(1+Annahmen!$B$20*D1254/1000),0)</f>
        <v>841</v>
      </c>
      <c r="K1254" s="15" t="n">
        <f aca="false">ROUND(Annahmen!$K$36*(1+Annahmen!$B$20*D1254/1000),0)</f>
        <v>1093</v>
      </c>
      <c r="L1254" s="15" t="n">
        <f aca="false">ROUND(Annahmen!$K$37*(1+Annahmen!$B$20*D1254/1000),0)</f>
        <v>1117</v>
      </c>
      <c r="M1254" s="15" t="n">
        <f aca="false">ROUND(Annahmen!$K$38*(1+Annahmen!$B$20*D1254/1000),0)</f>
        <v>1117</v>
      </c>
      <c r="N1254" s="16" t="s">
        <v>83</v>
      </c>
    </row>
    <row r="1255" customFormat="false" ht="15" hidden="false" customHeight="false" outlineLevel="0" collapsed="false">
      <c r="A1255" s="13" t="s">
        <v>2560</v>
      </c>
      <c r="B1255" s="14" t="s">
        <v>2561</v>
      </c>
      <c r="C1255" s="15" t="n">
        <v>2993</v>
      </c>
      <c r="D1255" s="15" t="n">
        <v>764</v>
      </c>
      <c r="E1255" s="13" t="s">
        <v>82</v>
      </c>
      <c r="F1255" s="15" t="str">
        <f aca="false">IF(C1255&gt;=J1255,"ja","nein")</f>
        <v>ja</v>
      </c>
      <c r="G1255" s="15" t="str">
        <f aca="false">IF(C1255&gt;=K1255,"ja","nein")</f>
        <v>ja</v>
      </c>
      <c r="H1255" s="15" t="str">
        <f aca="false">IF(C1255&gt;=L1255,"ja","nein")</f>
        <v>ja</v>
      </c>
      <c r="I1255" s="15" t="str">
        <f aca="false">IF(C1255&gt;=M1255,"ja","nein")</f>
        <v>ja</v>
      </c>
      <c r="J1255" s="15" t="n">
        <f aca="false">ROUND(Annahmen!$K$35*(1+Annahmen!$B$20*D1255/1000),0)</f>
        <v>898</v>
      </c>
      <c r="K1255" s="15" t="n">
        <f aca="false">ROUND(Annahmen!$K$36*(1+Annahmen!$B$20*D1255/1000),0)</f>
        <v>1166</v>
      </c>
      <c r="L1255" s="15" t="n">
        <f aca="false">ROUND(Annahmen!$K$37*(1+Annahmen!$B$20*D1255/1000),0)</f>
        <v>1192</v>
      </c>
      <c r="M1255" s="15" t="n">
        <f aca="false">ROUND(Annahmen!$K$38*(1+Annahmen!$B$20*D1255/1000),0)</f>
        <v>1192</v>
      </c>
      <c r="N1255" s="16" t="s">
        <v>86</v>
      </c>
    </row>
    <row r="1256" customFormat="false" ht="15" hidden="false" customHeight="false" outlineLevel="0" collapsed="false">
      <c r="A1256" s="13" t="s">
        <v>2562</v>
      </c>
      <c r="B1256" s="14" t="s">
        <v>2563</v>
      </c>
      <c r="C1256" s="15" t="n">
        <v>2990</v>
      </c>
      <c r="D1256" s="15" t="n">
        <v>340</v>
      </c>
      <c r="E1256" s="13" t="s">
        <v>82</v>
      </c>
      <c r="F1256" s="15" t="str">
        <f aca="false">IF(C1256&gt;=J1256,"ja","nein")</f>
        <v>ja</v>
      </c>
      <c r="G1256" s="15" t="str">
        <f aca="false">IF(C1256&gt;=K1256,"ja","nein")</f>
        <v>ja</v>
      </c>
      <c r="H1256" s="15" t="str">
        <f aca="false">IF(C1256&gt;=L1256,"ja","nein")</f>
        <v>ja</v>
      </c>
      <c r="I1256" s="15" t="str">
        <f aca="false">IF(C1256&gt;=M1256,"ja","nein")</f>
        <v>ja</v>
      </c>
      <c r="J1256" s="15" t="n">
        <f aca="false">ROUND(Annahmen!$K$35*(1+Annahmen!$B$20*D1256/1000),0)</f>
        <v>866</v>
      </c>
      <c r="K1256" s="15" t="n">
        <f aca="false">ROUND(Annahmen!$K$36*(1+Annahmen!$B$20*D1256/1000),0)</f>
        <v>1124</v>
      </c>
      <c r="L1256" s="15" t="n">
        <f aca="false">ROUND(Annahmen!$K$37*(1+Annahmen!$B$20*D1256/1000),0)</f>
        <v>1149</v>
      </c>
      <c r="M1256" s="15" t="n">
        <f aca="false">ROUND(Annahmen!$K$38*(1+Annahmen!$B$20*D1256/1000),0)</f>
        <v>1149</v>
      </c>
      <c r="N1256" s="16" t="s">
        <v>86</v>
      </c>
    </row>
    <row r="1257" customFormat="false" ht="15" hidden="false" customHeight="false" outlineLevel="0" collapsed="false">
      <c r="A1257" s="13" t="s">
        <v>2564</v>
      </c>
      <c r="B1257" s="14" t="s">
        <v>2565</v>
      </c>
      <c r="C1257" s="15" t="n">
        <v>2926</v>
      </c>
      <c r="D1257" s="15" t="n">
        <v>1758</v>
      </c>
      <c r="E1257" s="13" t="s">
        <v>82</v>
      </c>
      <c r="F1257" s="15" t="str">
        <f aca="false">IF(C1257&gt;=J1257,"ja","nein")</f>
        <v>ja</v>
      </c>
      <c r="G1257" s="15" t="str">
        <f aca="false">IF(C1257&gt;=K1257,"ja","nein")</f>
        <v>ja</v>
      </c>
      <c r="H1257" s="15" t="str">
        <f aca="false">IF(C1257&gt;=L1257,"ja","nein")</f>
        <v>ja</v>
      </c>
      <c r="I1257" s="15" t="str">
        <f aca="false">IF(C1257&gt;=M1257,"ja","nein")</f>
        <v>ja</v>
      </c>
      <c r="J1257" s="15" t="n">
        <f aca="false">ROUND(Annahmen!$K$35*(1+Annahmen!$B$20*D1257/1000),0)</f>
        <v>973</v>
      </c>
      <c r="K1257" s="15" t="n">
        <f aca="false">ROUND(Annahmen!$K$36*(1+Annahmen!$B$20*D1257/1000),0)</f>
        <v>1264</v>
      </c>
      <c r="L1257" s="15" t="n">
        <f aca="false">ROUND(Annahmen!$K$37*(1+Annahmen!$B$20*D1257/1000),0)</f>
        <v>1291</v>
      </c>
      <c r="M1257" s="15" t="n">
        <f aca="false">ROUND(Annahmen!$K$38*(1+Annahmen!$B$20*D1257/1000),0)</f>
        <v>1291</v>
      </c>
      <c r="N1257" s="16" t="s">
        <v>102</v>
      </c>
    </row>
    <row r="1258" customFormat="false" ht="15" hidden="false" customHeight="false" outlineLevel="0" collapsed="false">
      <c r="A1258" s="13" t="s">
        <v>2566</v>
      </c>
      <c r="B1258" s="14" t="s">
        <v>2567</v>
      </c>
      <c r="C1258" s="15" t="n">
        <v>2750</v>
      </c>
      <c r="D1258" s="15" t="n">
        <v>65</v>
      </c>
      <c r="E1258" s="13" t="s">
        <v>82</v>
      </c>
      <c r="F1258" s="15" t="str">
        <f aca="false">IF(C1258&gt;=J1258,"ja","nein")</f>
        <v>ja</v>
      </c>
      <c r="G1258" s="15" t="str">
        <f aca="false">IF(C1258&gt;=K1258,"ja","nein")</f>
        <v>ja</v>
      </c>
      <c r="H1258" s="15" t="str">
        <f aca="false">IF(C1258&gt;=L1258,"ja","nein")</f>
        <v>ja</v>
      </c>
      <c r="I1258" s="15" t="str">
        <f aca="false">IF(C1258&gt;=M1258,"ja","nein")</f>
        <v>ja</v>
      </c>
      <c r="J1258" s="15" t="n">
        <f aca="false">ROUND(Annahmen!$K$35*(1+Annahmen!$B$20*D1258/1000),0)</f>
        <v>845</v>
      </c>
      <c r="K1258" s="15" t="n">
        <f aca="false">ROUND(Annahmen!$K$36*(1+Annahmen!$B$20*D1258/1000),0)</f>
        <v>1097</v>
      </c>
      <c r="L1258" s="15" t="n">
        <f aca="false">ROUND(Annahmen!$K$37*(1+Annahmen!$B$20*D1258/1000),0)</f>
        <v>1122</v>
      </c>
      <c r="M1258" s="15" t="n">
        <f aca="false">ROUND(Annahmen!$K$38*(1+Annahmen!$B$20*D1258/1000),0)</f>
        <v>1122</v>
      </c>
      <c r="N1258" s="16" t="s">
        <v>83</v>
      </c>
    </row>
    <row r="1259" customFormat="false" ht="15" hidden="false" customHeight="false" outlineLevel="0" collapsed="false">
      <c r="A1259" s="13" t="s">
        <v>2568</v>
      </c>
      <c r="B1259" s="14" t="s">
        <v>2569</v>
      </c>
      <c r="C1259" s="15" t="n">
        <v>2750</v>
      </c>
      <c r="D1259" s="15" t="n">
        <v>5480</v>
      </c>
      <c r="E1259" s="13" t="s">
        <v>82</v>
      </c>
      <c r="F1259" s="15" t="str">
        <f aca="false">IF(C1259&gt;=J1259,"ja","nein")</f>
        <v>ja</v>
      </c>
      <c r="G1259" s="15" t="str">
        <f aca="false">IF(C1259&gt;=K1259,"ja","nein")</f>
        <v>ja</v>
      </c>
      <c r="H1259" s="15" t="str">
        <f aca="false">IF(C1259&gt;=L1259,"ja","nein")</f>
        <v>ja</v>
      </c>
      <c r="I1259" s="15" t="str">
        <f aca="false">IF(C1259&gt;=M1259,"ja","nein")</f>
        <v>ja</v>
      </c>
      <c r="J1259" s="15" t="n">
        <f aca="false">ROUND(Annahmen!$K$35*(1+Annahmen!$B$20*D1259/1000),0)</f>
        <v>1254</v>
      </c>
      <c r="K1259" s="15" t="n">
        <f aca="false">ROUND(Annahmen!$K$36*(1+Annahmen!$B$20*D1259/1000),0)</f>
        <v>1629</v>
      </c>
      <c r="L1259" s="15" t="n">
        <f aca="false">ROUND(Annahmen!$K$37*(1+Annahmen!$B$20*D1259/1000),0)</f>
        <v>1665</v>
      </c>
      <c r="M1259" s="15" t="n">
        <f aca="false">ROUND(Annahmen!$K$38*(1+Annahmen!$B$20*D1259/1000),0)</f>
        <v>1665</v>
      </c>
      <c r="N1259" s="16" t="s">
        <v>86</v>
      </c>
    </row>
    <row r="1260" customFormat="false" ht="15" hidden="false" customHeight="false" outlineLevel="0" collapsed="false">
      <c r="A1260" s="13" t="s">
        <v>2570</v>
      </c>
      <c r="B1260" s="14" t="s">
        <v>2571</v>
      </c>
      <c r="C1260" s="15" t="n">
        <v>2700</v>
      </c>
      <c r="D1260" s="15" t="n">
        <v>1859</v>
      </c>
      <c r="E1260" s="13" t="s">
        <v>82</v>
      </c>
      <c r="F1260" s="15" t="str">
        <f aca="false">IF(C1260&gt;=J1260,"ja","nein")</f>
        <v>ja</v>
      </c>
      <c r="G1260" s="15" t="str">
        <f aca="false">IF(C1260&gt;=K1260,"ja","nein")</f>
        <v>ja</v>
      </c>
      <c r="H1260" s="15" t="str">
        <f aca="false">IF(C1260&gt;=L1260,"ja","nein")</f>
        <v>ja</v>
      </c>
      <c r="I1260" s="15" t="str">
        <f aca="false">IF(C1260&gt;=M1260,"ja","nein")</f>
        <v>ja</v>
      </c>
      <c r="J1260" s="15" t="n">
        <f aca="false">ROUND(Annahmen!$K$35*(1+Annahmen!$B$20*D1260/1000),0)</f>
        <v>981</v>
      </c>
      <c r="K1260" s="15" t="n">
        <f aca="false">ROUND(Annahmen!$K$36*(1+Annahmen!$B$20*D1260/1000),0)</f>
        <v>1274</v>
      </c>
      <c r="L1260" s="15" t="n">
        <f aca="false">ROUND(Annahmen!$K$37*(1+Annahmen!$B$20*D1260/1000),0)</f>
        <v>1302</v>
      </c>
      <c r="M1260" s="15" t="n">
        <f aca="false">ROUND(Annahmen!$K$38*(1+Annahmen!$B$20*D1260/1000),0)</f>
        <v>1302</v>
      </c>
      <c r="N1260" s="16" t="s">
        <v>86</v>
      </c>
    </row>
    <row r="1261" customFormat="false" ht="15" hidden="false" customHeight="false" outlineLevel="0" collapsed="false">
      <c r="A1261" s="13" t="s">
        <v>2572</v>
      </c>
      <c r="B1261" s="14" t="s">
        <v>2573</v>
      </c>
      <c r="C1261" s="15" t="n">
        <v>2640</v>
      </c>
      <c r="D1261" s="15" t="n">
        <v>104</v>
      </c>
      <c r="E1261" s="13" t="s">
        <v>82</v>
      </c>
      <c r="F1261" s="15" t="str">
        <f aca="false">IF(C1261&gt;=J1261,"ja","nein")</f>
        <v>ja</v>
      </c>
      <c r="G1261" s="15" t="str">
        <f aca="false">IF(C1261&gt;=K1261,"ja","nein")</f>
        <v>ja</v>
      </c>
      <c r="H1261" s="15" t="str">
        <f aca="false">IF(C1261&gt;=L1261,"ja","nein")</f>
        <v>ja</v>
      </c>
      <c r="I1261" s="15" t="str">
        <f aca="false">IF(C1261&gt;=M1261,"ja","nein")</f>
        <v>ja</v>
      </c>
      <c r="J1261" s="15" t="n">
        <f aca="false">ROUND(Annahmen!$K$35*(1+Annahmen!$B$20*D1261/1000),0)</f>
        <v>848</v>
      </c>
      <c r="K1261" s="15" t="n">
        <f aca="false">ROUND(Annahmen!$K$36*(1+Annahmen!$B$20*D1261/1000),0)</f>
        <v>1101</v>
      </c>
      <c r="L1261" s="15" t="n">
        <f aca="false">ROUND(Annahmen!$K$37*(1+Annahmen!$B$20*D1261/1000),0)</f>
        <v>1125</v>
      </c>
      <c r="M1261" s="15" t="n">
        <f aca="false">ROUND(Annahmen!$K$38*(1+Annahmen!$B$20*D1261/1000),0)</f>
        <v>1125</v>
      </c>
      <c r="N1261" s="16" t="s">
        <v>86</v>
      </c>
    </row>
    <row r="1262" customFormat="false" ht="15" hidden="false" customHeight="false" outlineLevel="0" collapsed="false">
      <c r="A1262" s="13" t="s">
        <v>2574</v>
      </c>
      <c r="B1262" s="14" t="s">
        <v>2575</v>
      </c>
      <c r="C1262" s="15" t="n">
        <v>2600</v>
      </c>
      <c r="D1262" s="15" t="n">
        <v>163</v>
      </c>
      <c r="E1262" s="13" t="s">
        <v>82</v>
      </c>
      <c r="F1262" s="15" t="str">
        <f aca="false">IF(C1262&gt;=J1262,"ja","nein")</f>
        <v>ja</v>
      </c>
      <c r="G1262" s="15" t="str">
        <f aca="false">IF(C1262&gt;=K1262,"ja","nein")</f>
        <v>ja</v>
      </c>
      <c r="H1262" s="15" t="str">
        <f aca="false">IF(C1262&gt;=L1262,"ja","nein")</f>
        <v>ja</v>
      </c>
      <c r="I1262" s="15" t="str">
        <f aca="false">IF(C1262&gt;=M1262,"ja","nein")</f>
        <v>ja</v>
      </c>
      <c r="J1262" s="15" t="n">
        <f aca="false">ROUND(Annahmen!$K$35*(1+Annahmen!$B$20*D1262/1000),0)</f>
        <v>852</v>
      </c>
      <c r="K1262" s="15" t="n">
        <f aca="false">ROUND(Annahmen!$K$36*(1+Annahmen!$B$20*D1262/1000),0)</f>
        <v>1107</v>
      </c>
      <c r="L1262" s="15" t="n">
        <f aca="false">ROUND(Annahmen!$K$37*(1+Annahmen!$B$20*D1262/1000),0)</f>
        <v>1131</v>
      </c>
      <c r="M1262" s="15" t="n">
        <f aca="false">ROUND(Annahmen!$K$38*(1+Annahmen!$B$20*D1262/1000),0)</f>
        <v>1131</v>
      </c>
      <c r="N1262" s="16" t="s">
        <v>83</v>
      </c>
    </row>
    <row r="1263" customFormat="false" ht="15" hidden="false" customHeight="false" outlineLevel="0" collapsed="false">
      <c r="A1263" s="13" t="s">
        <v>2576</v>
      </c>
      <c r="B1263" s="14" t="s">
        <v>2577</v>
      </c>
      <c r="C1263" s="15" t="n">
        <v>2557</v>
      </c>
      <c r="D1263" s="15" t="n">
        <v>2897</v>
      </c>
      <c r="E1263" s="13" t="s">
        <v>82</v>
      </c>
      <c r="F1263" s="15" t="str">
        <f aca="false">IF(C1263&gt;=J1263,"ja","nein")</f>
        <v>ja</v>
      </c>
      <c r="G1263" s="15" t="str">
        <f aca="false">IF(C1263&gt;=K1263,"ja","nein")</f>
        <v>ja</v>
      </c>
      <c r="H1263" s="15" t="str">
        <f aca="false">IF(C1263&gt;=L1263,"ja","nein")</f>
        <v>ja</v>
      </c>
      <c r="I1263" s="15" t="str">
        <f aca="false">IF(C1263&gt;=M1263,"ja","nein")</f>
        <v>ja</v>
      </c>
      <c r="J1263" s="15" t="n">
        <f aca="false">ROUND(Annahmen!$K$35*(1+Annahmen!$B$20*D1263/1000),0)</f>
        <v>1059</v>
      </c>
      <c r="K1263" s="15" t="n">
        <f aca="false">ROUND(Annahmen!$K$36*(1+Annahmen!$B$20*D1263/1000),0)</f>
        <v>1375</v>
      </c>
      <c r="L1263" s="15" t="n">
        <f aca="false">ROUND(Annahmen!$K$37*(1+Annahmen!$B$20*D1263/1000),0)</f>
        <v>1406</v>
      </c>
      <c r="M1263" s="15" t="n">
        <f aca="false">ROUND(Annahmen!$K$38*(1+Annahmen!$B$20*D1263/1000),0)</f>
        <v>1406</v>
      </c>
      <c r="N1263" s="16" t="s">
        <v>86</v>
      </c>
    </row>
    <row r="1264" customFormat="false" ht="15" hidden="false" customHeight="false" outlineLevel="0" collapsed="false">
      <c r="A1264" s="13" t="s">
        <v>2578</v>
      </c>
      <c r="B1264" s="14" t="s">
        <v>2579</v>
      </c>
      <c r="C1264" s="15" t="n">
        <v>2518</v>
      </c>
      <c r="D1264" s="15" t="n">
        <v>2588</v>
      </c>
      <c r="E1264" s="13" t="s">
        <v>82</v>
      </c>
      <c r="F1264" s="15" t="str">
        <f aca="false">IF(C1264&gt;=J1264,"ja","nein")</f>
        <v>ja</v>
      </c>
      <c r="G1264" s="15" t="str">
        <f aca="false">IF(C1264&gt;=K1264,"ja","nein")</f>
        <v>ja</v>
      </c>
      <c r="H1264" s="15" t="str">
        <f aca="false">IF(C1264&gt;=L1264,"ja","nein")</f>
        <v>ja</v>
      </c>
      <c r="I1264" s="15" t="str">
        <f aca="false">IF(C1264&gt;=M1264,"ja","nein")</f>
        <v>ja</v>
      </c>
      <c r="J1264" s="15" t="n">
        <f aca="false">ROUND(Annahmen!$K$35*(1+Annahmen!$B$20*D1264/1000),0)</f>
        <v>1036</v>
      </c>
      <c r="K1264" s="15" t="n">
        <f aca="false">ROUND(Annahmen!$K$36*(1+Annahmen!$B$20*D1264/1000),0)</f>
        <v>1345</v>
      </c>
      <c r="L1264" s="15" t="n">
        <f aca="false">ROUND(Annahmen!$K$37*(1+Annahmen!$B$20*D1264/1000),0)</f>
        <v>1375</v>
      </c>
      <c r="M1264" s="15" t="n">
        <f aca="false">ROUND(Annahmen!$K$38*(1+Annahmen!$B$20*D1264/1000),0)</f>
        <v>1375</v>
      </c>
      <c r="N1264" s="16" t="s">
        <v>83</v>
      </c>
    </row>
    <row r="1265" customFormat="false" ht="15" hidden="false" customHeight="false" outlineLevel="0" collapsed="false">
      <c r="A1265" s="13" t="s">
        <v>2580</v>
      </c>
      <c r="B1265" s="14" t="s">
        <v>2581</v>
      </c>
      <c r="C1265" s="15" t="n">
        <v>2501</v>
      </c>
      <c r="D1265" s="15" t="n">
        <v>1729</v>
      </c>
      <c r="E1265" s="13" t="s">
        <v>82</v>
      </c>
      <c r="F1265" s="15" t="str">
        <f aca="false">IF(C1265&gt;=J1265,"ja","nein")</f>
        <v>ja</v>
      </c>
      <c r="G1265" s="15" t="str">
        <f aca="false">IF(C1265&gt;=K1265,"ja","nein")</f>
        <v>ja</v>
      </c>
      <c r="H1265" s="15" t="str">
        <f aca="false">IF(C1265&gt;=L1265,"ja","nein")</f>
        <v>ja</v>
      </c>
      <c r="I1265" s="15" t="str">
        <f aca="false">IF(C1265&gt;=M1265,"ja","nein")</f>
        <v>ja</v>
      </c>
      <c r="J1265" s="15" t="n">
        <f aca="false">ROUND(Annahmen!$K$35*(1+Annahmen!$B$20*D1265/1000),0)</f>
        <v>971</v>
      </c>
      <c r="K1265" s="15" t="n">
        <f aca="false">ROUND(Annahmen!$K$36*(1+Annahmen!$B$20*D1265/1000),0)</f>
        <v>1261</v>
      </c>
      <c r="L1265" s="15" t="n">
        <f aca="false">ROUND(Annahmen!$K$37*(1+Annahmen!$B$20*D1265/1000),0)</f>
        <v>1289</v>
      </c>
      <c r="M1265" s="15" t="n">
        <f aca="false">ROUND(Annahmen!$K$38*(1+Annahmen!$B$20*D1265/1000),0)</f>
        <v>1289</v>
      </c>
      <c r="N1265" s="16" t="s">
        <v>86</v>
      </c>
    </row>
    <row r="1266" customFormat="false" ht="15" hidden="false" customHeight="false" outlineLevel="0" collapsed="false">
      <c r="A1266" s="13" t="s">
        <v>2582</v>
      </c>
      <c r="B1266" s="14" t="s">
        <v>2583</v>
      </c>
      <c r="C1266" s="15" t="n">
        <v>2485</v>
      </c>
      <c r="D1266" s="15" t="n">
        <v>2216</v>
      </c>
      <c r="E1266" s="13" t="s">
        <v>82</v>
      </c>
      <c r="F1266" s="15" t="str">
        <f aca="false">IF(C1266&gt;=J1266,"ja","nein")</f>
        <v>ja</v>
      </c>
      <c r="G1266" s="15" t="str">
        <f aca="false">IF(C1266&gt;=K1266,"ja","nein")</f>
        <v>ja</v>
      </c>
      <c r="H1266" s="15" t="str">
        <f aca="false">IF(C1266&gt;=L1266,"ja","nein")</f>
        <v>ja</v>
      </c>
      <c r="I1266" s="15" t="str">
        <f aca="false">IF(C1266&gt;=M1266,"ja","nein")</f>
        <v>ja</v>
      </c>
      <c r="J1266" s="15" t="n">
        <f aca="false">ROUND(Annahmen!$K$35*(1+Annahmen!$B$20*D1266/1000),0)</f>
        <v>1008</v>
      </c>
      <c r="K1266" s="15" t="n">
        <f aca="false">ROUND(Annahmen!$K$36*(1+Annahmen!$B$20*D1266/1000),0)</f>
        <v>1309</v>
      </c>
      <c r="L1266" s="15" t="n">
        <f aca="false">ROUND(Annahmen!$K$37*(1+Annahmen!$B$20*D1266/1000),0)</f>
        <v>1337</v>
      </c>
      <c r="M1266" s="15" t="n">
        <f aca="false">ROUND(Annahmen!$K$38*(1+Annahmen!$B$20*D1266/1000),0)</f>
        <v>1337</v>
      </c>
      <c r="N1266" s="16" t="s">
        <v>86</v>
      </c>
    </row>
    <row r="1267" customFormat="false" ht="15" hidden="false" customHeight="false" outlineLevel="0" collapsed="false">
      <c r="A1267" s="13" t="s">
        <v>2584</v>
      </c>
      <c r="B1267" s="14" t="s">
        <v>2585</v>
      </c>
      <c r="C1267" s="15" t="n">
        <v>2400</v>
      </c>
      <c r="D1267" s="15" t="n">
        <v>3016</v>
      </c>
      <c r="E1267" s="13" t="s">
        <v>82</v>
      </c>
      <c r="F1267" s="15" t="str">
        <f aca="false">IF(C1267&gt;=J1267,"ja","nein")</f>
        <v>ja</v>
      </c>
      <c r="G1267" s="15" t="str">
        <f aca="false">IF(C1267&gt;=K1267,"ja","nein")</f>
        <v>ja</v>
      </c>
      <c r="H1267" s="15" t="str">
        <f aca="false">IF(C1267&gt;=L1267,"ja","nein")</f>
        <v>ja</v>
      </c>
      <c r="I1267" s="15" t="str">
        <f aca="false">IF(C1267&gt;=M1267,"ja","nein")</f>
        <v>ja</v>
      </c>
      <c r="J1267" s="15" t="n">
        <f aca="false">ROUND(Annahmen!$K$35*(1+Annahmen!$B$20*D1267/1000),0)</f>
        <v>1068</v>
      </c>
      <c r="K1267" s="15" t="n">
        <f aca="false">ROUND(Annahmen!$K$36*(1+Annahmen!$B$20*D1267/1000),0)</f>
        <v>1387</v>
      </c>
      <c r="L1267" s="15" t="n">
        <f aca="false">ROUND(Annahmen!$K$37*(1+Annahmen!$B$20*D1267/1000),0)</f>
        <v>1418</v>
      </c>
      <c r="M1267" s="15" t="n">
        <f aca="false">ROUND(Annahmen!$K$38*(1+Annahmen!$B$20*D1267/1000),0)</f>
        <v>1418</v>
      </c>
      <c r="N1267" s="16" t="s">
        <v>102</v>
      </c>
    </row>
    <row r="1268" customFormat="false" ht="15" hidden="false" customHeight="false" outlineLevel="0" collapsed="false">
      <c r="A1268" s="13" t="s">
        <v>2586</v>
      </c>
      <c r="B1268" s="14" t="s">
        <v>2587</v>
      </c>
      <c r="C1268" s="15" t="n">
        <v>2350</v>
      </c>
      <c r="D1268" s="15" t="n">
        <v>23</v>
      </c>
      <c r="E1268" s="13" t="s">
        <v>82</v>
      </c>
      <c r="F1268" s="15" t="str">
        <f aca="false">IF(C1268&gt;=J1268,"ja","nein")</f>
        <v>ja</v>
      </c>
      <c r="G1268" s="15" t="str">
        <f aca="false">IF(C1268&gt;=K1268,"ja","nein")</f>
        <v>ja</v>
      </c>
      <c r="H1268" s="15" t="str">
        <f aca="false">IF(C1268&gt;=L1268,"ja","nein")</f>
        <v>ja</v>
      </c>
      <c r="I1268" s="15" t="str">
        <f aca="false">IF(C1268&gt;=M1268,"ja","nein")</f>
        <v>ja</v>
      </c>
      <c r="J1268" s="15" t="n">
        <f aca="false">ROUND(Annahmen!$K$35*(1+Annahmen!$B$20*D1268/1000),0)</f>
        <v>842</v>
      </c>
      <c r="K1268" s="15" t="n">
        <f aca="false">ROUND(Annahmen!$K$36*(1+Annahmen!$B$20*D1268/1000),0)</f>
        <v>1093</v>
      </c>
      <c r="L1268" s="15" t="n">
        <f aca="false">ROUND(Annahmen!$K$37*(1+Annahmen!$B$20*D1268/1000),0)</f>
        <v>1117</v>
      </c>
      <c r="M1268" s="15" t="n">
        <f aca="false">ROUND(Annahmen!$K$38*(1+Annahmen!$B$20*D1268/1000),0)</f>
        <v>1117</v>
      </c>
      <c r="N1268" s="16" t="s">
        <v>86</v>
      </c>
    </row>
    <row r="1269" customFormat="false" ht="15" hidden="false" customHeight="false" outlineLevel="0" collapsed="false">
      <c r="A1269" s="13" t="s">
        <v>2588</v>
      </c>
      <c r="B1269" s="14" t="s">
        <v>2589</v>
      </c>
      <c r="C1269" s="15" t="n">
        <v>2350</v>
      </c>
      <c r="D1269" s="15" t="n">
        <v>92</v>
      </c>
      <c r="E1269" s="13" t="s">
        <v>82</v>
      </c>
      <c r="F1269" s="15" t="str">
        <f aca="false">IF(C1269&gt;=J1269,"ja","nein")</f>
        <v>ja</v>
      </c>
      <c r="G1269" s="15" t="str">
        <f aca="false">IF(C1269&gt;=K1269,"ja","nein")</f>
        <v>ja</v>
      </c>
      <c r="H1269" s="15" t="str">
        <f aca="false">IF(C1269&gt;=L1269,"ja","nein")</f>
        <v>ja</v>
      </c>
      <c r="I1269" s="15" t="str">
        <f aca="false">IF(C1269&gt;=M1269,"ja","nein")</f>
        <v>ja</v>
      </c>
      <c r="J1269" s="15" t="n">
        <f aca="false">ROUND(Annahmen!$K$35*(1+Annahmen!$B$20*D1269/1000),0)</f>
        <v>847</v>
      </c>
      <c r="K1269" s="15" t="n">
        <f aca="false">ROUND(Annahmen!$K$36*(1+Annahmen!$B$20*D1269/1000),0)</f>
        <v>1100</v>
      </c>
      <c r="L1269" s="15" t="n">
        <f aca="false">ROUND(Annahmen!$K$37*(1+Annahmen!$B$20*D1269/1000),0)</f>
        <v>1124</v>
      </c>
      <c r="M1269" s="15" t="n">
        <f aca="false">ROUND(Annahmen!$K$38*(1+Annahmen!$B$20*D1269/1000),0)</f>
        <v>1124</v>
      </c>
      <c r="N1269" s="16" t="s">
        <v>86</v>
      </c>
    </row>
    <row r="1270" customFormat="false" ht="15" hidden="false" customHeight="false" outlineLevel="0" collapsed="false">
      <c r="A1270" s="13" t="s">
        <v>2590</v>
      </c>
      <c r="B1270" s="14" t="s">
        <v>2591</v>
      </c>
      <c r="C1270" s="15" t="n">
        <v>2300</v>
      </c>
      <c r="D1270" s="15" t="n">
        <v>1723</v>
      </c>
      <c r="E1270" s="13" t="s">
        <v>82</v>
      </c>
      <c r="F1270" s="15" t="str">
        <f aca="false">IF(C1270&gt;=J1270,"ja","nein")</f>
        <v>ja</v>
      </c>
      <c r="G1270" s="15" t="str">
        <f aca="false">IF(C1270&gt;=K1270,"ja","nein")</f>
        <v>ja</v>
      </c>
      <c r="H1270" s="15" t="str">
        <f aca="false">IF(C1270&gt;=L1270,"ja","nein")</f>
        <v>ja</v>
      </c>
      <c r="I1270" s="15" t="str">
        <f aca="false">IF(C1270&gt;=M1270,"ja","nein")</f>
        <v>ja</v>
      </c>
      <c r="J1270" s="15" t="n">
        <f aca="false">ROUND(Annahmen!$K$35*(1+Annahmen!$B$20*D1270/1000),0)</f>
        <v>970</v>
      </c>
      <c r="K1270" s="15" t="n">
        <f aca="false">ROUND(Annahmen!$K$36*(1+Annahmen!$B$20*D1270/1000),0)</f>
        <v>1260</v>
      </c>
      <c r="L1270" s="15" t="n">
        <f aca="false">ROUND(Annahmen!$K$37*(1+Annahmen!$B$20*D1270/1000),0)</f>
        <v>1288</v>
      </c>
      <c r="M1270" s="15" t="n">
        <f aca="false">ROUND(Annahmen!$K$38*(1+Annahmen!$B$20*D1270/1000),0)</f>
        <v>1288</v>
      </c>
      <c r="N1270" s="16" t="s">
        <v>86</v>
      </c>
    </row>
    <row r="1271" customFormat="false" ht="15" hidden="false" customHeight="false" outlineLevel="0" collapsed="false">
      <c r="A1271" s="13" t="s">
        <v>2592</v>
      </c>
      <c r="B1271" s="14" t="s">
        <v>2593</v>
      </c>
      <c r="C1271" s="15" t="n">
        <v>2300</v>
      </c>
      <c r="D1271" s="15" t="n">
        <v>3506</v>
      </c>
      <c r="E1271" s="13" t="s">
        <v>82</v>
      </c>
      <c r="F1271" s="15" t="str">
        <f aca="false">IF(C1271&gt;=J1271,"ja","nein")</f>
        <v>ja</v>
      </c>
      <c r="G1271" s="15" t="str">
        <f aca="false">IF(C1271&gt;=K1271,"ja","nein")</f>
        <v>ja</v>
      </c>
      <c r="H1271" s="15" t="str">
        <f aca="false">IF(C1271&gt;=L1271,"ja","nein")</f>
        <v>ja</v>
      </c>
      <c r="I1271" s="15" t="str">
        <f aca="false">IF(C1271&gt;=M1271,"ja","nein")</f>
        <v>ja</v>
      </c>
      <c r="J1271" s="15" t="n">
        <f aca="false">ROUND(Annahmen!$K$35*(1+Annahmen!$B$20*D1271/1000),0)</f>
        <v>1105</v>
      </c>
      <c r="K1271" s="15" t="n">
        <f aca="false">ROUND(Annahmen!$K$36*(1+Annahmen!$B$20*D1271/1000),0)</f>
        <v>1435</v>
      </c>
      <c r="L1271" s="15" t="n">
        <f aca="false">ROUND(Annahmen!$K$37*(1+Annahmen!$B$20*D1271/1000),0)</f>
        <v>1467</v>
      </c>
      <c r="M1271" s="15" t="n">
        <f aca="false">ROUND(Annahmen!$K$38*(1+Annahmen!$B$20*D1271/1000),0)</f>
        <v>1467</v>
      </c>
      <c r="N1271" s="16" t="s">
        <v>102</v>
      </c>
    </row>
    <row r="1272" customFormat="false" ht="15" hidden="false" customHeight="false" outlineLevel="0" collapsed="false">
      <c r="A1272" s="13" t="s">
        <v>2594</v>
      </c>
      <c r="B1272" s="14" t="s">
        <v>2595</v>
      </c>
      <c r="C1272" s="15" t="n">
        <v>2250</v>
      </c>
      <c r="D1272" s="15" t="n">
        <v>3520</v>
      </c>
      <c r="E1272" s="13" t="s">
        <v>82</v>
      </c>
      <c r="F1272" s="15" t="str">
        <f aca="false">IF(C1272&gt;=J1272,"ja","nein")</f>
        <v>ja</v>
      </c>
      <c r="G1272" s="15" t="str">
        <f aca="false">IF(C1272&gt;=K1272,"ja","nein")</f>
        <v>ja</v>
      </c>
      <c r="H1272" s="15" t="str">
        <f aca="false">IF(C1272&gt;=L1272,"ja","nein")</f>
        <v>ja</v>
      </c>
      <c r="I1272" s="15" t="str">
        <f aca="false">IF(C1272&gt;=M1272,"ja","nein")</f>
        <v>ja</v>
      </c>
      <c r="J1272" s="15" t="n">
        <f aca="false">ROUND(Annahmen!$K$35*(1+Annahmen!$B$20*D1272/1000),0)</f>
        <v>1106</v>
      </c>
      <c r="K1272" s="15" t="n">
        <f aca="false">ROUND(Annahmen!$K$36*(1+Annahmen!$B$20*D1272/1000),0)</f>
        <v>1437</v>
      </c>
      <c r="L1272" s="15" t="n">
        <f aca="false">ROUND(Annahmen!$K$37*(1+Annahmen!$B$20*D1272/1000),0)</f>
        <v>1468</v>
      </c>
      <c r="M1272" s="15" t="n">
        <f aca="false">ROUND(Annahmen!$K$38*(1+Annahmen!$B$20*D1272/1000),0)</f>
        <v>1468</v>
      </c>
      <c r="N1272" s="16" t="s">
        <v>86</v>
      </c>
    </row>
    <row r="1273" customFormat="false" ht="15" hidden="false" customHeight="false" outlineLevel="0" collapsed="false">
      <c r="A1273" s="13" t="s">
        <v>2596</v>
      </c>
      <c r="B1273" s="14" t="s">
        <v>2597</v>
      </c>
      <c r="C1273" s="15" t="n">
        <v>2131</v>
      </c>
      <c r="D1273" s="15" t="n">
        <v>44</v>
      </c>
      <c r="E1273" s="13" t="s">
        <v>82</v>
      </c>
      <c r="F1273" s="15" t="str">
        <f aca="false">IF(C1273&gt;=J1273,"ja","nein")</f>
        <v>ja</v>
      </c>
      <c r="G1273" s="15" t="str">
        <f aca="false">IF(C1273&gt;=K1273,"ja","nein")</f>
        <v>ja</v>
      </c>
      <c r="H1273" s="15" t="str">
        <f aca="false">IF(C1273&gt;=L1273,"ja","nein")</f>
        <v>ja</v>
      </c>
      <c r="I1273" s="15" t="str">
        <f aca="false">IF(C1273&gt;=M1273,"ja","nein")</f>
        <v>ja</v>
      </c>
      <c r="J1273" s="15" t="n">
        <f aca="false">ROUND(Annahmen!$K$35*(1+Annahmen!$B$20*D1273/1000),0)</f>
        <v>843</v>
      </c>
      <c r="K1273" s="15" t="n">
        <f aca="false">ROUND(Annahmen!$K$36*(1+Annahmen!$B$20*D1273/1000),0)</f>
        <v>1095</v>
      </c>
      <c r="L1273" s="15" t="n">
        <f aca="false">ROUND(Annahmen!$K$37*(1+Annahmen!$B$20*D1273/1000),0)</f>
        <v>1119</v>
      </c>
      <c r="M1273" s="15" t="n">
        <f aca="false">ROUND(Annahmen!$K$38*(1+Annahmen!$B$20*D1273/1000),0)</f>
        <v>1119</v>
      </c>
      <c r="N1273" s="16" t="s">
        <v>86</v>
      </c>
    </row>
    <row r="1274" customFormat="false" ht="15" hidden="false" customHeight="false" outlineLevel="0" collapsed="false">
      <c r="A1274" s="13" t="s">
        <v>2598</v>
      </c>
      <c r="B1274" s="14" t="s">
        <v>2599</v>
      </c>
      <c r="C1274" s="15" t="n">
        <v>2082</v>
      </c>
      <c r="D1274" s="15" t="n">
        <v>269</v>
      </c>
      <c r="E1274" s="13" t="s">
        <v>82</v>
      </c>
      <c r="F1274" s="15" t="str">
        <f aca="false">IF(C1274&gt;=J1274,"ja","nein")</f>
        <v>ja</v>
      </c>
      <c r="G1274" s="15" t="str">
        <f aca="false">IF(C1274&gt;=K1274,"ja","nein")</f>
        <v>ja</v>
      </c>
      <c r="H1274" s="15" t="str">
        <f aca="false">IF(C1274&gt;=L1274,"ja","nein")</f>
        <v>ja</v>
      </c>
      <c r="I1274" s="15" t="str">
        <f aca="false">IF(C1274&gt;=M1274,"ja","nein")</f>
        <v>ja</v>
      </c>
      <c r="J1274" s="15" t="n">
        <f aca="false">ROUND(Annahmen!$K$35*(1+Annahmen!$B$20*D1274/1000),0)</f>
        <v>860</v>
      </c>
      <c r="K1274" s="15" t="n">
        <f aca="false">ROUND(Annahmen!$K$36*(1+Annahmen!$B$20*D1274/1000),0)</f>
        <v>1117</v>
      </c>
      <c r="L1274" s="15" t="n">
        <f aca="false">ROUND(Annahmen!$K$37*(1+Annahmen!$B$20*D1274/1000),0)</f>
        <v>1142</v>
      </c>
      <c r="M1274" s="15" t="n">
        <f aca="false">ROUND(Annahmen!$K$38*(1+Annahmen!$B$20*D1274/1000),0)</f>
        <v>1142</v>
      </c>
      <c r="N1274" s="16" t="s">
        <v>86</v>
      </c>
    </row>
    <row r="1275" customFormat="false" ht="15" hidden="false" customHeight="false" outlineLevel="0" collapsed="false">
      <c r="A1275" s="13" t="s">
        <v>2600</v>
      </c>
      <c r="B1275" s="14" t="s">
        <v>2601</v>
      </c>
      <c r="C1275" s="15" t="n">
        <v>2014</v>
      </c>
      <c r="D1275" s="15" t="n">
        <v>2687</v>
      </c>
      <c r="E1275" s="13" t="s">
        <v>82</v>
      </c>
      <c r="F1275" s="15" t="str">
        <f aca="false">IF(C1275&gt;=J1275,"ja","nein")</f>
        <v>ja</v>
      </c>
      <c r="G1275" s="15" t="str">
        <f aca="false">IF(C1275&gt;=K1275,"ja","nein")</f>
        <v>ja</v>
      </c>
      <c r="H1275" s="15" t="str">
        <f aca="false">IF(C1275&gt;=L1275,"ja","nein")</f>
        <v>ja</v>
      </c>
      <c r="I1275" s="15" t="str">
        <f aca="false">IF(C1275&gt;=M1275,"ja","nein")</f>
        <v>ja</v>
      </c>
      <c r="J1275" s="15" t="n">
        <f aca="false">ROUND(Annahmen!$K$35*(1+Annahmen!$B$20*D1275/1000),0)</f>
        <v>1043</v>
      </c>
      <c r="K1275" s="15" t="n">
        <f aca="false">ROUND(Annahmen!$K$36*(1+Annahmen!$B$20*D1275/1000),0)</f>
        <v>1355</v>
      </c>
      <c r="L1275" s="15" t="n">
        <f aca="false">ROUND(Annahmen!$K$37*(1+Annahmen!$B$20*D1275/1000),0)</f>
        <v>1385</v>
      </c>
      <c r="M1275" s="15" t="n">
        <f aca="false">ROUND(Annahmen!$K$38*(1+Annahmen!$B$20*D1275/1000),0)</f>
        <v>1385</v>
      </c>
      <c r="N1275" s="16" t="s">
        <v>102</v>
      </c>
    </row>
    <row r="1276" customFormat="false" ht="15" hidden="false" customHeight="false" outlineLevel="0" collapsed="false">
      <c r="A1276" s="13" t="s">
        <v>2602</v>
      </c>
      <c r="B1276" s="14" t="s">
        <v>2603</v>
      </c>
      <c r="C1276" s="15" t="n">
        <v>1976</v>
      </c>
      <c r="D1276" s="15" t="n">
        <v>20</v>
      </c>
      <c r="E1276" s="13" t="s">
        <v>82</v>
      </c>
      <c r="F1276" s="15" t="str">
        <f aca="false">IF(C1276&gt;=J1276,"ja","nein")</f>
        <v>ja</v>
      </c>
      <c r="G1276" s="15" t="str">
        <f aca="false">IF(C1276&gt;=K1276,"ja","nein")</f>
        <v>ja</v>
      </c>
      <c r="H1276" s="15" t="str">
        <f aca="false">IF(C1276&gt;=L1276,"ja","nein")</f>
        <v>ja</v>
      </c>
      <c r="I1276" s="15" t="str">
        <f aca="false">IF(C1276&gt;=M1276,"ja","nein")</f>
        <v>ja</v>
      </c>
      <c r="J1276" s="15" t="n">
        <f aca="false">ROUND(Annahmen!$K$35*(1+Annahmen!$B$20*D1276/1000),0)</f>
        <v>842</v>
      </c>
      <c r="K1276" s="15" t="n">
        <f aca="false">ROUND(Annahmen!$K$36*(1+Annahmen!$B$20*D1276/1000),0)</f>
        <v>1093</v>
      </c>
      <c r="L1276" s="15" t="n">
        <f aca="false">ROUND(Annahmen!$K$37*(1+Annahmen!$B$20*D1276/1000),0)</f>
        <v>1117</v>
      </c>
      <c r="M1276" s="15" t="n">
        <f aca="false">ROUND(Annahmen!$K$38*(1+Annahmen!$B$20*D1276/1000),0)</f>
        <v>1117</v>
      </c>
      <c r="N1276" s="16" t="s">
        <v>86</v>
      </c>
    </row>
    <row r="1277" customFormat="false" ht="15" hidden="false" customHeight="false" outlineLevel="0" collapsed="false">
      <c r="A1277" s="13" t="s">
        <v>2604</v>
      </c>
      <c r="B1277" s="14" t="s">
        <v>2605</v>
      </c>
      <c r="C1277" s="15" t="n">
        <v>1895</v>
      </c>
      <c r="D1277" s="15" t="n">
        <v>2441</v>
      </c>
      <c r="E1277" s="13" t="s">
        <v>82</v>
      </c>
      <c r="F1277" s="15" t="str">
        <f aca="false">IF(C1277&gt;=J1277,"ja","nein")</f>
        <v>ja</v>
      </c>
      <c r="G1277" s="15" t="str">
        <f aca="false">IF(C1277&gt;=K1277,"ja","nein")</f>
        <v>ja</v>
      </c>
      <c r="H1277" s="15" t="str">
        <f aca="false">IF(C1277&gt;=L1277,"ja","nein")</f>
        <v>ja</v>
      </c>
      <c r="I1277" s="15" t="str">
        <f aca="false">IF(C1277&gt;=M1277,"ja","nein")</f>
        <v>ja</v>
      </c>
      <c r="J1277" s="15" t="n">
        <f aca="false">ROUND(Annahmen!$K$35*(1+Annahmen!$B$20*D1277/1000),0)</f>
        <v>1025</v>
      </c>
      <c r="K1277" s="15" t="n">
        <f aca="false">ROUND(Annahmen!$K$36*(1+Annahmen!$B$20*D1277/1000),0)</f>
        <v>1331</v>
      </c>
      <c r="L1277" s="15" t="n">
        <f aca="false">ROUND(Annahmen!$K$37*(1+Annahmen!$B$20*D1277/1000),0)</f>
        <v>1360</v>
      </c>
      <c r="M1277" s="15" t="n">
        <f aca="false">ROUND(Annahmen!$K$38*(1+Annahmen!$B$20*D1277/1000),0)</f>
        <v>1360</v>
      </c>
      <c r="N1277" s="16" t="s">
        <v>102</v>
      </c>
    </row>
    <row r="1278" customFormat="false" ht="15" hidden="false" customHeight="false" outlineLevel="0" collapsed="false">
      <c r="A1278" s="13" t="s">
        <v>2606</v>
      </c>
      <c r="B1278" s="14" t="s">
        <v>2607</v>
      </c>
      <c r="C1278" s="15" t="n">
        <v>1810</v>
      </c>
      <c r="D1278" s="15" t="n">
        <v>2790</v>
      </c>
      <c r="E1278" s="13" t="s">
        <v>82</v>
      </c>
      <c r="F1278" s="15" t="str">
        <f aca="false">IF(C1278&gt;=J1278,"ja","nein")</f>
        <v>ja</v>
      </c>
      <c r="G1278" s="15" t="str">
        <f aca="false">IF(C1278&gt;=K1278,"ja","nein")</f>
        <v>ja</v>
      </c>
      <c r="H1278" s="15" t="str">
        <f aca="false">IF(C1278&gt;=L1278,"ja","nein")</f>
        <v>ja</v>
      </c>
      <c r="I1278" s="15" t="str">
        <f aca="false">IF(C1278&gt;=M1278,"ja","nein")</f>
        <v>ja</v>
      </c>
      <c r="J1278" s="15" t="n">
        <f aca="false">ROUND(Annahmen!$K$35*(1+Annahmen!$B$20*D1278/1000),0)</f>
        <v>1051</v>
      </c>
      <c r="K1278" s="15" t="n">
        <f aca="false">ROUND(Annahmen!$K$36*(1+Annahmen!$B$20*D1278/1000),0)</f>
        <v>1365</v>
      </c>
      <c r="L1278" s="15" t="n">
        <f aca="false">ROUND(Annahmen!$K$37*(1+Annahmen!$B$20*D1278/1000),0)</f>
        <v>1395</v>
      </c>
      <c r="M1278" s="15" t="n">
        <f aca="false">ROUND(Annahmen!$K$38*(1+Annahmen!$B$20*D1278/1000),0)</f>
        <v>1395</v>
      </c>
      <c r="N1278" s="16" t="s">
        <v>102</v>
      </c>
    </row>
    <row r="1279" customFormat="false" ht="15" hidden="false" customHeight="false" outlineLevel="0" collapsed="false">
      <c r="A1279" s="13" t="s">
        <v>2608</v>
      </c>
      <c r="B1279" s="14" t="s">
        <v>2609</v>
      </c>
      <c r="C1279" s="15" t="n">
        <v>1800</v>
      </c>
      <c r="D1279" s="15" t="n">
        <v>2001</v>
      </c>
      <c r="E1279" s="13" t="s">
        <v>82</v>
      </c>
      <c r="F1279" s="15" t="str">
        <f aca="false">IF(C1279&gt;=J1279,"ja","nein")</f>
        <v>ja</v>
      </c>
      <c r="G1279" s="15" t="str">
        <f aca="false">IF(C1279&gt;=K1279,"ja","nein")</f>
        <v>ja</v>
      </c>
      <c r="H1279" s="15" t="str">
        <f aca="false">IF(C1279&gt;=L1279,"ja","nein")</f>
        <v>ja</v>
      </c>
      <c r="I1279" s="15" t="str">
        <f aca="false">IF(C1279&gt;=M1279,"ja","nein")</f>
        <v>ja</v>
      </c>
      <c r="J1279" s="15" t="n">
        <f aca="false">ROUND(Annahmen!$K$35*(1+Annahmen!$B$20*D1279/1000),0)</f>
        <v>991</v>
      </c>
      <c r="K1279" s="15" t="n">
        <f aca="false">ROUND(Annahmen!$K$36*(1+Annahmen!$B$20*D1279/1000),0)</f>
        <v>1287</v>
      </c>
      <c r="L1279" s="15" t="n">
        <f aca="false">ROUND(Annahmen!$K$37*(1+Annahmen!$B$20*D1279/1000),0)</f>
        <v>1316</v>
      </c>
      <c r="M1279" s="15" t="n">
        <f aca="false">ROUND(Annahmen!$K$38*(1+Annahmen!$B$20*D1279/1000),0)</f>
        <v>1316</v>
      </c>
      <c r="N1279" s="16" t="s">
        <v>86</v>
      </c>
    </row>
    <row r="1280" customFormat="false" ht="15" hidden="false" customHeight="false" outlineLevel="0" collapsed="false">
      <c r="A1280" s="13" t="s">
        <v>2610</v>
      </c>
      <c r="B1280" s="14" t="s">
        <v>2611</v>
      </c>
      <c r="C1280" s="15" t="n">
        <v>1570</v>
      </c>
      <c r="D1280" s="15" t="n">
        <v>202</v>
      </c>
      <c r="E1280" s="13" t="s">
        <v>82</v>
      </c>
      <c r="F1280" s="15" t="str">
        <f aca="false">IF(C1280&gt;=J1280,"ja","nein")</f>
        <v>ja</v>
      </c>
      <c r="G1280" s="15" t="str">
        <f aca="false">IF(C1280&gt;=K1280,"ja","nein")</f>
        <v>ja</v>
      </c>
      <c r="H1280" s="15" t="str">
        <f aca="false">IF(C1280&gt;=L1280,"ja","nein")</f>
        <v>ja</v>
      </c>
      <c r="I1280" s="15" t="str">
        <f aca="false">IF(C1280&gt;=M1280,"ja","nein")</f>
        <v>ja</v>
      </c>
      <c r="J1280" s="15" t="n">
        <f aca="false">ROUND(Annahmen!$K$35*(1+Annahmen!$B$20*D1280/1000),0)</f>
        <v>855</v>
      </c>
      <c r="K1280" s="15" t="n">
        <f aca="false">ROUND(Annahmen!$K$36*(1+Annahmen!$B$20*D1280/1000),0)</f>
        <v>1111</v>
      </c>
      <c r="L1280" s="15" t="n">
        <f aca="false">ROUND(Annahmen!$K$37*(1+Annahmen!$B$20*D1280/1000),0)</f>
        <v>1135</v>
      </c>
      <c r="M1280" s="15" t="n">
        <f aca="false">ROUND(Annahmen!$K$38*(1+Annahmen!$B$20*D1280/1000),0)</f>
        <v>1135</v>
      </c>
      <c r="N1280" s="16" t="s">
        <v>102</v>
      </c>
    </row>
    <row r="1281" customFormat="false" ht="15" hidden="false" customHeight="false" outlineLevel="0" collapsed="false">
      <c r="A1281" s="13" t="s">
        <v>2612</v>
      </c>
      <c r="B1281" s="14" t="s">
        <v>2613</v>
      </c>
      <c r="C1281" s="15" t="n">
        <v>1570</v>
      </c>
      <c r="D1281" s="15" t="n">
        <v>10</v>
      </c>
      <c r="E1281" s="13" t="s">
        <v>82</v>
      </c>
      <c r="F1281" s="15" t="str">
        <f aca="false">IF(C1281&gt;=J1281,"ja","nein")</f>
        <v>ja</v>
      </c>
      <c r="G1281" s="15" t="str">
        <f aca="false">IF(C1281&gt;=K1281,"ja","nein")</f>
        <v>ja</v>
      </c>
      <c r="H1281" s="15" t="str">
        <f aca="false">IF(C1281&gt;=L1281,"ja","nein")</f>
        <v>ja</v>
      </c>
      <c r="I1281" s="15" t="str">
        <f aca="false">IF(C1281&gt;=M1281,"ja","nein")</f>
        <v>ja</v>
      </c>
      <c r="J1281" s="15" t="n">
        <f aca="false">ROUND(Annahmen!$K$35*(1+Annahmen!$B$20*D1281/1000),0)</f>
        <v>841</v>
      </c>
      <c r="K1281" s="15" t="n">
        <f aca="false">ROUND(Annahmen!$K$36*(1+Annahmen!$B$20*D1281/1000),0)</f>
        <v>1092</v>
      </c>
      <c r="L1281" s="15" t="n">
        <f aca="false">ROUND(Annahmen!$K$37*(1+Annahmen!$B$20*D1281/1000),0)</f>
        <v>1116</v>
      </c>
      <c r="M1281" s="15" t="n">
        <f aca="false">ROUND(Annahmen!$K$38*(1+Annahmen!$B$20*D1281/1000),0)</f>
        <v>1116</v>
      </c>
      <c r="N1281" s="16" t="s">
        <v>102</v>
      </c>
    </row>
    <row r="1282" customFormat="false" ht="15" hidden="false" customHeight="false" outlineLevel="0" collapsed="false">
      <c r="A1282" s="13" t="s">
        <v>2614</v>
      </c>
      <c r="B1282" s="14" t="s">
        <v>2615</v>
      </c>
      <c r="C1282" s="15" t="n">
        <v>1509</v>
      </c>
      <c r="D1282" s="15" t="n">
        <v>3026</v>
      </c>
      <c r="E1282" s="13" t="s">
        <v>82</v>
      </c>
      <c r="F1282" s="15" t="str">
        <f aca="false">IF(C1282&gt;=J1282,"ja","nein")</f>
        <v>ja</v>
      </c>
      <c r="G1282" s="15" t="str">
        <f aca="false">IF(C1282&gt;=K1282,"ja","nein")</f>
        <v>ja</v>
      </c>
      <c r="H1282" s="15" t="str">
        <f aca="false">IF(C1282&gt;=L1282,"ja","nein")</f>
        <v>ja</v>
      </c>
      <c r="I1282" s="15" t="str">
        <f aca="false">IF(C1282&gt;=M1282,"ja","nein")</f>
        <v>ja</v>
      </c>
      <c r="J1282" s="15" t="n">
        <f aca="false">ROUND(Annahmen!$K$35*(1+Annahmen!$B$20*D1282/1000),0)</f>
        <v>1069</v>
      </c>
      <c r="K1282" s="15" t="n">
        <f aca="false">ROUND(Annahmen!$K$36*(1+Annahmen!$B$20*D1282/1000),0)</f>
        <v>1388</v>
      </c>
      <c r="L1282" s="15" t="n">
        <f aca="false">ROUND(Annahmen!$K$37*(1+Annahmen!$B$20*D1282/1000),0)</f>
        <v>1419</v>
      </c>
      <c r="M1282" s="15" t="n">
        <f aca="false">ROUND(Annahmen!$K$38*(1+Annahmen!$B$20*D1282/1000),0)</f>
        <v>1419</v>
      </c>
      <c r="N1282" s="16" t="s">
        <v>86</v>
      </c>
    </row>
    <row r="1283" customFormat="false" ht="15" hidden="false" customHeight="false" outlineLevel="0" collapsed="false">
      <c r="A1283" s="13" t="s">
        <v>2616</v>
      </c>
      <c r="B1283" s="14" t="s">
        <v>2617</v>
      </c>
      <c r="C1283" s="15" t="n">
        <v>1435</v>
      </c>
      <c r="D1283" s="15" t="n">
        <v>102</v>
      </c>
      <c r="E1283" s="13" t="s">
        <v>82</v>
      </c>
      <c r="F1283" s="15" t="str">
        <f aca="false">IF(C1283&gt;=J1283,"ja","nein")</f>
        <v>ja</v>
      </c>
      <c r="G1283" s="15" t="str">
        <f aca="false">IF(C1283&gt;=K1283,"ja","nein")</f>
        <v>ja</v>
      </c>
      <c r="H1283" s="15" t="str">
        <f aca="false">IF(C1283&gt;=L1283,"ja","nein")</f>
        <v>ja</v>
      </c>
      <c r="I1283" s="15" t="str">
        <f aca="false">IF(C1283&gt;=M1283,"ja","nein")</f>
        <v>ja</v>
      </c>
      <c r="J1283" s="15" t="n">
        <f aca="false">ROUND(Annahmen!$K$35*(1+Annahmen!$B$20*D1283/1000),0)</f>
        <v>848</v>
      </c>
      <c r="K1283" s="15" t="n">
        <f aca="false">ROUND(Annahmen!$K$36*(1+Annahmen!$B$20*D1283/1000),0)</f>
        <v>1101</v>
      </c>
      <c r="L1283" s="15" t="n">
        <f aca="false">ROUND(Annahmen!$K$37*(1+Annahmen!$B$20*D1283/1000),0)</f>
        <v>1125</v>
      </c>
      <c r="M1283" s="15" t="n">
        <f aca="false">ROUND(Annahmen!$K$38*(1+Annahmen!$B$20*D1283/1000),0)</f>
        <v>1125</v>
      </c>
      <c r="N1283" s="16" t="s">
        <v>102</v>
      </c>
    </row>
    <row r="1284" customFormat="false" ht="15" hidden="false" customHeight="false" outlineLevel="0" collapsed="false">
      <c r="A1284" s="13" t="s">
        <v>2618</v>
      </c>
      <c r="B1284" s="14" t="s">
        <v>2619</v>
      </c>
      <c r="C1284" s="15" t="n">
        <v>1193</v>
      </c>
      <c r="D1284" s="15" t="n">
        <v>73</v>
      </c>
      <c r="E1284" s="13" t="s">
        <v>82</v>
      </c>
      <c r="F1284" s="15" t="str">
        <f aca="false">IF(C1284&gt;=J1284,"ja","nein")</f>
        <v>ja</v>
      </c>
      <c r="G1284" s="15" t="str">
        <f aca="false">IF(C1284&gt;=K1284,"ja","nein")</f>
        <v>ja</v>
      </c>
      <c r="H1284" s="15" t="str">
        <f aca="false">IF(C1284&gt;=L1284,"ja","nein")</f>
        <v>ja</v>
      </c>
      <c r="I1284" s="15" t="str">
        <f aca="false">IF(C1284&gt;=M1284,"ja","nein")</f>
        <v>ja</v>
      </c>
      <c r="J1284" s="15" t="n">
        <f aca="false">ROUND(Annahmen!$K$35*(1+Annahmen!$B$20*D1284/1000),0)</f>
        <v>846</v>
      </c>
      <c r="K1284" s="15" t="n">
        <f aca="false">ROUND(Annahmen!$K$36*(1+Annahmen!$B$20*D1284/1000),0)</f>
        <v>1098</v>
      </c>
      <c r="L1284" s="15" t="n">
        <f aca="false">ROUND(Annahmen!$K$37*(1+Annahmen!$B$20*D1284/1000),0)</f>
        <v>1122</v>
      </c>
      <c r="M1284" s="15" t="n">
        <f aca="false">ROUND(Annahmen!$K$38*(1+Annahmen!$B$20*D1284/1000),0)</f>
        <v>1122</v>
      </c>
      <c r="N1284" s="16" t="s">
        <v>102</v>
      </c>
    </row>
    <row r="1285" customFormat="false" ht="15" hidden="false" customHeight="false" outlineLevel="0" collapsed="false">
      <c r="A1285" s="13" t="s">
        <v>2620</v>
      </c>
      <c r="B1285" s="14" t="s">
        <v>2621</v>
      </c>
      <c r="C1285" s="15" t="n">
        <v>1001</v>
      </c>
      <c r="D1285" s="15" t="n">
        <v>3250</v>
      </c>
      <c r="E1285" s="13" t="s">
        <v>82</v>
      </c>
      <c r="F1285" s="15" t="str">
        <f aca="false">IF(C1285&gt;=J1285,"ja","nein")</f>
        <v>nein</v>
      </c>
      <c r="G1285" s="15" t="str">
        <f aca="false">IF(C1285&gt;=K1285,"ja","nein")</f>
        <v>nein</v>
      </c>
      <c r="H1285" s="15" t="str">
        <f aca="false">IF(C1285&gt;=L1285,"ja","nein")</f>
        <v>nein</v>
      </c>
      <c r="I1285" s="15" t="str">
        <f aca="false">IF(C1285&gt;=M1285,"ja","nein")</f>
        <v>nein</v>
      </c>
      <c r="J1285" s="15" t="n">
        <f aca="false">ROUND(Annahmen!$K$35*(1+Annahmen!$B$20*D1285/1000),0)</f>
        <v>1086</v>
      </c>
      <c r="K1285" s="15" t="n">
        <f aca="false">ROUND(Annahmen!$K$36*(1+Annahmen!$B$20*D1285/1000),0)</f>
        <v>1410</v>
      </c>
      <c r="L1285" s="15" t="n">
        <f aca="false">ROUND(Annahmen!$K$37*(1+Annahmen!$B$20*D1285/1000),0)</f>
        <v>1441</v>
      </c>
      <c r="M1285" s="15" t="n">
        <f aca="false">ROUND(Annahmen!$K$38*(1+Annahmen!$B$20*D1285/1000),0)</f>
        <v>1441</v>
      </c>
      <c r="N1285" s="16" t="s">
        <v>102</v>
      </c>
    </row>
    <row r="1286" customFormat="false" ht="15" hidden="false" customHeight="false" outlineLevel="0" collapsed="false">
      <c r="A1286" s="13" t="s">
        <v>2622</v>
      </c>
      <c r="B1286" s="14" t="s">
        <v>2623</v>
      </c>
      <c r="C1286" s="15" t="n">
        <v>535</v>
      </c>
      <c r="D1286" s="15" t="n">
        <v>61</v>
      </c>
      <c r="E1286" s="13" t="s">
        <v>82</v>
      </c>
      <c r="F1286" s="15" t="str">
        <f aca="false">IF(C1286&gt;=J1286,"ja","nein")</f>
        <v>nein</v>
      </c>
      <c r="G1286" s="15" t="str">
        <f aca="false">IF(C1286&gt;=K1286,"ja","nein")</f>
        <v>nein</v>
      </c>
      <c r="H1286" s="15" t="str">
        <f aca="false">IF(C1286&gt;=L1286,"ja","nein")</f>
        <v>nein</v>
      </c>
      <c r="I1286" s="15" t="str">
        <f aca="false">IF(C1286&gt;=M1286,"ja","nein")</f>
        <v>nein</v>
      </c>
      <c r="J1286" s="15" t="n">
        <f aca="false">ROUND(Annahmen!$K$35*(1+Annahmen!$B$20*D1286/1000),0)</f>
        <v>845</v>
      </c>
      <c r="K1286" s="15" t="n">
        <f aca="false">ROUND(Annahmen!$K$36*(1+Annahmen!$B$20*D1286/1000),0)</f>
        <v>1097</v>
      </c>
      <c r="L1286" s="15" t="n">
        <f aca="false">ROUND(Annahmen!$K$37*(1+Annahmen!$B$20*D1286/1000),0)</f>
        <v>1121</v>
      </c>
      <c r="M1286" s="15" t="n">
        <f aca="false">ROUND(Annahmen!$K$38*(1+Annahmen!$B$20*D1286/1000),0)</f>
        <v>1121</v>
      </c>
      <c r="N1286" s="16" t="s">
        <v>102</v>
      </c>
    </row>
    <row r="1287" customFormat="false" ht="15" hidden="false" customHeight="false" outlineLevel="0" collapsed="false">
      <c r="A1287" s="11" t="s">
        <v>2624</v>
      </c>
      <c r="B1287" s="12"/>
      <c r="C1287" s="12"/>
      <c r="D1287" s="12"/>
      <c r="E1287" s="12"/>
      <c r="F1287" s="12"/>
      <c r="G1287" s="12"/>
      <c r="H1287" s="12"/>
      <c r="I1287" s="12"/>
      <c r="J1287" s="12"/>
      <c r="K1287" s="12"/>
      <c r="L1287" s="12"/>
      <c r="M1287" s="12"/>
      <c r="N1287" s="12"/>
    </row>
    <row r="1288" customFormat="false" ht="15" hidden="false" customHeight="false" outlineLevel="0" collapsed="false">
      <c r="A1288" s="13" t="s">
        <v>2625</v>
      </c>
      <c r="B1288" s="14" t="s">
        <v>2626</v>
      </c>
      <c r="C1288" s="15" t="n">
        <v>4000</v>
      </c>
      <c r="D1288" s="15" t="n">
        <v>427</v>
      </c>
      <c r="E1288" s="13" t="s">
        <v>82</v>
      </c>
      <c r="F1288" s="15" t="str">
        <f aca="false">IF(C1288&gt;=J1288,"ja","nein")</f>
        <v>ja</v>
      </c>
      <c r="G1288" s="15" t="str">
        <f aca="false">IF(C1288&gt;=K1288,"ja","nein")</f>
        <v>ja</v>
      </c>
      <c r="H1288" s="15" t="str">
        <f aca="false">IF(C1288&gt;=L1288,"ja","nein")</f>
        <v>ja</v>
      </c>
      <c r="I1288" s="15" t="str">
        <f aca="false">IF(C1288&gt;=M1288,"ja","nein")</f>
        <v>ja</v>
      </c>
      <c r="J1288" s="15" t="n">
        <f aca="false">ROUND(Annahmen!$K$35*(1+Annahmen!$B$20*D1288/1000),0)</f>
        <v>872</v>
      </c>
      <c r="K1288" s="15" t="n">
        <f aca="false">ROUND(Annahmen!$K$36*(1+Annahmen!$B$20*D1288/1000),0)</f>
        <v>1133</v>
      </c>
      <c r="L1288" s="15" t="n">
        <f aca="false">ROUND(Annahmen!$K$37*(1+Annahmen!$B$20*D1288/1000),0)</f>
        <v>1158</v>
      </c>
      <c r="M1288" s="15" t="n">
        <f aca="false">ROUND(Annahmen!$K$38*(1+Annahmen!$B$20*D1288/1000),0)</f>
        <v>1158</v>
      </c>
      <c r="N1288" s="16" t="s">
        <v>86</v>
      </c>
    </row>
    <row r="1289" customFormat="false" ht="15" hidden="false" customHeight="false" outlineLevel="0" collapsed="false">
      <c r="A1289" s="13" t="s">
        <v>2627</v>
      </c>
      <c r="B1289" s="14" t="s">
        <v>2628</v>
      </c>
      <c r="C1289" s="15" t="n">
        <v>3701</v>
      </c>
      <c r="D1289" s="15" t="n">
        <v>639</v>
      </c>
      <c r="E1289" s="13" t="s">
        <v>82</v>
      </c>
      <c r="F1289" s="15" t="str">
        <f aca="false">IF(C1289&gt;=J1289,"ja","nein")</f>
        <v>ja</v>
      </c>
      <c r="G1289" s="15" t="str">
        <f aca="false">IF(C1289&gt;=K1289,"ja","nein")</f>
        <v>ja</v>
      </c>
      <c r="H1289" s="15" t="str">
        <f aca="false">IF(C1289&gt;=L1289,"ja","nein")</f>
        <v>ja</v>
      </c>
      <c r="I1289" s="15" t="str">
        <f aca="false">IF(C1289&gt;=M1289,"ja","nein")</f>
        <v>ja</v>
      </c>
      <c r="J1289" s="15" t="n">
        <f aca="false">ROUND(Annahmen!$K$35*(1+Annahmen!$B$20*D1289/1000),0)</f>
        <v>888</v>
      </c>
      <c r="K1289" s="15" t="n">
        <f aca="false">ROUND(Annahmen!$K$36*(1+Annahmen!$B$20*D1289/1000),0)</f>
        <v>1154</v>
      </c>
      <c r="L1289" s="15" t="n">
        <f aca="false">ROUND(Annahmen!$K$37*(1+Annahmen!$B$20*D1289/1000),0)</f>
        <v>1179</v>
      </c>
      <c r="M1289" s="15" t="n">
        <f aca="false">ROUND(Annahmen!$K$38*(1+Annahmen!$B$20*D1289/1000),0)</f>
        <v>1179</v>
      </c>
      <c r="N1289" s="16" t="s">
        <v>83</v>
      </c>
    </row>
    <row r="1290" customFormat="false" ht="15" hidden="false" customHeight="false" outlineLevel="0" collapsed="false">
      <c r="A1290" s="13" t="s">
        <v>2629</v>
      </c>
      <c r="B1290" s="14" t="s">
        <v>2630</v>
      </c>
      <c r="C1290" s="15" t="n">
        <v>3500</v>
      </c>
      <c r="D1290" s="15" t="n">
        <v>517</v>
      </c>
      <c r="E1290" s="13" t="s">
        <v>82</v>
      </c>
      <c r="F1290" s="15" t="str">
        <f aca="false">IF(C1290&gt;=J1290,"ja","nein")</f>
        <v>ja</v>
      </c>
      <c r="G1290" s="15" t="str">
        <f aca="false">IF(C1290&gt;=K1290,"ja","nein")</f>
        <v>ja</v>
      </c>
      <c r="H1290" s="15" t="str">
        <f aca="false">IF(C1290&gt;=L1290,"ja","nein")</f>
        <v>ja</v>
      </c>
      <c r="I1290" s="15" t="str">
        <f aca="false">IF(C1290&gt;=M1290,"ja","nein")</f>
        <v>ja</v>
      </c>
      <c r="J1290" s="15" t="n">
        <f aca="false">ROUND(Annahmen!$K$35*(1+Annahmen!$B$20*D1290/1000),0)</f>
        <v>879</v>
      </c>
      <c r="K1290" s="15" t="n">
        <f aca="false">ROUND(Annahmen!$K$36*(1+Annahmen!$B$20*D1290/1000),0)</f>
        <v>1142</v>
      </c>
      <c r="L1290" s="15" t="n">
        <f aca="false">ROUND(Annahmen!$K$37*(1+Annahmen!$B$20*D1290/1000),0)</f>
        <v>1167</v>
      </c>
      <c r="M1290" s="15" t="n">
        <f aca="false">ROUND(Annahmen!$K$38*(1+Annahmen!$B$20*D1290/1000),0)</f>
        <v>1167</v>
      </c>
      <c r="N1290" s="16" t="s">
        <v>86</v>
      </c>
    </row>
    <row r="1291" customFormat="false" ht="15" hidden="false" customHeight="false" outlineLevel="0" collapsed="false">
      <c r="A1291" s="13" t="s">
        <v>2631</v>
      </c>
      <c r="B1291" s="14" t="s">
        <v>2632</v>
      </c>
      <c r="C1291" s="15" t="n">
        <v>3305</v>
      </c>
      <c r="D1291" s="15" t="n">
        <v>1071</v>
      </c>
      <c r="E1291" s="13" t="s">
        <v>82</v>
      </c>
      <c r="F1291" s="15" t="str">
        <f aca="false">IF(C1291&gt;=J1291,"ja","nein")</f>
        <v>ja</v>
      </c>
      <c r="G1291" s="15" t="str">
        <f aca="false">IF(C1291&gt;=K1291,"ja","nein")</f>
        <v>ja</v>
      </c>
      <c r="H1291" s="15" t="str">
        <f aca="false">IF(C1291&gt;=L1291,"ja","nein")</f>
        <v>ja</v>
      </c>
      <c r="I1291" s="15" t="str">
        <f aca="false">IF(C1291&gt;=M1291,"ja","nein")</f>
        <v>ja</v>
      </c>
      <c r="J1291" s="15" t="n">
        <f aca="false">ROUND(Annahmen!$K$35*(1+Annahmen!$B$20*D1291/1000),0)</f>
        <v>921</v>
      </c>
      <c r="K1291" s="15" t="n">
        <f aca="false">ROUND(Annahmen!$K$36*(1+Annahmen!$B$20*D1291/1000),0)</f>
        <v>1196</v>
      </c>
      <c r="L1291" s="15" t="n">
        <f aca="false">ROUND(Annahmen!$K$37*(1+Annahmen!$B$20*D1291/1000),0)</f>
        <v>1222</v>
      </c>
      <c r="M1291" s="15" t="n">
        <f aca="false">ROUND(Annahmen!$K$38*(1+Annahmen!$B$20*D1291/1000),0)</f>
        <v>1222</v>
      </c>
      <c r="N1291" s="16" t="s">
        <v>83</v>
      </c>
    </row>
    <row r="1292" customFormat="false" ht="15" hidden="false" customHeight="false" outlineLevel="0" collapsed="false">
      <c r="A1292" s="13" t="s">
        <v>2633</v>
      </c>
      <c r="B1292" s="14" t="s">
        <v>2634</v>
      </c>
      <c r="C1292" s="15" t="n">
        <v>2841</v>
      </c>
      <c r="D1292" s="15" t="n">
        <v>481</v>
      </c>
      <c r="E1292" s="13" t="s">
        <v>82</v>
      </c>
      <c r="F1292" s="15" t="str">
        <f aca="false">IF(C1292&gt;=J1292,"ja","nein")</f>
        <v>ja</v>
      </c>
      <c r="G1292" s="15" t="str">
        <f aca="false">IF(C1292&gt;=K1292,"ja","nein")</f>
        <v>ja</v>
      </c>
      <c r="H1292" s="15" t="str">
        <f aca="false">IF(C1292&gt;=L1292,"ja","nein")</f>
        <v>ja</v>
      </c>
      <c r="I1292" s="15" t="str">
        <f aca="false">IF(C1292&gt;=M1292,"ja","nein")</f>
        <v>ja</v>
      </c>
      <c r="J1292" s="15" t="n">
        <f aca="false">ROUND(Annahmen!$K$35*(1+Annahmen!$B$20*D1292/1000),0)</f>
        <v>876</v>
      </c>
      <c r="K1292" s="15" t="n">
        <f aca="false">ROUND(Annahmen!$K$36*(1+Annahmen!$B$20*D1292/1000),0)</f>
        <v>1138</v>
      </c>
      <c r="L1292" s="15" t="n">
        <f aca="false">ROUND(Annahmen!$K$37*(1+Annahmen!$B$20*D1292/1000),0)</f>
        <v>1163</v>
      </c>
      <c r="M1292" s="15" t="n">
        <f aca="false">ROUND(Annahmen!$K$38*(1+Annahmen!$B$20*D1292/1000),0)</f>
        <v>1163</v>
      </c>
      <c r="N1292" s="16" t="s">
        <v>86</v>
      </c>
    </row>
    <row r="1293" customFormat="false" ht="15" hidden="false" customHeight="false" outlineLevel="0" collapsed="false">
      <c r="A1293" s="13" t="s">
        <v>2635</v>
      </c>
      <c r="B1293" s="14" t="s">
        <v>2636</v>
      </c>
      <c r="C1293" s="15" t="n">
        <v>2800</v>
      </c>
      <c r="D1293" s="15" t="n">
        <v>172</v>
      </c>
      <c r="E1293" s="13" t="s">
        <v>82</v>
      </c>
      <c r="F1293" s="15" t="str">
        <f aca="false">IF(C1293&gt;=J1293,"ja","nein")</f>
        <v>ja</v>
      </c>
      <c r="G1293" s="15" t="str">
        <f aca="false">IF(C1293&gt;=K1293,"ja","nein")</f>
        <v>ja</v>
      </c>
      <c r="H1293" s="15" t="str">
        <f aca="false">IF(C1293&gt;=L1293,"ja","nein")</f>
        <v>ja</v>
      </c>
      <c r="I1293" s="15" t="str">
        <f aca="false">IF(C1293&gt;=M1293,"ja","nein")</f>
        <v>ja</v>
      </c>
      <c r="J1293" s="15" t="n">
        <f aca="false">ROUND(Annahmen!$K$35*(1+Annahmen!$B$20*D1293/1000),0)</f>
        <v>853</v>
      </c>
      <c r="K1293" s="15" t="n">
        <f aca="false">ROUND(Annahmen!$K$36*(1+Annahmen!$B$20*D1293/1000),0)</f>
        <v>1108</v>
      </c>
      <c r="L1293" s="15" t="n">
        <f aca="false">ROUND(Annahmen!$K$37*(1+Annahmen!$B$20*D1293/1000),0)</f>
        <v>1132</v>
      </c>
      <c r="M1293" s="15" t="n">
        <f aca="false">ROUND(Annahmen!$K$38*(1+Annahmen!$B$20*D1293/1000),0)</f>
        <v>1132</v>
      </c>
      <c r="N1293" s="16" t="s">
        <v>83</v>
      </c>
    </row>
    <row r="1294" customFormat="false" ht="15" hidden="false" customHeight="false" outlineLevel="0" collapsed="false">
      <c r="A1294" s="13" t="s">
        <v>2637</v>
      </c>
      <c r="B1294" s="14" t="s">
        <v>2638</v>
      </c>
      <c r="C1294" s="15" t="n">
        <v>2626</v>
      </c>
      <c r="D1294" s="15" t="n">
        <v>755</v>
      </c>
      <c r="E1294" s="13" t="s">
        <v>82</v>
      </c>
      <c r="F1294" s="15" t="str">
        <f aca="false">IF(C1294&gt;=J1294,"ja","nein")</f>
        <v>ja</v>
      </c>
      <c r="G1294" s="15" t="str">
        <f aca="false">IF(C1294&gt;=K1294,"ja","nein")</f>
        <v>ja</v>
      </c>
      <c r="H1294" s="15" t="str">
        <f aca="false">IF(C1294&gt;=L1294,"ja","nein")</f>
        <v>ja</v>
      </c>
      <c r="I1294" s="15" t="str">
        <f aca="false">IF(C1294&gt;=M1294,"ja","nein")</f>
        <v>ja</v>
      </c>
      <c r="J1294" s="15" t="n">
        <f aca="false">ROUND(Annahmen!$K$35*(1+Annahmen!$B$20*D1294/1000),0)</f>
        <v>897</v>
      </c>
      <c r="K1294" s="15" t="n">
        <f aca="false">ROUND(Annahmen!$K$36*(1+Annahmen!$B$20*D1294/1000),0)</f>
        <v>1165</v>
      </c>
      <c r="L1294" s="15" t="n">
        <f aca="false">ROUND(Annahmen!$K$37*(1+Annahmen!$B$20*D1294/1000),0)</f>
        <v>1191</v>
      </c>
      <c r="M1294" s="15" t="n">
        <f aca="false">ROUND(Annahmen!$K$38*(1+Annahmen!$B$20*D1294/1000),0)</f>
        <v>1191</v>
      </c>
      <c r="N1294" s="16" t="s">
        <v>86</v>
      </c>
    </row>
    <row r="1295" customFormat="false" ht="15" hidden="false" customHeight="false" outlineLevel="0" collapsed="false">
      <c r="A1295" s="13" t="s">
        <v>2639</v>
      </c>
      <c r="B1295" s="14" t="s">
        <v>2640</v>
      </c>
      <c r="C1295" s="15" t="n">
        <v>2570</v>
      </c>
      <c r="D1295" s="15" t="n">
        <v>251</v>
      </c>
      <c r="E1295" s="13" t="s">
        <v>82</v>
      </c>
      <c r="F1295" s="15" t="str">
        <f aca="false">IF(C1295&gt;=J1295,"ja","nein")</f>
        <v>ja</v>
      </c>
      <c r="G1295" s="15" t="str">
        <f aca="false">IF(C1295&gt;=K1295,"ja","nein")</f>
        <v>ja</v>
      </c>
      <c r="H1295" s="15" t="str">
        <f aca="false">IF(C1295&gt;=L1295,"ja","nein")</f>
        <v>ja</v>
      </c>
      <c r="I1295" s="15" t="str">
        <f aca="false">IF(C1295&gt;=M1295,"ja","nein")</f>
        <v>ja</v>
      </c>
      <c r="J1295" s="15" t="n">
        <f aca="false">ROUND(Annahmen!$K$35*(1+Annahmen!$B$20*D1295/1000),0)</f>
        <v>859</v>
      </c>
      <c r="K1295" s="15" t="n">
        <f aca="false">ROUND(Annahmen!$K$36*(1+Annahmen!$B$20*D1295/1000),0)</f>
        <v>1116</v>
      </c>
      <c r="L1295" s="15" t="n">
        <f aca="false">ROUND(Annahmen!$K$37*(1+Annahmen!$B$20*D1295/1000),0)</f>
        <v>1140</v>
      </c>
      <c r="M1295" s="15" t="n">
        <f aca="false">ROUND(Annahmen!$K$38*(1+Annahmen!$B$20*D1295/1000),0)</f>
        <v>1140</v>
      </c>
      <c r="N1295" s="16" t="s">
        <v>86</v>
      </c>
    </row>
    <row r="1296" customFormat="false" ht="15" hidden="false" customHeight="false" outlineLevel="0" collapsed="false">
      <c r="A1296" s="13" t="s">
        <v>2641</v>
      </c>
      <c r="B1296" s="14" t="s">
        <v>2642</v>
      </c>
      <c r="C1296" s="15" t="n">
        <v>2507</v>
      </c>
      <c r="D1296" s="15" t="n">
        <v>919</v>
      </c>
      <c r="E1296" s="13" t="s">
        <v>82</v>
      </c>
      <c r="F1296" s="15" t="str">
        <f aca="false">IF(C1296&gt;=J1296,"ja","nein")</f>
        <v>ja</v>
      </c>
      <c r="G1296" s="15" t="str">
        <f aca="false">IF(C1296&gt;=K1296,"ja","nein")</f>
        <v>ja</v>
      </c>
      <c r="H1296" s="15" t="str">
        <f aca="false">IF(C1296&gt;=L1296,"ja","nein")</f>
        <v>ja</v>
      </c>
      <c r="I1296" s="15" t="str">
        <f aca="false">IF(C1296&gt;=M1296,"ja","nein")</f>
        <v>ja</v>
      </c>
      <c r="J1296" s="15" t="n">
        <f aca="false">ROUND(Annahmen!$K$35*(1+Annahmen!$B$20*D1296/1000),0)</f>
        <v>909</v>
      </c>
      <c r="K1296" s="15" t="n">
        <f aca="false">ROUND(Annahmen!$K$36*(1+Annahmen!$B$20*D1296/1000),0)</f>
        <v>1181</v>
      </c>
      <c r="L1296" s="15" t="n">
        <f aca="false">ROUND(Annahmen!$K$37*(1+Annahmen!$B$20*D1296/1000),0)</f>
        <v>1207</v>
      </c>
      <c r="M1296" s="15" t="n">
        <f aca="false">ROUND(Annahmen!$K$38*(1+Annahmen!$B$20*D1296/1000),0)</f>
        <v>1207</v>
      </c>
      <c r="N1296" s="16" t="s">
        <v>86</v>
      </c>
    </row>
    <row r="1297" customFormat="false" ht="15" hidden="false" customHeight="false" outlineLevel="0" collapsed="false">
      <c r="A1297" s="13" t="s">
        <v>2643</v>
      </c>
      <c r="B1297" s="14" t="s">
        <v>2644</v>
      </c>
      <c r="C1297" s="15" t="n">
        <v>2502</v>
      </c>
      <c r="D1297" s="15" t="n">
        <v>373</v>
      </c>
      <c r="E1297" s="13" t="s">
        <v>82</v>
      </c>
      <c r="F1297" s="15" t="str">
        <f aca="false">IF(C1297&gt;=J1297,"ja","nein")</f>
        <v>ja</v>
      </c>
      <c r="G1297" s="15" t="str">
        <f aca="false">IF(C1297&gt;=K1297,"ja","nein")</f>
        <v>ja</v>
      </c>
      <c r="H1297" s="15" t="str">
        <f aca="false">IF(C1297&gt;=L1297,"ja","nein")</f>
        <v>ja</v>
      </c>
      <c r="I1297" s="15" t="str">
        <f aca="false">IF(C1297&gt;=M1297,"ja","nein")</f>
        <v>ja</v>
      </c>
      <c r="J1297" s="15" t="n">
        <f aca="false">ROUND(Annahmen!$K$35*(1+Annahmen!$B$20*D1297/1000),0)</f>
        <v>868</v>
      </c>
      <c r="K1297" s="15" t="n">
        <f aca="false">ROUND(Annahmen!$K$36*(1+Annahmen!$B$20*D1297/1000),0)</f>
        <v>1128</v>
      </c>
      <c r="L1297" s="15" t="n">
        <f aca="false">ROUND(Annahmen!$K$37*(1+Annahmen!$B$20*D1297/1000),0)</f>
        <v>1152</v>
      </c>
      <c r="M1297" s="15" t="n">
        <f aca="false">ROUND(Annahmen!$K$38*(1+Annahmen!$B$20*D1297/1000),0)</f>
        <v>1152</v>
      </c>
      <c r="N1297" s="16" t="s">
        <v>83</v>
      </c>
    </row>
    <row r="1298" customFormat="false" ht="15" hidden="false" customHeight="false" outlineLevel="0" collapsed="false">
      <c r="A1298" s="13" t="s">
        <v>2645</v>
      </c>
      <c r="B1298" s="14" t="s">
        <v>2646</v>
      </c>
      <c r="C1298" s="15" t="n">
        <v>2500</v>
      </c>
      <c r="D1298" s="15" t="n">
        <v>895</v>
      </c>
      <c r="E1298" s="13" t="s">
        <v>82</v>
      </c>
      <c r="F1298" s="15" t="str">
        <f aca="false">IF(C1298&gt;=J1298,"ja","nein")</f>
        <v>ja</v>
      </c>
      <c r="G1298" s="15" t="str">
        <f aca="false">IF(C1298&gt;=K1298,"ja","nein")</f>
        <v>ja</v>
      </c>
      <c r="H1298" s="15" t="str">
        <f aca="false">IF(C1298&gt;=L1298,"ja","nein")</f>
        <v>ja</v>
      </c>
      <c r="I1298" s="15" t="str">
        <f aca="false">IF(C1298&gt;=M1298,"ja","nein")</f>
        <v>ja</v>
      </c>
      <c r="J1298" s="15" t="n">
        <f aca="false">ROUND(Annahmen!$K$35*(1+Annahmen!$B$20*D1298/1000),0)</f>
        <v>908</v>
      </c>
      <c r="K1298" s="15" t="n">
        <f aca="false">ROUND(Annahmen!$K$36*(1+Annahmen!$B$20*D1298/1000),0)</f>
        <v>1179</v>
      </c>
      <c r="L1298" s="15" t="n">
        <f aca="false">ROUND(Annahmen!$K$37*(1+Annahmen!$B$20*D1298/1000),0)</f>
        <v>1205</v>
      </c>
      <c r="M1298" s="15" t="n">
        <f aca="false">ROUND(Annahmen!$K$38*(1+Annahmen!$B$20*D1298/1000),0)</f>
        <v>1205</v>
      </c>
      <c r="N1298" s="16" t="s">
        <v>102</v>
      </c>
    </row>
    <row r="1299" customFormat="false" ht="15" hidden="false" customHeight="false" outlineLevel="0" collapsed="false">
      <c r="A1299" s="13" t="s">
        <v>2647</v>
      </c>
      <c r="B1299" s="14" t="s">
        <v>2648</v>
      </c>
      <c r="C1299" s="15" t="n">
        <v>2500</v>
      </c>
      <c r="D1299" s="15" t="n">
        <v>171</v>
      </c>
      <c r="E1299" s="13" t="s">
        <v>82</v>
      </c>
      <c r="F1299" s="15" t="str">
        <f aca="false">IF(C1299&gt;=J1299,"ja","nein")</f>
        <v>ja</v>
      </c>
      <c r="G1299" s="15" t="str">
        <f aca="false">IF(C1299&gt;=K1299,"ja","nein")</f>
        <v>ja</v>
      </c>
      <c r="H1299" s="15" t="str">
        <f aca="false">IF(C1299&gt;=L1299,"ja","nein")</f>
        <v>ja</v>
      </c>
      <c r="I1299" s="15" t="str">
        <f aca="false">IF(C1299&gt;=M1299,"ja","nein")</f>
        <v>ja</v>
      </c>
      <c r="J1299" s="15" t="n">
        <f aca="false">ROUND(Annahmen!$K$35*(1+Annahmen!$B$20*D1299/1000),0)</f>
        <v>853</v>
      </c>
      <c r="K1299" s="15" t="n">
        <f aca="false">ROUND(Annahmen!$K$36*(1+Annahmen!$B$20*D1299/1000),0)</f>
        <v>1108</v>
      </c>
      <c r="L1299" s="15" t="n">
        <f aca="false">ROUND(Annahmen!$K$37*(1+Annahmen!$B$20*D1299/1000),0)</f>
        <v>1132</v>
      </c>
      <c r="M1299" s="15" t="n">
        <f aca="false">ROUND(Annahmen!$K$38*(1+Annahmen!$B$20*D1299/1000),0)</f>
        <v>1132</v>
      </c>
      <c r="N1299" s="16" t="s">
        <v>86</v>
      </c>
    </row>
    <row r="1300" customFormat="false" ht="15" hidden="false" customHeight="false" outlineLevel="0" collapsed="false">
      <c r="A1300" s="13" t="s">
        <v>2649</v>
      </c>
      <c r="B1300" s="14" t="s">
        <v>2650</v>
      </c>
      <c r="C1300" s="15" t="n">
        <v>2500</v>
      </c>
      <c r="D1300" s="15" t="n">
        <v>408</v>
      </c>
      <c r="E1300" s="13" t="s">
        <v>82</v>
      </c>
      <c r="F1300" s="15" t="str">
        <f aca="false">IF(C1300&gt;=J1300,"ja","nein")</f>
        <v>ja</v>
      </c>
      <c r="G1300" s="15" t="str">
        <f aca="false">IF(C1300&gt;=K1300,"ja","nein")</f>
        <v>ja</v>
      </c>
      <c r="H1300" s="15" t="str">
        <f aca="false">IF(C1300&gt;=L1300,"ja","nein")</f>
        <v>ja</v>
      </c>
      <c r="I1300" s="15" t="str">
        <f aca="false">IF(C1300&gt;=M1300,"ja","nein")</f>
        <v>ja</v>
      </c>
      <c r="J1300" s="15" t="n">
        <f aca="false">ROUND(Annahmen!$K$35*(1+Annahmen!$B$20*D1300/1000),0)</f>
        <v>871</v>
      </c>
      <c r="K1300" s="15" t="n">
        <f aca="false">ROUND(Annahmen!$K$36*(1+Annahmen!$B$20*D1300/1000),0)</f>
        <v>1131</v>
      </c>
      <c r="L1300" s="15" t="n">
        <f aca="false">ROUND(Annahmen!$K$37*(1+Annahmen!$B$20*D1300/1000),0)</f>
        <v>1156</v>
      </c>
      <c r="M1300" s="15" t="n">
        <f aca="false">ROUND(Annahmen!$K$38*(1+Annahmen!$B$20*D1300/1000),0)</f>
        <v>1156</v>
      </c>
      <c r="N1300" s="16" t="s">
        <v>86</v>
      </c>
    </row>
    <row r="1301" customFormat="false" ht="15" hidden="false" customHeight="false" outlineLevel="0" collapsed="false">
      <c r="A1301" s="13" t="s">
        <v>2651</v>
      </c>
      <c r="B1301" s="14" t="s">
        <v>2652</v>
      </c>
      <c r="C1301" s="15" t="n">
        <v>2500</v>
      </c>
      <c r="D1301" s="15" t="n">
        <v>148</v>
      </c>
      <c r="E1301" s="13" t="s">
        <v>82</v>
      </c>
      <c r="F1301" s="15" t="str">
        <f aca="false">IF(C1301&gt;=J1301,"ja","nein")</f>
        <v>ja</v>
      </c>
      <c r="G1301" s="15" t="str">
        <f aca="false">IF(C1301&gt;=K1301,"ja","nein")</f>
        <v>ja</v>
      </c>
      <c r="H1301" s="15" t="str">
        <f aca="false">IF(C1301&gt;=L1301,"ja","nein")</f>
        <v>ja</v>
      </c>
      <c r="I1301" s="15" t="str">
        <f aca="false">IF(C1301&gt;=M1301,"ja","nein")</f>
        <v>ja</v>
      </c>
      <c r="J1301" s="15" t="n">
        <f aca="false">ROUND(Annahmen!$K$35*(1+Annahmen!$B$20*D1301/1000),0)</f>
        <v>851</v>
      </c>
      <c r="K1301" s="15" t="n">
        <f aca="false">ROUND(Annahmen!$K$36*(1+Annahmen!$B$20*D1301/1000),0)</f>
        <v>1106</v>
      </c>
      <c r="L1301" s="15" t="n">
        <f aca="false">ROUND(Annahmen!$K$37*(1+Annahmen!$B$20*D1301/1000),0)</f>
        <v>1130</v>
      </c>
      <c r="M1301" s="15" t="n">
        <f aca="false">ROUND(Annahmen!$K$38*(1+Annahmen!$B$20*D1301/1000),0)</f>
        <v>1130</v>
      </c>
      <c r="N1301" s="16" t="s">
        <v>86</v>
      </c>
    </row>
    <row r="1302" customFormat="false" ht="15" hidden="false" customHeight="false" outlineLevel="0" collapsed="false">
      <c r="A1302" s="13" t="s">
        <v>2653</v>
      </c>
      <c r="B1302" s="14" t="s">
        <v>2654</v>
      </c>
      <c r="C1302" s="15" t="n">
        <v>2493</v>
      </c>
      <c r="D1302" s="15" t="n">
        <v>375</v>
      </c>
      <c r="E1302" s="13" t="s">
        <v>82</v>
      </c>
      <c r="F1302" s="15" t="str">
        <f aca="false">IF(C1302&gt;=J1302,"ja","nein")</f>
        <v>ja</v>
      </c>
      <c r="G1302" s="15" t="str">
        <f aca="false">IF(C1302&gt;=K1302,"ja","nein")</f>
        <v>ja</v>
      </c>
      <c r="H1302" s="15" t="str">
        <f aca="false">IF(C1302&gt;=L1302,"ja","nein")</f>
        <v>ja</v>
      </c>
      <c r="I1302" s="15" t="str">
        <f aca="false">IF(C1302&gt;=M1302,"ja","nein")</f>
        <v>ja</v>
      </c>
      <c r="J1302" s="15" t="n">
        <f aca="false">ROUND(Annahmen!$K$35*(1+Annahmen!$B$20*D1302/1000),0)</f>
        <v>868</v>
      </c>
      <c r="K1302" s="15" t="n">
        <f aca="false">ROUND(Annahmen!$K$36*(1+Annahmen!$B$20*D1302/1000),0)</f>
        <v>1128</v>
      </c>
      <c r="L1302" s="15" t="n">
        <f aca="false">ROUND(Annahmen!$K$37*(1+Annahmen!$B$20*D1302/1000),0)</f>
        <v>1153</v>
      </c>
      <c r="M1302" s="15" t="n">
        <f aca="false">ROUND(Annahmen!$K$38*(1+Annahmen!$B$20*D1302/1000),0)</f>
        <v>1153</v>
      </c>
      <c r="N1302" s="16" t="s">
        <v>86</v>
      </c>
    </row>
    <row r="1303" customFormat="false" ht="15" hidden="false" customHeight="false" outlineLevel="0" collapsed="false">
      <c r="A1303" s="13" t="s">
        <v>2655</v>
      </c>
      <c r="B1303" s="14" t="s">
        <v>2656</v>
      </c>
      <c r="C1303" s="15" t="n">
        <v>2492</v>
      </c>
      <c r="D1303" s="15" t="n">
        <v>961</v>
      </c>
      <c r="E1303" s="13" t="s">
        <v>82</v>
      </c>
      <c r="F1303" s="15" t="str">
        <f aca="false">IF(C1303&gt;=J1303,"ja","nein")</f>
        <v>ja</v>
      </c>
      <c r="G1303" s="15" t="str">
        <f aca="false">IF(C1303&gt;=K1303,"ja","nein")</f>
        <v>ja</v>
      </c>
      <c r="H1303" s="15" t="str">
        <f aca="false">IF(C1303&gt;=L1303,"ja","nein")</f>
        <v>ja</v>
      </c>
      <c r="I1303" s="15" t="str">
        <f aca="false">IF(C1303&gt;=M1303,"ja","nein")</f>
        <v>ja</v>
      </c>
      <c r="J1303" s="15" t="n">
        <f aca="false">ROUND(Annahmen!$K$35*(1+Annahmen!$B$20*D1303/1000),0)</f>
        <v>913</v>
      </c>
      <c r="K1303" s="15" t="n">
        <f aca="false">ROUND(Annahmen!$K$36*(1+Annahmen!$B$20*D1303/1000),0)</f>
        <v>1185</v>
      </c>
      <c r="L1303" s="15" t="n">
        <f aca="false">ROUND(Annahmen!$K$37*(1+Annahmen!$B$20*D1303/1000),0)</f>
        <v>1211</v>
      </c>
      <c r="M1303" s="15" t="n">
        <f aca="false">ROUND(Annahmen!$K$38*(1+Annahmen!$B$20*D1303/1000),0)</f>
        <v>1211</v>
      </c>
      <c r="N1303" s="16" t="s">
        <v>86</v>
      </c>
    </row>
    <row r="1304" customFormat="false" ht="15" hidden="false" customHeight="false" outlineLevel="0" collapsed="false">
      <c r="A1304" s="13" t="s">
        <v>2657</v>
      </c>
      <c r="B1304" s="14" t="s">
        <v>2658</v>
      </c>
      <c r="C1304" s="15" t="n">
        <v>2220</v>
      </c>
      <c r="D1304" s="15" t="n">
        <v>508</v>
      </c>
      <c r="E1304" s="13" t="s">
        <v>82</v>
      </c>
      <c r="F1304" s="15" t="str">
        <f aca="false">IF(C1304&gt;=J1304,"ja","nein")</f>
        <v>ja</v>
      </c>
      <c r="G1304" s="15" t="str">
        <f aca="false">IF(C1304&gt;=K1304,"ja","nein")</f>
        <v>ja</v>
      </c>
      <c r="H1304" s="15" t="str">
        <f aca="false">IF(C1304&gt;=L1304,"ja","nein")</f>
        <v>ja</v>
      </c>
      <c r="I1304" s="15" t="str">
        <f aca="false">IF(C1304&gt;=M1304,"ja","nein")</f>
        <v>ja</v>
      </c>
      <c r="J1304" s="15" t="n">
        <f aca="false">ROUND(Annahmen!$K$35*(1+Annahmen!$B$20*D1304/1000),0)</f>
        <v>878</v>
      </c>
      <c r="K1304" s="15" t="n">
        <f aca="false">ROUND(Annahmen!$K$36*(1+Annahmen!$B$20*D1304/1000),0)</f>
        <v>1141</v>
      </c>
      <c r="L1304" s="15" t="n">
        <f aca="false">ROUND(Annahmen!$K$37*(1+Annahmen!$B$20*D1304/1000),0)</f>
        <v>1166</v>
      </c>
      <c r="M1304" s="15" t="n">
        <f aca="false">ROUND(Annahmen!$K$38*(1+Annahmen!$B$20*D1304/1000),0)</f>
        <v>1166</v>
      </c>
      <c r="N1304" s="16" t="s">
        <v>86</v>
      </c>
    </row>
    <row r="1305" customFormat="false" ht="15" hidden="false" customHeight="false" outlineLevel="0" collapsed="false">
      <c r="A1305" s="13" t="s">
        <v>2659</v>
      </c>
      <c r="B1305" s="14" t="s">
        <v>2660</v>
      </c>
      <c r="C1305" s="15" t="n">
        <v>2216</v>
      </c>
      <c r="D1305" s="15" t="n">
        <v>826</v>
      </c>
      <c r="E1305" s="13" t="s">
        <v>82</v>
      </c>
      <c r="F1305" s="15" t="str">
        <f aca="false">IF(C1305&gt;=J1305,"ja","nein")</f>
        <v>ja</v>
      </c>
      <c r="G1305" s="15" t="str">
        <f aca="false">IF(C1305&gt;=K1305,"ja","nein")</f>
        <v>ja</v>
      </c>
      <c r="H1305" s="15" t="str">
        <f aca="false">IF(C1305&gt;=L1305,"ja","nein")</f>
        <v>ja</v>
      </c>
      <c r="I1305" s="15" t="str">
        <f aca="false">IF(C1305&gt;=M1305,"ja","nein")</f>
        <v>ja</v>
      </c>
      <c r="J1305" s="15" t="n">
        <f aca="false">ROUND(Annahmen!$K$35*(1+Annahmen!$B$20*D1305/1000),0)</f>
        <v>902</v>
      </c>
      <c r="K1305" s="15" t="n">
        <f aca="false">ROUND(Annahmen!$K$36*(1+Annahmen!$B$20*D1305/1000),0)</f>
        <v>1172</v>
      </c>
      <c r="L1305" s="15" t="n">
        <f aca="false">ROUND(Annahmen!$K$37*(1+Annahmen!$B$20*D1305/1000),0)</f>
        <v>1198</v>
      </c>
      <c r="M1305" s="15" t="n">
        <f aca="false">ROUND(Annahmen!$K$38*(1+Annahmen!$B$20*D1305/1000),0)</f>
        <v>1198</v>
      </c>
      <c r="N1305" s="16" t="s">
        <v>86</v>
      </c>
    </row>
    <row r="1306" customFormat="false" ht="15" hidden="false" customHeight="false" outlineLevel="0" collapsed="false">
      <c r="A1306" s="13" t="s">
        <v>2661</v>
      </c>
      <c r="B1306" s="14" t="s">
        <v>2662</v>
      </c>
      <c r="C1306" s="15" t="n">
        <v>2200</v>
      </c>
      <c r="D1306" s="15" t="n">
        <v>1150</v>
      </c>
      <c r="E1306" s="13" t="s">
        <v>82</v>
      </c>
      <c r="F1306" s="15" t="str">
        <f aca="false">IF(C1306&gt;=J1306,"ja","nein")</f>
        <v>ja</v>
      </c>
      <c r="G1306" s="15" t="str">
        <f aca="false">IF(C1306&gt;=K1306,"ja","nein")</f>
        <v>ja</v>
      </c>
      <c r="H1306" s="15" t="str">
        <f aca="false">IF(C1306&gt;=L1306,"ja","nein")</f>
        <v>ja</v>
      </c>
      <c r="I1306" s="15" t="str">
        <f aca="false">IF(C1306&gt;=M1306,"ja","nein")</f>
        <v>ja</v>
      </c>
      <c r="J1306" s="15" t="n">
        <f aca="false">ROUND(Annahmen!$K$35*(1+Annahmen!$B$20*D1306/1000),0)</f>
        <v>927</v>
      </c>
      <c r="K1306" s="15" t="n">
        <f aca="false">ROUND(Annahmen!$K$36*(1+Annahmen!$B$20*D1306/1000),0)</f>
        <v>1204</v>
      </c>
      <c r="L1306" s="15" t="n">
        <f aca="false">ROUND(Annahmen!$K$37*(1+Annahmen!$B$20*D1306/1000),0)</f>
        <v>1230</v>
      </c>
      <c r="M1306" s="15" t="n">
        <f aca="false">ROUND(Annahmen!$K$38*(1+Annahmen!$B$20*D1306/1000),0)</f>
        <v>1230</v>
      </c>
      <c r="N1306" s="16" t="s">
        <v>86</v>
      </c>
    </row>
    <row r="1307" customFormat="false" ht="15" hidden="false" customHeight="false" outlineLevel="0" collapsed="false">
      <c r="A1307" s="13" t="s">
        <v>2663</v>
      </c>
      <c r="B1307" s="14" t="s">
        <v>2664</v>
      </c>
      <c r="C1307" s="15" t="n">
        <v>2038</v>
      </c>
      <c r="D1307" s="15" t="n">
        <v>383</v>
      </c>
      <c r="E1307" s="13" t="s">
        <v>82</v>
      </c>
      <c r="F1307" s="15" t="str">
        <f aca="false">IF(C1307&gt;=J1307,"ja","nein")</f>
        <v>ja</v>
      </c>
      <c r="G1307" s="15" t="str">
        <f aca="false">IF(C1307&gt;=K1307,"ja","nein")</f>
        <v>ja</v>
      </c>
      <c r="H1307" s="15" t="str">
        <f aca="false">IF(C1307&gt;=L1307,"ja","nein")</f>
        <v>ja</v>
      </c>
      <c r="I1307" s="15" t="str">
        <f aca="false">IF(C1307&gt;=M1307,"ja","nein")</f>
        <v>ja</v>
      </c>
      <c r="J1307" s="15" t="n">
        <f aca="false">ROUND(Annahmen!$K$35*(1+Annahmen!$B$20*D1307/1000),0)</f>
        <v>869</v>
      </c>
      <c r="K1307" s="15" t="n">
        <f aca="false">ROUND(Annahmen!$K$36*(1+Annahmen!$B$20*D1307/1000),0)</f>
        <v>1129</v>
      </c>
      <c r="L1307" s="15" t="n">
        <f aca="false">ROUND(Annahmen!$K$37*(1+Annahmen!$B$20*D1307/1000),0)</f>
        <v>1153</v>
      </c>
      <c r="M1307" s="15" t="n">
        <f aca="false">ROUND(Annahmen!$K$38*(1+Annahmen!$B$20*D1307/1000),0)</f>
        <v>1153</v>
      </c>
      <c r="N1307" s="16" t="s">
        <v>83</v>
      </c>
    </row>
    <row r="1308" customFormat="false" ht="15" hidden="false" customHeight="false" outlineLevel="0" collapsed="false">
      <c r="A1308" s="13" t="s">
        <v>2665</v>
      </c>
      <c r="B1308" s="14" t="s">
        <v>2666</v>
      </c>
      <c r="C1308" s="15" t="n">
        <v>1971</v>
      </c>
      <c r="D1308" s="15" t="n">
        <v>1072</v>
      </c>
      <c r="E1308" s="13" t="s">
        <v>82</v>
      </c>
      <c r="F1308" s="15" t="str">
        <f aca="false">IF(C1308&gt;=J1308,"ja","nein")</f>
        <v>ja</v>
      </c>
      <c r="G1308" s="15" t="str">
        <f aca="false">IF(C1308&gt;=K1308,"ja","nein")</f>
        <v>ja</v>
      </c>
      <c r="H1308" s="15" t="str">
        <f aca="false">IF(C1308&gt;=L1308,"ja","nein")</f>
        <v>ja</v>
      </c>
      <c r="I1308" s="15" t="str">
        <f aca="false">IF(C1308&gt;=M1308,"ja","nein")</f>
        <v>ja</v>
      </c>
      <c r="J1308" s="15" t="n">
        <f aca="false">ROUND(Annahmen!$K$35*(1+Annahmen!$B$20*D1308/1000),0)</f>
        <v>921</v>
      </c>
      <c r="K1308" s="15" t="n">
        <f aca="false">ROUND(Annahmen!$K$36*(1+Annahmen!$B$20*D1308/1000),0)</f>
        <v>1196</v>
      </c>
      <c r="L1308" s="15" t="n">
        <f aca="false">ROUND(Annahmen!$K$37*(1+Annahmen!$B$20*D1308/1000),0)</f>
        <v>1223</v>
      </c>
      <c r="M1308" s="15" t="n">
        <f aca="false">ROUND(Annahmen!$K$38*(1+Annahmen!$B$20*D1308/1000),0)</f>
        <v>1223</v>
      </c>
      <c r="N1308" s="16" t="s">
        <v>102</v>
      </c>
    </row>
    <row r="1309" customFormat="false" ht="15" hidden="false" customHeight="false" outlineLevel="0" collapsed="false">
      <c r="A1309" s="13" t="s">
        <v>2667</v>
      </c>
      <c r="B1309" s="14" t="s">
        <v>2668</v>
      </c>
      <c r="C1309" s="15" t="n">
        <v>1660</v>
      </c>
      <c r="D1309" s="15" t="n">
        <v>774</v>
      </c>
      <c r="E1309" s="13" t="s">
        <v>82</v>
      </c>
      <c r="F1309" s="15" t="str">
        <f aca="false">IF(C1309&gt;=J1309,"ja","nein")</f>
        <v>ja</v>
      </c>
      <c r="G1309" s="15" t="str">
        <f aca="false">IF(C1309&gt;=K1309,"ja","nein")</f>
        <v>ja</v>
      </c>
      <c r="H1309" s="15" t="str">
        <f aca="false">IF(C1309&gt;=L1309,"ja","nein")</f>
        <v>ja</v>
      </c>
      <c r="I1309" s="15" t="str">
        <f aca="false">IF(C1309&gt;=M1309,"ja","nein")</f>
        <v>ja</v>
      </c>
      <c r="J1309" s="15" t="n">
        <f aca="false">ROUND(Annahmen!$K$35*(1+Annahmen!$B$20*D1309/1000),0)</f>
        <v>899</v>
      </c>
      <c r="K1309" s="15" t="n">
        <f aca="false">ROUND(Annahmen!$K$36*(1+Annahmen!$B$20*D1309/1000),0)</f>
        <v>1167</v>
      </c>
      <c r="L1309" s="15" t="n">
        <f aca="false">ROUND(Annahmen!$K$37*(1+Annahmen!$B$20*D1309/1000),0)</f>
        <v>1193</v>
      </c>
      <c r="M1309" s="15" t="n">
        <f aca="false">ROUND(Annahmen!$K$38*(1+Annahmen!$B$20*D1309/1000),0)</f>
        <v>1193</v>
      </c>
      <c r="N1309" s="16" t="s">
        <v>102</v>
      </c>
    </row>
    <row r="1310" customFormat="false" ht="15" hidden="false" customHeight="false" outlineLevel="0" collapsed="false">
      <c r="A1310" s="13" t="s">
        <v>2669</v>
      </c>
      <c r="B1310" s="14" t="s">
        <v>2670</v>
      </c>
      <c r="C1310" s="15" t="n">
        <v>1652</v>
      </c>
      <c r="D1310" s="15" t="n">
        <v>171</v>
      </c>
      <c r="E1310" s="13" t="s">
        <v>82</v>
      </c>
      <c r="F1310" s="15" t="str">
        <f aca="false">IF(C1310&gt;=J1310,"ja","nein")</f>
        <v>ja</v>
      </c>
      <c r="G1310" s="15" t="str">
        <f aca="false">IF(C1310&gt;=K1310,"ja","nein")</f>
        <v>ja</v>
      </c>
      <c r="H1310" s="15" t="str">
        <f aca="false">IF(C1310&gt;=L1310,"ja","nein")</f>
        <v>ja</v>
      </c>
      <c r="I1310" s="15" t="str">
        <f aca="false">IF(C1310&gt;=M1310,"ja","nein")</f>
        <v>ja</v>
      </c>
      <c r="J1310" s="15" t="n">
        <f aca="false">ROUND(Annahmen!$K$35*(1+Annahmen!$B$20*D1310/1000),0)</f>
        <v>853</v>
      </c>
      <c r="K1310" s="15" t="n">
        <f aca="false">ROUND(Annahmen!$K$36*(1+Annahmen!$B$20*D1310/1000),0)</f>
        <v>1108</v>
      </c>
      <c r="L1310" s="15" t="n">
        <f aca="false">ROUND(Annahmen!$K$37*(1+Annahmen!$B$20*D1310/1000),0)</f>
        <v>1132</v>
      </c>
      <c r="M1310" s="15" t="n">
        <f aca="false">ROUND(Annahmen!$K$38*(1+Annahmen!$B$20*D1310/1000),0)</f>
        <v>1132</v>
      </c>
      <c r="N1310" s="16" t="s">
        <v>102</v>
      </c>
    </row>
    <row r="1311" customFormat="false" ht="15" hidden="false" customHeight="false" outlineLevel="0" collapsed="false">
      <c r="A1311" s="11" t="s">
        <v>2671</v>
      </c>
      <c r="B1311" s="12"/>
      <c r="C1311" s="12"/>
      <c r="D1311" s="12"/>
      <c r="E1311" s="12"/>
      <c r="F1311" s="12"/>
      <c r="G1311" s="12"/>
      <c r="H1311" s="12"/>
      <c r="I1311" s="12"/>
      <c r="J1311" s="12"/>
      <c r="K1311" s="12"/>
      <c r="L1311" s="12"/>
      <c r="M1311" s="12"/>
      <c r="N1311" s="12"/>
    </row>
    <row r="1312" customFormat="false" ht="15" hidden="false" customHeight="false" outlineLevel="0" collapsed="false">
      <c r="A1312" s="13" t="s">
        <v>2672</v>
      </c>
      <c r="B1312" s="14" t="s">
        <v>2673</v>
      </c>
      <c r="C1312" s="15" t="n">
        <v>3707</v>
      </c>
      <c r="D1312" s="15" t="n">
        <v>495</v>
      </c>
      <c r="E1312" s="13" t="s">
        <v>82</v>
      </c>
      <c r="F1312" s="15" t="str">
        <f aca="false">IF(C1312&gt;=J1312,"ja","nein")</f>
        <v>ja</v>
      </c>
      <c r="G1312" s="15" t="str">
        <f aca="false">IF(C1312&gt;=K1312,"ja","nein")</f>
        <v>ja</v>
      </c>
      <c r="H1312" s="15" t="str">
        <f aca="false">IF(C1312&gt;=L1312,"ja","nein")</f>
        <v>ja</v>
      </c>
      <c r="I1312" s="15" t="str">
        <f aca="false">IF(C1312&gt;=M1312,"ja","nein")</f>
        <v>ja</v>
      </c>
      <c r="J1312" s="15" t="n">
        <f aca="false">ROUND(Annahmen!$K$35*(1+Annahmen!$B$20*D1312/1000),0)</f>
        <v>877</v>
      </c>
      <c r="K1312" s="15" t="n">
        <f aca="false">ROUND(Annahmen!$K$36*(1+Annahmen!$B$20*D1312/1000),0)</f>
        <v>1140</v>
      </c>
      <c r="L1312" s="15" t="n">
        <f aca="false">ROUND(Annahmen!$K$37*(1+Annahmen!$B$20*D1312/1000),0)</f>
        <v>1165</v>
      </c>
      <c r="M1312" s="15" t="n">
        <f aca="false">ROUND(Annahmen!$K$38*(1+Annahmen!$B$20*D1312/1000),0)</f>
        <v>1165</v>
      </c>
      <c r="N1312" s="16" t="s">
        <v>83</v>
      </c>
    </row>
    <row r="1313" customFormat="false" ht="15" hidden="false" customHeight="false" outlineLevel="0" collapsed="false">
      <c r="A1313" s="13" t="s">
        <v>2674</v>
      </c>
      <c r="B1313" s="14" t="s">
        <v>2675</v>
      </c>
      <c r="C1313" s="15" t="n">
        <v>2500</v>
      </c>
      <c r="D1313" s="15" t="n">
        <v>408</v>
      </c>
      <c r="E1313" s="13" t="s">
        <v>82</v>
      </c>
      <c r="F1313" s="15" t="str">
        <f aca="false">IF(C1313&gt;=J1313,"ja","nein")</f>
        <v>ja</v>
      </c>
      <c r="G1313" s="15" t="str">
        <f aca="false">IF(C1313&gt;=K1313,"ja","nein")</f>
        <v>ja</v>
      </c>
      <c r="H1313" s="15" t="str">
        <f aca="false">IF(C1313&gt;=L1313,"ja","nein")</f>
        <v>ja</v>
      </c>
      <c r="I1313" s="15" t="str">
        <f aca="false">IF(C1313&gt;=M1313,"ja","nein")</f>
        <v>ja</v>
      </c>
      <c r="J1313" s="15" t="n">
        <f aca="false">ROUND(Annahmen!$K$35*(1+Annahmen!$B$20*D1313/1000),0)</f>
        <v>871</v>
      </c>
      <c r="K1313" s="15" t="n">
        <f aca="false">ROUND(Annahmen!$K$36*(1+Annahmen!$B$20*D1313/1000),0)</f>
        <v>1131</v>
      </c>
      <c r="L1313" s="15" t="n">
        <f aca="false">ROUND(Annahmen!$K$37*(1+Annahmen!$B$20*D1313/1000),0)</f>
        <v>1156</v>
      </c>
      <c r="M1313" s="15" t="n">
        <f aca="false">ROUND(Annahmen!$K$38*(1+Annahmen!$B$20*D1313/1000),0)</f>
        <v>1156</v>
      </c>
      <c r="N1313" s="16" t="s">
        <v>86</v>
      </c>
    </row>
    <row r="1314" customFormat="false" ht="15" hidden="false" customHeight="false" outlineLevel="0" collapsed="false">
      <c r="A1314" s="13" t="s">
        <v>2676</v>
      </c>
      <c r="B1314" s="14" t="s">
        <v>2677</v>
      </c>
      <c r="C1314" s="15" t="n">
        <v>2498</v>
      </c>
      <c r="D1314" s="15" t="n">
        <v>359</v>
      </c>
      <c r="E1314" s="13" t="s">
        <v>82</v>
      </c>
      <c r="F1314" s="15" t="str">
        <f aca="false">IF(C1314&gt;=J1314,"ja","nein")</f>
        <v>ja</v>
      </c>
      <c r="G1314" s="15" t="str">
        <f aca="false">IF(C1314&gt;=K1314,"ja","nein")</f>
        <v>ja</v>
      </c>
      <c r="H1314" s="15" t="str">
        <f aca="false">IF(C1314&gt;=L1314,"ja","nein")</f>
        <v>ja</v>
      </c>
      <c r="I1314" s="15" t="str">
        <f aca="false">IF(C1314&gt;=M1314,"ja","nein")</f>
        <v>ja</v>
      </c>
      <c r="J1314" s="15" t="n">
        <f aca="false">ROUND(Annahmen!$K$35*(1+Annahmen!$B$20*D1314/1000),0)</f>
        <v>867</v>
      </c>
      <c r="K1314" s="15" t="n">
        <f aca="false">ROUND(Annahmen!$K$36*(1+Annahmen!$B$20*D1314/1000),0)</f>
        <v>1126</v>
      </c>
      <c r="L1314" s="15" t="n">
        <f aca="false">ROUND(Annahmen!$K$37*(1+Annahmen!$B$20*D1314/1000),0)</f>
        <v>1151</v>
      </c>
      <c r="M1314" s="15" t="n">
        <f aca="false">ROUND(Annahmen!$K$38*(1+Annahmen!$B$20*D1314/1000),0)</f>
        <v>1151</v>
      </c>
      <c r="N1314" s="16" t="s">
        <v>83</v>
      </c>
    </row>
    <row r="1315" customFormat="false" ht="15" hidden="false" customHeight="false" outlineLevel="0" collapsed="false">
      <c r="A1315" s="13" t="s">
        <v>2678</v>
      </c>
      <c r="B1315" s="14" t="s">
        <v>2679</v>
      </c>
      <c r="C1315" s="15" t="n">
        <v>2030</v>
      </c>
      <c r="D1315" s="15" t="n">
        <v>424</v>
      </c>
      <c r="E1315" s="13" t="s">
        <v>82</v>
      </c>
      <c r="F1315" s="15" t="str">
        <f aca="false">IF(C1315&gt;=J1315,"ja","nein")</f>
        <v>ja</v>
      </c>
      <c r="G1315" s="15" t="str">
        <f aca="false">IF(C1315&gt;=K1315,"ja","nein")</f>
        <v>ja</v>
      </c>
      <c r="H1315" s="15" t="str">
        <f aca="false">IF(C1315&gt;=L1315,"ja","nein")</f>
        <v>ja</v>
      </c>
      <c r="I1315" s="15" t="str">
        <f aca="false">IF(C1315&gt;=M1315,"ja","nein")</f>
        <v>ja</v>
      </c>
      <c r="J1315" s="15" t="n">
        <f aca="false">ROUND(Annahmen!$K$35*(1+Annahmen!$B$20*D1315/1000),0)</f>
        <v>872</v>
      </c>
      <c r="K1315" s="15" t="n">
        <f aca="false">ROUND(Annahmen!$K$36*(1+Annahmen!$B$20*D1315/1000),0)</f>
        <v>1133</v>
      </c>
      <c r="L1315" s="15" t="n">
        <f aca="false">ROUND(Annahmen!$K$37*(1+Annahmen!$B$20*D1315/1000),0)</f>
        <v>1158</v>
      </c>
      <c r="M1315" s="15" t="n">
        <f aca="false">ROUND(Annahmen!$K$38*(1+Annahmen!$B$20*D1315/1000),0)</f>
        <v>1158</v>
      </c>
      <c r="N1315" s="16" t="s">
        <v>86</v>
      </c>
    </row>
    <row r="1316" customFormat="false" ht="15" hidden="false" customHeight="false" outlineLevel="0" collapsed="false">
      <c r="A1316" s="13" t="s">
        <v>2680</v>
      </c>
      <c r="B1316" s="14" t="s">
        <v>2681</v>
      </c>
      <c r="C1316" s="15" t="n">
        <v>2000</v>
      </c>
      <c r="D1316" s="15" t="n">
        <v>919</v>
      </c>
      <c r="E1316" s="13" t="s">
        <v>82</v>
      </c>
      <c r="F1316" s="15" t="str">
        <f aca="false">IF(C1316&gt;=J1316,"ja","nein")</f>
        <v>ja</v>
      </c>
      <c r="G1316" s="15" t="str">
        <f aca="false">IF(C1316&gt;=K1316,"ja","nein")</f>
        <v>ja</v>
      </c>
      <c r="H1316" s="15" t="str">
        <f aca="false">IF(C1316&gt;=L1316,"ja","nein")</f>
        <v>ja</v>
      </c>
      <c r="I1316" s="15" t="str">
        <f aca="false">IF(C1316&gt;=M1316,"ja","nein")</f>
        <v>ja</v>
      </c>
      <c r="J1316" s="15" t="n">
        <f aca="false">ROUND(Annahmen!$K$35*(1+Annahmen!$B$20*D1316/1000),0)</f>
        <v>909</v>
      </c>
      <c r="K1316" s="15" t="n">
        <f aca="false">ROUND(Annahmen!$K$36*(1+Annahmen!$B$20*D1316/1000),0)</f>
        <v>1181</v>
      </c>
      <c r="L1316" s="15" t="n">
        <f aca="false">ROUND(Annahmen!$K$37*(1+Annahmen!$B$20*D1316/1000),0)</f>
        <v>1207</v>
      </c>
      <c r="M1316" s="15" t="n">
        <f aca="false">ROUND(Annahmen!$K$38*(1+Annahmen!$B$20*D1316/1000),0)</f>
        <v>1207</v>
      </c>
      <c r="N1316" s="16" t="s">
        <v>102</v>
      </c>
    </row>
    <row r="1317" customFormat="false" ht="15" hidden="false" customHeight="false" outlineLevel="0" collapsed="false">
      <c r="A1317" s="13" t="s">
        <v>2682</v>
      </c>
      <c r="B1317" s="14" t="s">
        <v>2683</v>
      </c>
      <c r="C1317" s="15" t="n">
        <v>1768</v>
      </c>
      <c r="D1317" s="15" t="n">
        <v>318</v>
      </c>
      <c r="E1317" s="13" t="s">
        <v>82</v>
      </c>
      <c r="F1317" s="15" t="str">
        <f aca="false">IF(C1317&gt;=J1317,"ja","nein")</f>
        <v>ja</v>
      </c>
      <c r="G1317" s="15" t="str">
        <f aca="false">IF(C1317&gt;=K1317,"ja","nein")</f>
        <v>ja</v>
      </c>
      <c r="H1317" s="15" t="str">
        <f aca="false">IF(C1317&gt;=L1317,"ja","nein")</f>
        <v>ja</v>
      </c>
      <c r="I1317" s="15" t="str">
        <f aca="false">IF(C1317&gt;=M1317,"ja","nein")</f>
        <v>ja</v>
      </c>
      <c r="J1317" s="15" t="n">
        <f aca="false">ROUND(Annahmen!$K$35*(1+Annahmen!$B$20*D1317/1000),0)</f>
        <v>864</v>
      </c>
      <c r="K1317" s="15" t="n">
        <f aca="false">ROUND(Annahmen!$K$36*(1+Annahmen!$B$20*D1317/1000),0)</f>
        <v>1122</v>
      </c>
      <c r="L1317" s="15" t="n">
        <f aca="false">ROUND(Annahmen!$K$37*(1+Annahmen!$B$20*D1317/1000),0)</f>
        <v>1147</v>
      </c>
      <c r="M1317" s="15" t="n">
        <f aca="false">ROUND(Annahmen!$K$38*(1+Annahmen!$B$20*D1317/1000),0)</f>
        <v>1147</v>
      </c>
      <c r="N1317" s="16" t="s">
        <v>86</v>
      </c>
    </row>
    <row r="1318" customFormat="false" ht="15" hidden="false" customHeight="false" outlineLevel="0" collapsed="false">
      <c r="A1318" s="13" t="s">
        <v>2684</v>
      </c>
      <c r="B1318" s="14" t="s">
        <v>2685</v>
      </c>
      <c r="C1318" s="15" t="n">
        <v>1500</v>
      </c>
      <c r="D1318" s="15" t="n">
        <v>651</v>
      </c>
      <c r="E1318" s="13" t="s">
        <v>82</v>
      </c>
      <c r="F1318" s="15" t="str">
        <f aca="false">IF(C1318&gt;=J1318,"ja","nein")</f>
        <v>ja</v>
      </c>
      <c r="G1318" s="15" t="str">
        <f aca="false">IF(C1318&gt;=K1318,"ja","nein")</f>
        <v>ja</v>
      </c>
      <c r="H1318" s="15" t="str">
        <f aca="false">IF(C1318&gt;=L1318,"ja","nein")</f>
        <v>ja</v>
      </c>
      <c r="I1318" s="15" t="str">
        <f aca="false">IF(C1318&gt;=M1318,"ja","nein")</f>
        <v>ja</v>
      </c>
      <c r="J1318" s="15" t="n">
        <f aca="false">ROUND(Annahmen!$K$35*(1+Annahmen!$B$20*D1318/1000),0)</f>
        <v>889</v>
      </c>
      <c r="K1318" s="15" t="n">
        <f aca="false">ROUND(Annahmen!$K$36*(1+Annahmen!$B$20*D1318/1000),0)</f>
        <v>1155</v>
      </c>
      <c r="L1318" s="15" t="n">
        <f aca="false">ROUND(Annahmen!$K$37*(1+Annahmen!$B$20*D1318/1000),0)</f>
        <v>1180</v>
      </c>
      <c r="M1318" s="15" t="n">
        <f aca="false">ROUND(Annahmen!$K$38*(1+Annahmen!$B$20*D1318/1000),0)</f>
        <v>1180</v>
      </c>
      <c r="N1318" s="16" t="s">
        <v>83</v>
      </c>
    </row>
    <row r="1319" customFormat="false" ht="15" hidden="false" customHeight="false" outlineLevel="0" collapsed="false">
      <c r="A1319" s="13" t="s">
        <v>2686</v>
      </c>
      <c r="B1319" s="14" t="s">
        <v>2687</v>
      </c>
      <c r="C1319" s="15" t="n">
        <v>1300</v>
      </c>
      <c r="D1319" s="15" t="n">
        <v>286</v>
      </c>
      <c r="E1319" s="13" t="s">
        <v>82</v>
      </c>
      <c r="F1319" s="15" t="str">
        <f aca="false">IF(C1319&gt;=J1319,"ja","nein")</f>
        <v>ja</v>
      </c>
      <c r="G1319" s="15" t="str">
        <f aca="false">IF(C1319&gt;=K1319,"ja","nein")</f>
        <v>ja</v>
      </c>
      <c r="H1319" s="15" t="str">
        <f aca="false">IF(C1319&gt;=L1319,"ja","nein")</f>
        <v>ja</v>
      </c>
      <c r="I1319" s="15" t="str">
        <f aca="false">IF(C1319&gt;=M1319,"ja","nein")</f>
        <v>ja</v>
      </c>
      <c r="J1319" s="15" t="n">
        <f aca="false">ROUND(Annahmen!$K$35*(1+Annahmen!$B$20*D1319/1000),0)</f>
        <v>862</v>
      </c>
      <c r="K1319" s="15" t="n">
        <f aca="false">ROUND(Annahmen!$K$36*(1+Annahmen!$B$20*D1319/1000),0)</f>
        <v>1119</v>
      </c>
      <c r="L1319" s="15" t="n">
        <f aca="false">ROUND(Annahmen!$K$37*(1+Annahmen!$B$20*D1319/1000),0)</f>
        <v>1144</v>
      </c>
      <c r="M1319" s="15" t="n">
        <f aca="false">ROUND(Annahmen!$K$38*(1+Annahmen!$B$20*D1319/1000),0)</f>
        <v>1144</v>
      </c>
      <c r="N1319" s="16" t="s">
        <v>102</v>
      </c>
    </row>
    <row r="1320" customFormat="false" ht="15" hidden="false" customHeight="false" outlineLevel="0" collapsed="false">
      <c r="A1320" s="13" t="s">
        <v>2688</v>
      </c>
      <c r="B1320" s="14" t="s">
        <v>2689</v>
      </c>
      <c r="C1320" s="15" t="n">
        <v>1185</v>
      </c>
      <c r="D1320" s="15" t="n">
        <v>249</v>
      </c>
      <c r="E1320" s="13" t="s">
        <v>82</v>
      </c>
      <c r="F1320" s="15" t="str">
        <f aca="false">IF(C1320&gt;=J1320,"ja","nein")</f>
        <v>ja</v>
      </c>
      <c r="G1320" s="15" t="str">
        <f aca="false">IF(C1320&gt;=K1320,"ja","nein")</f>
        <v>ja</v>
      </c>
      <c r="H1320" s="15" t="str">
        <f aca="false">IF(C1320&gt;=L1320,"ja","nein")</f>
        <v>ja</v>
      </c>
      <c r="I1320" s="15" t="str">
        <f aca="false">IF(C1320&gt;=M1320,"ja","nein")</f>
        <v>ja</v>
      </c>
      <c r="J1320" s="15" t="n">
        <f aca="false">ROUND(Annahmen!$K$35*(1+Annahmen!$B$20*D1320/1000),0)</f>
        <v>859</v>
      </c>
      <c r="K1320" s="15" t="n">
        <f aca="false">ROUND(Annahmen!$K$36*(1+Annahmen!$B$20*D1320/1000),0)</f>
        <v>1115</v>
      </c>
      <c r="L1320" s="15" t="n">
        <f aca="false">ROUND(Annahmen!$K$37*(1+Annahmen!$B$20*D1320/1000),0)</f>
        <v>1140</v>
      </c>
      <c r="M1320" s="15" t="n">
        <f aca="false">ROUND(Annahmen!$K$38*(1+Annahmen!$B$20*D1320/1000),0)</f>
        <v>1140</v>
      </c>
      <c r="N1320" s="16" t="s">
        <v>102</v>
      </c>
    </row>
    <row r="1321" customFormat="false" ht="15" hidden="false" customHeight="false" outlineLevel="0" collapsed="false">
      <c r="A1321" s="13" t="s">
        <v>2690</v>
      </c>
      <c r="B1321" s="14" t="s">
        <v>2691</v>
      </c>
      <c r="C1321" s="15" t="n">
        <v>1000</v>
      </c>
      <c r="D1321" s="15" t="n">
        <v>338</v>
      </c>
      <c r="E1321" s="13" t="s">
        <v>82</v>
      </c>
      <c r="F1321" s="15" t="str">
        <f aca="false">IF(C1321&gt;=J1321,"ja","nein")</f>
        <v>ja</v>
      </c>
      <c r="G1321" s="15" t="str">
        <f aca="false">IF(C1321&gt;=K1321,"ja","nein")</f>
        <v>nein</v>
      </c>
      <c r="H1321" s="15" t="str">
        <f aca="false">IF(C1321&gt;=L1321,"ja","nein")</f>
        <v>nein</v>
      </c>
      <c r="I1321" s="15" t="str">
        <f aca="false">IF(C1321&gt;=M1321,"ja","nein")</f>
        <v>nein</v>
      </c>
      <c r="J1321" s="15" t="n">
        <f aca="false">ROUND(Annahmen!$K$35*(1+Annahmen!$B$20*D1321/1000),0)</f>
        <v>866</v>
      </c>
      <c r="K1321" s="15" t="n">
        <f aca="false">ROUND(Annahmen!$K$36*(1+Annahmen!$B$20*D1321/1000),0)</f>
        <v>1124</v>
      </c>
      <c r="L1321" s="15" t="n">
        <f aca="false">ROUND(Annahmen!$K$37*(1+Annahmen!$B$20*D1321/1000),0)</f>
        <v>1149</v>
      </c>
      <c r="M1321" s="15" t="n">
        <f aca="false">ROUND(Annahmen!$K$38*(1+Annahmen!$B$20*D1321/1000),0)</f>
        <v>1149</v>
      </c>
      <c r="N1321" s="16" t="s">
        <v>102</v>
      </c>
    </row>
    <row r="1322" customFormat="false" ht="15" hidden="false" customHeight="false" outlineLevel="0" collapsed="false">
      <c r="A1322" s="13" t="s">
        <v>2692</v>
      </c>
      <c r="B1322" s="14" t="s">
        <v>2693</v>
      </c>
      <c r="C1322" s="15" t="n">
        <v>985</v>
      </c>
      <c r="D1322" s="15" t="n">
        <v>440</v>
      </c>
      <c r="E1322" s="13" t="s">
        <v>82</v>
      </c>
      <c r="F1322" s="15" t="str">
        <f aca="false">IF(C1322&gt;=J1322,"ja","nein")</f>
        <v>ja</v>
      </c>
      <c r="G1322" s="15" t="str">
        <f aca="false">IF(C1322&gt;=K1322,"ja","nein")</f>
        <v>nein</v>
      </c>
      <c r="H1322" s="15" t="str">
        <f aca="false">IF(C1322&gt;=L1322,"ja","nein")</f>
        <v>nein</v>
      </c>
      <c r="I1322" s="15" t="str">
        <f aca="false">IF(C1322&gt;=M1322,"ja","nein")</f>
        <v>nein</v>
      </c>
      <c r="J1322" s="15" t="n">
        <f aca="false">ROUND(Annahmen!$K$35*(1+Annahmen!$B$20*D1322/1000),0)</f>
        <v>873</v>
      </c>
      <c r="K1322" s="15" t="n">
        <f aca="false">ROUND(Annahmen!$K$36*(1+Annahmen!$B$20*D1322/1000),0)</f>
        <v>1134</v>
      </c>
      <c r="L1322" s="15" t="n">
        <f aca="false">ROUND(Annahmen!$K$37*(1+Annahmen!$B$20*D1322/1000),0)</f>
        <v>1159</v>
      </c>
      <c r="M1322" s="15" t="n">
        <f aca="false">ROUND(Annahmen!$K$38*(1+Annahmen!$B$20*D1322/1000),0)</f>
        <v>1159</v>
      </c>
      <c r="N1322" s="16" t="s">
        <v>102</v>
      </c>
    </row>
    <row r="1323" customFormat="false" ht="15" hidden="false" customHeight="false" outlineLevel="0" collapsed="false">
      <c r="A1323" s="13" t="s">
        <v>2694</v>
      </c>
      <c r="B1323" s="14" t="s">
        <v>2695</v>
      </c>
      <c r="C1323" s="15" t="n">
        <v>800</v>
      </c>
      <c r="D1323" s="15" t="n">
        <v>299</v>
      </c>
      <c r="E1323" s="13" t="s">
        <v>82</v>
      </c>
      <c r="F1323" s="15" t="str">
        <f aca="false">IF(C1323&gt;=J1323,"ja","nein")</f>
        <v>nein</v>
      </c>
      <c r="G1323" s="15" t="str">
        <f aca="false">IF(C1323&gt;=K1323,"ja","nein")</f>
        <v>nein</v>
      </c>
      <c r="H1323" s="15" t="str">
        <f aca="false">IF(C1323&gt;=L1323,"ja","nein")</f>
        <v>nein</v>
      </c>
      <c r="I1323" s="15" t="str">
        <f aca="false">IF(C1323&gt;=M1323,"ja","nein")</f>
        <v>nein</v>
      </c>
      <c r="J1323" s="15" t="n">
        <f aca="false">ROUND(Annahmen!$K$35*(1+Annahmen!$B$20*D1323/1000),0)</f>
        <v>863</v>
      </c>
      <c r="K1323" s="15" t="n">
        <f aca="false">ROUND(Annahmen!$K$36*(1+Annahmen!$B$20*D1323/1000),0)</f>
        <v>1120</v>
      </c>
      <c r="L1323" s="15" t="n">
        <f aca="false">ROUND(Annahmen!$K$37*(1+Annahmen!$B$20*D1323/1000),0)</f>
        <v>1145</v>
      </c>
      <c r="M1323" s="15" t="n">
        <f aca="false">ROUND(Annahmen!$K$38*(1+Annahmen!$B$20*D1323/1000),0)</f>
        <v>1145</v>
      </c>
      <c r="N1323" s="16" t="s">
        <v>86</v>
      </c>
    </row>
    <row r="1324" customFormat="false" ht="15" hidden="false" customHeight="false" outlineLevel="0" collapsed="false">
      <c r="A1324" s="13" t="s">
        <v>2696</v>
      </c>
      <c r="B1324" s="14" t="s">
        <v>2697</v>
      </c>
      <c r="C1324" s="15" t="n">
        <v>795</v>
      </c>
      <c r="D1324" s="15" t="n">
        <v>322</v>
      </c>
      <c r="E1324" s="13" t="s">
        <v>82</v>
      </c>
      <c r="F1324" s="15" t="str">
        <f aca="false">IF(C1324&gt;=J1324,"ja","nein")</f>
        <v>nein</v>
      </c>
      <c r="G1324" s="15" t="str">
        <f aca="false">IF(C1324&gt;=K1324,"ja","nein")</f>
        <v>nein</v>
      </c>
      <c r="H1324" s="15" t="str">
        <f aca="false">IF(C1324&gt;=L1324,"ja","nein")</f>
        <v>nein</v>
      </c>
      <c r="I1324" s="15" t="str">
        <f aca="false">IF(C1324&gt;=M1324,"ja","nein")</f>
        <v>nein</v>
      </c>
      <c r="J1324" s="15" t="n">
        <f aca="false">ROUND(Annahmen!$K$35*(1+Annahmen!$B$20*D1324/1000),0)</f>
        <v>864</v>
      </c>
      <c r="K1324" s="15" t="n">
        <f aca="false">ROUND(Annahmen!$K$36*(1+Annahmen!$B$20*D1324/1000),0)</f>
        <v>1123</v>
      </c>
      <c r="L1324" s="15" t="n">
        <f aca="false">ROUND(Annahmen!$K$37*(1+Annahmen!$B$20*D1324/1000),0)</f>
        <v>1147</v>
      </c>
      <c r="M1324" s="15" t="n">
        <f aca="false">ROUND(Annahmen!$K$38*(1+Annahmen!$B$20*D1324/1000),0)</f>
        <v>1147</v>
      </c>
      <c r="N1324" s="16" t="s">
        <v>102</v>
      </c>
    </row>
    <row r="1325" customFormat="false" ht="15" hidden="false" customHeight="false" outlineLevel="0" collapsed="false">
      <c r="A1325" s="13" t="s">
        <v>2698</v>
      </c>
      <c r="B1325" s="14" t="s">
        <v>2699</v>
      </c>
      <c r="C1325" s="15" t="n">
        <v>620</v>
      </c>
      <c r="D1325" s="15" t="n">
        <v>499</v>
      </c>
      <c r="E1325" s="13" t="s">
        <v>82</v>
      </c>
      <c r="F1325" s="15" t="str">
        <f aca="false">IF(C1325&gt;=J1325,"ja","nein")</f>
        <v>nein</v>
      </c>
      <c r="G1325" s="15" t="str">
        <f aca="false">IF(C1325&gt;=K1325,"ja","nein")</f>
        <v>nein</v>
      </c>
      <c r="H1325" s="15" t="str">
        <f aca="false">IF(C1325&gt;=L1325,"ja","nein")</f>
        <v>nein</v>
      </c>
      <c r="I1325" s="15" t="str">
        <f aca="false">IF(C1325&gt;=M1325,"ja","nein")</f>
        <v>nein</v>
      </c>
      <c r="J1325" s="15" t="n">
        <f aca="false">ROUND(Annahmen!$K$35*(1+Annahmen!$B$20*D1325/1000),0)</f>
        <v>878</v>
      </c>
      <c r="K1325" s="15" t="n">
        <f aca="false">ROUND(Annahmen!$K$36*(1+Annahmen!$B$20*D1325/1000),0)</f>
        <v>1140</v>
      </c>
      <c r="L1325" s="15" t="n">
        <f aca="false">ROUND(Annahmen!$K$37*(1+Annahmen!$B$20*D1325/1000),0)</f>
        <v>1165</v>
      </c>
      <c r="M1325" s="15" t="n">
        <f aca="false">ROUND(Annahmen!$K$38*(1+Annahmen!$B$20*D1325/1000),0)</f>
        <v>1165</v>
      </c>
      <c r="N1325" s="16" t="s">
        <v>102</v>
      </c>
    </row>
    <row r="1326" customFormat="false" ht="15" hidden="false" customHeight="false" outlineLevel="0" collapsed="false">
      <c r="A1326" s="13" t="s">
        <v>2700</v>
      </c>
      <c r="B1326" s="14" t="s">
        <v>2701</v>
      </c>
      <c r="C1326" s="15" t="n">
        <v>600</v>
      </c>
      <c r="D1326" s="15" t="n">
        <v>348</v>
      </c>
      <c r="E1326" s="13" t="s">
        <v>82</v>
      </c>
      <c r="F1326" s="15" t="str">
        <f aca="false">IF(C1326&gt;=J1326,"ja","nein")</f>
        <v>nein</v>
      </c>
      <c r="G1326" s="15" t="str">
        <f aca="false">IF(C1326&gt;=K1326,"ja","nein")</f>
        <v>nein</v>
      </c>
      <c r="H1326" s="15" t="str">
        <f aca="false">IF(C1326&gt;=L1326,"ja","nein")</f>
        <v>nein</v>
      </c>
      <c r="I1326" s="15" t="str">
        <f aca="false">IF(C1326&gt;=M1326,"ja","nein")</f>
        <v>nein</v>
      </c>
      <c r="J1326" s="15" t="n">
        <f aca="false">ROUND(Annahmen!$K$35*(1+Annahmen!$B$20*D1326/1000),0)</f>
        <v>866</v>
      </c>
      <c r="K1326" s="15" t="n">
        <f aca="false">ROUND(Annahmen!$K$36*(1+Annahmen!$B$20*D1326/1000),0)</f>
        <v>1125</v>
      </c>
      <c r="L1326" s="15" t="n">
        <f aca="false">ROUND(Annahmen!$K$37*(1+Annahmen!$B$20*D1326/1000),0)</f>
        <v>1150</v>
      </c>
      <c r="M1326" s="15" t="n">
        <f aca="false">ROUND(Annahmen!$K$38*(1+Annahmen!$B$20*D1326/1000),0)</f>
        <v>1150</v>
      </c>
      <c r="N1326" s="16" t="s">
        <v>102</v>
      </c>
    </row>
    <row r="1327" customFormat="false" ht="15" hidden="false" customHeight="false" outlineLevel="0" collapsed="false">
      <c r="A1327" s="11" t="s">
        <v>2702</v>
      </c>
      <c r="B1327" s="12"/>
      <c r="C1327" s="12"/>
      <c r="D1327" s="12"/>
      <c r="E1327" s="12"/>
      <c r="F1327" s="12"/>
      <c r="G1327" s="12"/>
      <c r="H1327" s="12"/>
      <c r="I1327" s="12"/>
      <c r="J1327" s="12"/>
      <c r="K1327" s="12"/>
      <c r="L1327" s="12"/>
      <c r="M1327" s="12"/>
      <c r="N1327" s="12"/>
    </row>
    <row r="1328" customFormat="false" ht="15" hidden="false" customHeight="false" outlineLevel="0" collapsed="false">
      <c r="A1328" s="13" t="s">
        <v>2703</v>
      </c>
      <c r="B1328" s="14" t="s">
        <v>2704</v>
      </c>
      <c r="C1328" s="15" t="n">
        <v>3901</v>
      </c>
      <c r="D1328" s="15" t="n">
        <v>83</v>
      </c>
      <c r="E1328" s="13" t="s">
        <v>82</v>
      </c>
      <c r="F1328" s="15" t="str">
        <f aca="false">IF(C1328&gt;=J1328,"ja","nein")</f>
        <v>ja</v>
      </c>
      <c r="G1328" s="15" t="str">
        <f aca="false">IF(C1328&gt;=K1328,"ja","nein")</f>
        <v>ja</v>
      </c>
      <c r="H1328" s="15" t="str">
        <f aca="false">IF(C1328&gt;=L1328,"ja","nein")</f>
        <v>ja</v>
      </c>
      <c r="I1328" s="15" t="str">
        <f aca="false">IF(C1328&gt;=M1328,"ja","nein")</f>
        <v>ja</v>
      </c>
      <c r="J1328" s="15" t="n">
        <f aca="false">ROUND(Annahmen!$K$35*(1+Annahmen!$B$20*D1328/1000),0)</f>
        <v>846</v>
      </c>
      <c r="K1328" s="15" t="n">
        <f aca="false">ROUND(Annahmen!$K$36*(1+Annahmen!$B$20*D1328/1000),0)</f>
        <v>1099</v>
      </c>
      <c r="L1328" s="15" t="n">
        <f aca="false">ROUND(Annahmen!$K$37*(1+Annahmen!$B$20*D1328/1000),0)</f>
        <v>1123</v>
      </c>
      <c r="M1328" s="15" t="n">
        <f aca="false">ROUND(Annahmen!$K$38*(1+Annahmen!$B$20*D1328/1000),0)</f>
        <v>1123</v>
      </c>
      <c r="N1328" s="16" t="s">
        <v>83</v>
      </c>
    </row>
    <row r="1329" customFormat="false" ht="15" hidden="false" customHeight="false" outlineLevel="0" collapsed="false">
      <c r="A1329" s="13" t="s">
        <v>2705</v>
      </c>
      <c r="B1329" s="14" t="s">
        <v>2706</v>
      </c>
      <c r="C1329" s="15" t="n">
        <v>3317</v>
      </c>
      <c r="D1329" s="15" t="n">
        <v>202</v>
      </c>
      <c r="E1329" s="13" t="s">
        <v>82</v>
      </c>
      <c r="F1329" s="15" t="str">
        <f aca="false">IF(C1329&gt;=J1329,"ja","nein")</f>
        <v>ja</v>
      </c>
      <c r="G1329" s="15" t="str">
        <f aca="false">IF(C1329&gt;=K1329,"ja","nein")</f>
        <v>ja</v>
      </c>
      <c r="H1329" s="15" t="str">
        <f aca="false">IF(C1329&gt;=L1329,"ja","nein")</f>
        <v>ja</v>
      </c>
      <c r="I1329" s="15" t="str">
        <f aca="false">IF(C1329&gt;=M1329,"ja","nein")</f>
        <v>ja</v>
      </c>
      <c r="J1329" s="15" t="n">
        <f aca="false">ROUND(Annahmen!$K$35*(1+Annahmen!$B$20*D1329/1000),0)</f>
        <v>855</v>
      </c>
      <c r="K1329" s="15" t="n">
        <f aca="false">ROUND(Annahmen!$K$36*(1+Annahmen!$B$20*D1329/1000),0)</f>
        <v>1111</v>
      </c>
      <c r="L1329" s="15" t="n">
        <f aca="false">ROUND(Annahmen!$K$37*(1+Annahmen!$B$20*D1329/1000),0)</f>
        <v>1135</v>
      </c>
      <c r="M1329" s="15" t="n">
        <f aca="false">ROUND(Annahmen!$K$38*(1+Annahmen!$B$20*D1329/1000),0)</f>
        <v>1135</v>
      </c>
      <c r="N1329" s="16" t="s">
        <v>83</v>
      </c>
    </row>
    <row r="1330" customFormat="false" ht="15" hidden="false" customHeight="false" outlineLevel="0" collapsed="false">
      <c r="A1330" s="13" t="s">
        <v>2707</v>
      </c>
      <c r="B1330" s="14" t="s">
        <v>2708</v>
      </c>
      <c r="C1330" s="15" t="n">
        <v>3212</v>
      </c>
      <c r="D1330" s="15" t="n">
        <v>407</v>
      </c>
      <c r="E1330" s="13" t="s">
        <v>82</v>
      </c>
      <c r="F1330" s="15" t="str">
        <f aca="false">IF(C1330&gt;=J1330,"ja","nein")</f>
        <v>ja</v>
      </c>
      <c r="G1330" s="15" t="str">
        <f aca="false">IF(C1330&gt;=K1330,"ja","nein")</f>
        <v>ja</v>
      </c>
      <c r="H1330" s="15" t="str">
        <f aca="false">IF(C1330&gt;=L1330,"ja","nein")</f>
        <v>ja</v>
      </c>
      <c r="I1330" s="15" t="str">
        <f aca="false">IF(C1330&gt;=M1330,"ja","nein")</f>
        <v>ja</v>
      </c>
      <c r="J1330" s="15" t="n">
        <f aca="false">ROUND(Annahmen!$K$35*(1+Annahmen!$B$20*D1330/1000),0)</f>
        <v>871</v>
      </c>
      <c r="K1330" s="15" t="n">
        <f aca="false">ROUND(Annahmen!$K$36*(1+Annahmen!$B$20*D1330/1000),0)</f>
        <v>1131</v>
      </c>
      <c r="L1330" s="15" t="n">
        <f aca="false">ROUND(Annahmen!$K$37*(1+Annahmen!$B$20*D1330/1000),0)</f>
        <v>1156</v>
      </c>
      <c r="M1330" s="15" t="n">
        <f aca="false">ROUND(Annahmen!$K$38*(1+Annahmen!$B$20*D1330/1000),0)</f>
        <v>1156</v>
      </c>
      <c r="N1330" s="16" t="s">
        <v>86</v>
      </c>
    </row>
    <row r="1331" customFormat="false" ht="15" hidden="false" customHeight="false" outlineLevel="0" collapsed="false">
      <c r="A1331" s="13" t="s">
        <v>2709</v>
      </c>
      <c r="B1331" s="14" t="s">
        <v>2710</v>
      </c>
      <c r="C1331" s="15" t="n">
        <v>3052</v>
      </c>
      <c r="D1331" s="15" t="n">
        <v>327</v>
      </c>
      <c r="E1331" s="13" t="s">
        <v>82</v>
      </c>
      <c r="F1331" s="15" t="str">
        <f aca="false">IF(C1331&gt;=J1331,"ja","nein")</f>
        <v>ja</v>
      </c>
      <c r="G1331" s="15" t="str">
        <f aca="false">IF(C1331&gt;=K1331,"ja","nein")</f>
        <v>ja</v>
      </c>
      <c r="H1331" s="15" t="str">
        <f aca="false">IF(C1331&gt;=L1331,"ja","nein")</f>
        <v>ja</v>
      </c>
      <c r="I1331" s="15" t="str">
        <f aca="false">IF(C1331&gt;=M1331,"ja","nein")</f>
        <v>ja</v>
      </c>
      <c r="J1331" s="15" t="n">
        <f aca="false">ROUND(Annahmen!$K$35*(1+Annahmen!$B$20*D1331/1000),0)</f>
        <v>865</v>
      </c>
      <c r="K1331" s="15" t="n">
        <f aca="false">ROUND(Annahmen!$K$36*(1+Annahmen!$B$20*D1331/1000),0)</f>
        <v>1123</v>
      </c>
      <c r="L1331" s="15" t="n">
        <f aca="false">ROUND(Annahmen!$K$37*(1+Annahmen!$B$20*D1331/1000),0)</f>
        <v>1148</v>
      </c>
      <c r="M1331" s="15" t="n">
        <f aca="false">ROUND(Annahmen!$K$38*(1+Annahmen!$B$20*D1331/1000),0)</f>
        <v>1148</v>
      </c>
      <c r="N1331" s="16" t="s">
        <v>83</v>
      </c>
    </row>
    <row r="1332" customFormat="false" ht="15" hidden="false" customHeight="false" outlineLevel="0" collapsed="false">
      <c r="A1332" s="13" t="s">
        <v>2711</v>
      </c>
      <c r="B1332" s="14" t="s">
        <v>2712</v>
      </c>
      <c r="C1332" s="15" t="n">
        <v>3050</v>
      </c>
      <c r="D1332" s="15" t="n">
        <v>257</v>
      </c>
      <c r="E1332" s="13" t="s">
        <v>82</v>
      </c>
      <c r="F1332" s="15" t="str">
        <f aca="false">IF(C1332&gt;=J1332,"ja","nein")</f>
        <v>ja</v>
      </c>
      <c r="G1332" s="15" t="str">
        <f aca="false">IF(C1332&gt;=K1332,"ja","nein")</f>
        <v>ja</v>
      </c>
      <c r="H1332" s="15" t="str">
        <f aca="false">IF(C1332&gt;=L1332,"ja","nein")</f>
        <v>ja</v>
      </c>
      <c r="I1332" s="15" t="str">
        <f aca="false">IF(C1332&gt;=M1332,"ja","nein")</f>
        <v>ja</v>
      </c>
      <c r="J1332" s="15" t="n">
        <f aca="false">ROUND(Annahmen!$K$35*(1+Annahmen!$B$20*D1332/1000),0)</f>
        <v>859</v>
      </c>
      <c r="K1332" s="15" t="n">
        <f aca="false">ROUND(Annahmen!$K$36*(1+Annahmen!$B$20*D1332/1000),0)</f>
        <v>1116</v>
      </c>
      <c r="L1332" s="15" t="n">
        <f aca="false">ROUND(Annahmen!$K$37*(1+Annahmen!$B$20*D1332/1000),0)</f>
        <v>1141</v>
      </c>
      <c r="M1332" s="15" t="n">
        <f aca="false">ROUND(Annahmen!$K$38*(1+Annahmen!$B$20*D1332/1000),0)</f>
        <v>1141</v>
      </c>
      <c r="N1332" s="16" t="s">
        <v>83</v>
      </c>
    </row>
    <row r="1333" customFormat="false" ht="15" hidden="false" customHeight="false" outlineLevel="0" collapsed="false">
      <c r="A1333" s="13" t="s">
        <v>2713</v>
      </c>
      <c r="B1333" s="14" t="s">
        <v>2714</v>
      </c>
      <c r="C1333" s="15" t="n">
        <v>3049</v>
      </c>
      <c r="D1333" s="15" t="n">
        <v>348</v>
      </c>
      <c r="E1333" s="13" t="s">
        <v>82</v>
      </c>
      <c r="F1333" s="15" t="str">
        <f aca="false">IF(C1333&gt;=J1333,"ja","nein")</f>
        <v>ja</v>
      </c>
      <c r="G1333" s="15" t="str">
        <f aca="false">IF(C1333&gt;=K1333,"ja","nein")</f>
        <v>ja</v>
      </c>
      <c r="H1333" s="15" t="str">
        <f aca="false">IF(C1333&gt;=L1333,"ja","nein")</f>
        <v>ja</v>
      </c>
      <c r="I1333" s="15" t="str">
        <f aca="false">IF(C1333&gt;=M1333,"ja","nein")</f>
        <v>ja</v>
      </c>
      <c r="J1333" s="15" t="n">
        <f aca="false">ROUND(Annahmen!$K$35*(1+Annahmen!$B$20*D1333/1000),0)</f>
        <v>866</v>
      </c>
      <c r="K1333" s="15" t="n">
        <f aca="false">ROUND(Annahmen!$K$36*(1+Annahmen!$B$20*D1333/1000),0)</f>
        <v>1125</v>
      </c>
      <c r="L1333" s="15" t="n">
        <f aca="false">ROUND(Annahmen!$K$37*(1+Annahmen!$B$20*D1333/1000),0)</f>
        <v>1150</v>
      </c>
      <c r="M1333" s="15" t="n">
        <f aca="false">ROUND(Annahmen!$K$38*(1+Annahmen!$B$20*D1333/1000),0)</f>
        <v>1150</v>
      </c>
      <c r="N1333" s="16" t="s">
        <v>83</v>
      </c>
    </row>
    <row r="1334" customFormat="false" ht="15" hidden="false" customHeight="false" outlineLevel="0" collapsed="false">
      <c r="A1334" s="13" t="s">
        <v>2715</v>
      </c>
      <c r="B1334" s="14" t="s">
        <v>2716</v>
      </c>
      <c r="C1334" s="15" t="n">
        <v>3000</v>
      </c>
      <c r="D1334" s="15" t="n">
        <v>467</v>
      </c>
      <c r="E1334" s="13" t="s">
        <v>82</v>
      </c>
      <c r="F1334" s="15" t="str">
        <f aca="false">IF(C1334&gt;=J1334,"ja","nein")</f>
        <v>ja</v>
      </c>
      <c r="G1334" s="15" t="str">
        <f aca="false">IF(C1334&gt;=K1334,"ja","nein")</f>
        <v>ja</v>
      </c>
      <c r="H1334" s="15" t="str">
        <f aca="false">IF(C1334&gt;=L1334,"ja","nein")</f>
        <v>ja</v>
      </c>
      <c r="I1334" s="15" t="str">
        <f aca="false">IF(C1334&gt;=M1334,"ja","nein")</f>
        <v>ja</v>
      </c>
      <c r="J1334" s="15" t="n">
        <f aca="false">ROUND(Annahmen!$K$35*(1+Annahmen!$B$20*D1334/1000),0)</f>
        <v>875</v>
      </c>
      <c r="K1334" s="15" t="n">
        <f aca="false">ROUND(Annahmen!$K$36*(1+Annahmen!$B$20*D1334/1000),0)</f>
        <v>1137</v>
      </c>
      <c r="L1334" s="15" t="n">
        <f aca="false">ROUND(Annahmen!$K$37*(1+Annahmen!$B$20*D1334/1000),0)</f>
        <v>1162</v>
      </c>
      <c r="M1334" s="15" t="n">
        <f aca="false">ROUND(Annahmen!$K$38*(1+Annahmen!$B$20*D1334/1000),0)</f>
        <v>1162</v>
      </c>
      <c r="N1334" s="16" t="s">
        <v>102</v>
      </c>
    </row>
    <row r="1335" customFormat="false" ht="15" hidden="false" customHeight="false" outlineLevel="0" collapsed="false">
      <c r="A1335" s="13" t="s">
        <v>2717</v>
      </c>
      <c r="B1335" s="14" t="s">
        <v>2718</v>
      </c>
      <c r="C1335" s="15" t="n">
        <v>2987</v>
      </c>
      <c r="D1335" s="15" t="n">
        <v>65</v>
      </c>
      <c r="E1335" s="13" t="s">
        <v>82</v>
      </c>
      <c r="F1335" s="15" t="str">
        <f aca="false">IF(C1335&gt;=J1335,"ja","nein")</f>
        <v>ja</v>
      </c>
      <c r="G1335" s="15" t="str">
        <f aca="false">IF(C1335&gt;=K1335,"ja","nein")</f>
        <v>ja</v>
      </c>
      <c r="H1335" s="15" t="str">
        <f aca="false">IF(C1335&gt;=L1335,"ja","nein")</f>
        <v>ja</v>
      </c>
      <c r="I1335" s="15" t="str">
        <f aca="false">IF(C1335&gt;=M1335,"ja","nein")</f>
        <v>ja</v>
      </c>
      <c r="J1335" s="15" t="n">
        <f aca="false">ROUND(Annahmen!$K$35*(1+Annahmen!$B$20*D1335/1000),0)</f>
        <v>845</v>
      </c>
      <c r="K1335" s="15" t="n">
        <f aca="false">ROUND(Annahmen!$K$36*(1+Annahmen!$B$20*D1335/1000),0)</f>
        <v>1097</v>
      </c>
      <c r="L1335" s="15" t="n">
        <f aca="false">ROUND(Annahmen!$K$37*(1+Annahmen!$B$20*D1335/1000),0)</f>
        <v>1122</v>
      </c>
      <c r="M1335" s="15" t="n">
        <f aca="false">ROUND(Annahmen!$K$38*(1+Annahmen!$B$20*D1335/1000),0)</f>
        <v>1122</v>
      </c>
      <c r="N1335" s="16" t="s">
        <v>83</v>
      </c>
    </row>
    <row r="1336" customFormat="false" ht="15" hidden="false" customHeight="false" outlineLevel="0" collapsed="false">
      <c r="A1336" s="13" t="s">
        <v>2719</v>
      </c>
      <c r="B1336" s="14" t="s">
        <v>2720</v>
      </c>
      <c r="C1336" s="15" t="n">
        <v>2894</v>
      </c>
      <c r="D1336" s="15" t="n">
        <v>306</v>
      </c>
      <c r="E1336" s="13" t="s">
        <v>82</v>
      </c>
      <c r="F1336" s="15" t="str">
        <f aca="false">IF(C1336&gt;=J1336,"ja","nein")</f>
        <v>ja</v>
      </c>
      <c r="G1336" s="15" t="str">
        <f aca="false">IF(C1336&gt;=K1336,"ja","nein")</f>
        <v>ja</v>
      </c>
      <c r="H1336" s="15" t="str">
        <f aca="false">IF(C1336&gt;=L1336,"ja","nein")</f>
        <v>ja</v>
      </c>
      <c r="I1336" s="15" t="str">
        <f aca="false">IF(C1336&gt;=M1336,"ja","nein")</f>
        <v>ja</v>
      </c>
      <c r="J1336" s="15" t="n">
        <f aca="false">ROUND(Annahmen!$K$35*(1+Annahmen!$B$20*D1336/1000),0)</f>
        <v>863</v>
      </c>
      <c r="K1336" s="15" t="n">
        <f aca="false">ROUND(Annahmen!$K$36*(1+Annahmen!$B$20*D1336/1000),0)</f>
        <v>1121</v>
      </c>
      <c r="L1336" s="15" t="n">
        <f aca="false">ROUND(Annahmen!$K$37*(1+Annahmen!$B$20*D1336/1000),0)</f>
        <v>1146</v>
      </c>
      <c r="M1336" s="15" t="n">
        <f aca="false">ROUND(Annahmen!$K$38*(1+Annahmen!$B$20*D1336/1000),0)</f>
        <v>1146</v>
      </c>
      <c r="N1336" s="16" t="s">
        <v>83</v>
      </c>
    </row>
    <row r="1337" customFormat="false" ht="15" hidden="false" customHeight="false" outlineLevel="0" collapsed="false">
      <c r="A1337" s="13" t="s">
        <v>2721</v>
      </c>
      <c r="B1337" s="14" t="s">
        <v>2722</v>
      </c>
      <c r="C1337" s="15" t="n">
        <v>2780</v>
      </c>
      <c r="D1337" s="15" t="n">
        <v>268</v>
      </c>
      <c r="E1337" s="13" t="s">
        <v>82</v>
      </c>
      <c r="F1337" s="15" t="str">
        <f aca="false">IF(C1337&gt;=J1337,"ja","nein")</f>
        <v>ja</v>
      </c>
      <c r="G1337" s="15" t="str">
        <f aca="false">IF(C1337&gt;=K1337,"ja","nein")</f>
        <v>ja</v>
      </c>
      <c r="H1337" s="15" t="str">
        <f aca="false">IF(C1337&gt;=L1337,"ja","nein")</f>
        <v>ja</v>
      </c>
      <c r="I1337" s="15" t="str">
        <f aca="false">IF(C1337&gt;=M1337,"ja","nein")</f>
        <v>ja</v>
      </c>
      <c r="J1337" s="15" t="n">
        <f aca="false">ROUND(Annahmen!$K$35*(1+Annahmen!$B$20*D1337/1000),0)</f>
        <v>860</v>
      </c>
      <c r="K1337" s="15" t="n">
        <f aca="false">ROUND(Annahmen!$K$36*(1+Annahmen!$B$20*D1337/1000),0)</f>
        <v>1117</v>
      </c>
      <c r="L1337" s="15" t="n">
        <f aca="false">ROUND(Annahmen!$K$37*(1+Annahmen!$B$20*D1337/1000),0)</f>
        <v>1142</v>
      </c>
      <c r="M1337" s="15" t="n">
        <f aca="false">ROUND(Annahmen!$K$38*(1+Annahmen!$B$20*D1337/1000),0)</f>
        <v>1142</v>
      </c>
      <c r="N1337" s="16" t="s">
        <v>83</v>
      </c>
    </row>
    <row r="1338" customFormat="false" ht="15" hidden="false" customHeight="false" outlineLevel="0" collapsed="false">
      <c r="A1338" s="13" t="s">
        <v>2723</v>
      </c>
      <c r="B1338" s="14" t="s">
        <v>2724</v>
      </c>
      <c r="C1338" s="15" t="n">
        <v>2744</v>
      </c>
      <c r="D1338" s="15" t="n">
        <v>390</v>
      </c>
      <c r="E1338" s="13" t="s">
        <v>82</v>
      </c>
      <c r="F1338" s="15" t="str">
        <f aca="false">IF(C1338&gt;=J1338,"ja","nein")</f>
        <v>ja</v>
      </c>
      <c r="G1338" s="15" t="str">
        <f aca="false">IF(C1338&gt;=K1338,"ja","nein")</f>
        <v>ja</v>
      </c>
      <c r="H1338" s="15" t="str">
        <f aca="false">IF(C1338&gt;=L1338,"ja","nein")</f>
        <v>ja</v>
      </c>
      <c r="I1338" s="15" t="str">
        <f aca="false">IF(C1338&gt;=M1338,"ja","nein")</f>
        <v>ja</v>
      </c>
      <c r="J1338" s="15" t="n">
        <f aca="false">ROUND(Annahmen!$K$35*(1+Annahmen!$B$20*D1338/1000),0)</f>
        <v>869</v>
      </c>
      <c r="K1338" s="15" t="n">
        <f aca="false">ROUND(Annahmen!$K$36*(1+Annahmen!$B$20*D1338/1000),0)</f>
        <v>1129</v>
      </c>
      <c r="L1338" s="15" t="n">
        <f aca="false">ROUND(Annahmen!$K$37*(1+Annahmen!$B$20*D1338/1000),0)</f>
        <v>1154</v>
      </c>
      <c r="M1338" s="15" t="n">
        <f aca="false">ROUND(Annahmen!$K$38*(1+Annahmen!$B$20*D1338/1000),0)</f>
        <v>1154</v>
      </c>
      <c r="N1338" s="16" t="s">
        <v>86</v>
      </c>
    </row>
    <row r="1339" customFormat="false" ht="15" hidden="false" customHeight="false" outlineLevel="0" collapsed="false">
      <c r="A1339" s="13" t="s">
        <v>2725</v>
      </c>
      <c r="B1339" s="14" t="s">
        <v>2726</v>
      </c>
      <c r="C1339" s="15" t="n">
        <v>2661</v>
      </c>
      <c r="D1339" s="15" t="n">
        <v>26</v>
      </c>
      <c r="E1339" s="13" t="s">
        <v>82</v>
      </c>
      <c r="F1339" s="15" t="str">
        <f aca="false">IF(C1339&gt;=J1339,"ja","nein")</f>
        <v>ja</v>
      </c>
      <c r="G1339" s="15" t="str">
        <f aca="false">IF(C1339&gt;=K1339,"ja","nein")</f>
        <v>ja</v>
      </c>
      <c r="H1339" s="15" t="str">
        <f aca="false">IF(C1339&gt;=L1339,"ja","nein")</f>
        <v>ja</v>
      </c>
      <c r="I1339" s="15" t="str">
        <f aca="false">IF(C1339&gt;=M1339,"ja","nein")</f>
        <v>ja</v>
      </c>
      <c r="J1339" s="15" t="n">
        <f aca="false">ROUND(Annahmen!$K$35*(1+Annahmen!$B$20*D1339/1000),0)</f>
        <v>842</v>
      </c>
      <c r="K1339" s="15" t="n">
        <f aca="false">ROUND(Annahmen!$K$36*(1+Annahmen!$B$20*D1339/1000),0)</f>
        <v>1094</v>
      </c>
      <c r="L1339" s="15" t="n">
        <f aca="false">ROUND(Annahmen!$K$37*(1+Annahmen!$B$20*D1339/1000),0)</f>
        <v>1118</v>
      </c>
      <c r="M1339" s="15" t="n">
        <f aca="false">ROUND(Annahmen!$K$38*(1+Annahmen!$B$20*D1339/1000),0)</f>
        <v>1118</v>
      </c>
      <c r="N1339" s="16" t="s">
        <v>83</v>
      </c>
    </row>
    <row r="1340" customFormat="false" ht="15" hidden="false" customHeight="false" outlineLevel="0" collapsed="false">
      <c r="A1340" s="13" t="s">
        <v>2727</v>
      </c>
      <c r="B1340" s="14" t="s">
        <v>2728</v>
      </c>
      <c r="C1340" s="15" t="n">
        <v>2588</v>
      </c>
      <c r="D1340" s="15" t="n">
        <v>38</v>
      </c>
      <c r="E1340" s="13" t="s">
        <v>82</v>
      </c>
      <c r="F1340" s="15" t="str">
        <f aca="false">IF(C1340&gt;=J1340,"ja","nein")</f>
        <v>ja</v>
      </c>
      <c r="G1340" s="15" t="str">
        <f aca="false">IF(C1340&gt;=K1340,"ja","nein")</f>
        <v>ja</v>
      </c>
      <c r="H1340" s="15" t="str">
        <f aca="false">IF(C1340&gt;=L1340,"ja","nein")</f>
        <v>ja</v>
      </c>
      <c r="I1340" s="15" t="str">
        <f aca="false">IF(C1340&gt;=M1340,"ja","nein")</f>
        <v>ja</v>
      </c>
      <c r="J1340" s="15" t="n">
        <f aca="false">ROUND(Annahmen!$K$35*(1+Annahmen!$B$20*D1340/1000),0)</f>
        <v>843</v>
      </c>
      <c r="K1340" s="15" t="n">
        <f aca="false">ROUND(Annahmen!$K$36*(1+Annahmen!$B$20*D1340/1000),0)</f>
        <v>1095</v>
      </c>
      <c r="L1340" s="15" t="n">
        <f aca="false">ROUND(Annahmen!$K$37*(1+Annahmen!$B$20*D1340/1000),0)</f>
        <v>1119</v>
      </c>
      <c r="M1340" s="15" t="n">
        <f aca="false">ROUND(Annahmen!$K$38*(1+Annahmen!$B$20*D1340/1000),0)</f>
        <v>1119</v>
      </c>
      <c r="N1340" s="16" t="s">
        <v>86</v>
      </c>
    </row>
    <row r="1341" customFormat="false" ht="15" hidden="false" customHeight="false" outlineLevel="0" collapsed="false">
      <c r="A1341" s="13" t="s">
        <v>2729</v>
      </c>
      <c r="B1341" s="14" t="s">
        <v>2730</v>
      </c>
      <c r="C1341" s="15" t="n">
        <v>2558</v>
      </c>
      <c r="D1341" s="15" t="n">
        <v>135</v>
      </c>
      <c r="E1341" s="13" t="s">
        <v>82</v>
      </c>
      <c r="F1341" s="15" t="str">
        <f aca="false">IF(C1341&gt;=J1341,"ja","nein")</f>
        <v>ja</v>
      </c>
      <c r="G1341" s="15" t="str">
        <f aca="false">IF(C1341&gt;=K1341,"ja","nein")</f>
        <v>ja</v>
      </c>
      <c r="H1341" s="15" t="str">
        <f aca="false">IF(C1341&gt;=L1341,"ja","nein")</f>
        <v>ja</v>
      </c>
      <c r="I1341" s="15" t="str">
        <f aca="false">IF(C1341&gt;=M1341,"ja","nein")</f>
        <v>ja</v>
      </c>
      <c r="J1341" s="15" t="n">
        <f aca="false">ROUND(Annahmen!$K$35*(1+Annahmen!$B$20*D1341/1000),0)</f>
        <v>850</v>
      </c>
      <c r="K1341" s="15" t="n">
        <f aca="false">ROUND(Annahmen!$K$36*(1+Annahmen!$B$20*D1341/1000),0)</f>
        <v>1104</v>
      </c>
      <c r="L1341" s="15" t="n">
        <f aca="false">ROUND(Annahmen!$K$37*(1+Annahmen!$B$20*D1341/1000),0)</f>
        <v>1129</v>
      </c>
      <c r="M1341" s="15" t="n">
        <f aca="false">ROUND(Annahmen!$K$38*(1+Annahmen!$B$20*D1341/1000),0)</f>
        <v>1129</v>
      </c>
      <c r="N1341" s="16" t="s">
        <v>83</v>
      </c>
    </row>
    <row r="1342" customFormat="false" ht="15" hidden="false" customHeight="false" outlineLevel="0" collapsed="false">
      <c r="A1342" s="13" t="s">
        <v>2731</v>
      </c>
      <c r="B1342" s="14" t="s">
        <v>2732</v>
      </c>
      <c r="C1342" s="15" t="n">
        <v>2440</v>
      </c>
      <c r="D1342" s="15" t="n">
        <v>238</v>
      </c>
      <c r="E1342" s="13" t="s">
        <v>82</v>
      </c>
      <c r="F1342" s="15" t="str">
        <f aca="false">IF(C1342&gt;=J1342,"ja","nein")</f>
        <v>ja</v>
      </c>
      <c r="G1342" s="15" t="str">
        <f aca="false">IF(C1342&gt;=K1342,"ja","nein")</f>
        <v>ja</v>
      </c>
      <c r="H1342" s="15" t="str">
        <f aca="false">IF(C1342&gt;=L1342,"ja","nein")</f>
        <v>ja</v>
      </c>
      <c r="I1342" s="15" t="str">
        <f aca="false">IF(C1342&gt;=M1342,"ja","nein")</f>
        <v>ja</v>
      </c>
      <c r="J1342" s="15" t="n">
        <f aca="false">ROUND(Annahmen!$K$35*(1+Annahmen!$B$20*D1342/1000),0)</f>
        <v>858</v>
      </c>
      <c r="K1342" s="15" t="n">
        <f aca="false">ROUND(Annahmen!$K$36*(1+Annahmen!$B$20*D1342/1000),0)</f>
        <v>1114</v>
      </c>
      <c r="L1342" s="15" t="n">
        <f aca="false">ROUND(Annahmen!$K$37*(1+Annahmen!$B$20*D1342/1000),0)</f>
        <v>1139</v>
      </c>
      <c r="M1342" s="15" t="n">
        <f aca="false">ROUND(Annahmen!$K$38*(1+Annahmen!$B$20*D1342/1000),0)</f>
        <v>1139</v>
      </c>
      <c r="N1342" s="16" t="s">
        <v>86</v>
      </c>
    </row>
    <row r="1343" customFormat="false" ht="15" hidden="false" customHeight="false" outlineLevel="0" collapsed="false">
      <c r="A1343" s="13" t="s">
        <v>2733</v>
      </c>
      <c r="B1343" s="14" t="s">
        <v>2734</v>
      </c>
      <c r="C1343" s="15" t="n">
        <v>2424</v>
      </c>
      <c r="D1343" s="15" t="n">
        <v>284</v>
      </c>
      <c r="E1343" s="13" t="s">
        <v>82</v>
      </c>
      <c r="F1343" s="15" t="str">
        <f aca="false">IF(C1343&gt;=J1343,"ja","nein")</f>
        <v>ja</v>
      </c>
      <c r="G1343" s="15" t="str">
        <f aca="false">IF(C1343&gt;=K1343,"ja","nein")</f>
        <v>ja</v>
      </c>
      <c r="H1343" s="15" t="str">
        <f aca="false">IF(C1343&gt;=L1343,"ja","nein")</f>
        <v>ja</v>
      </c>
      <c r="I1343" s="15" t="str">
        <f aca="false">IF(C1343&gt;=M1343,"ja","nein")</f>
        <v>ja</v>
      </c>
      <c r="J1343" s="15" t="n">
        <f aca="false">ROUND(Annahmen!$K$35*(1+Annahmen!$B$20*D1343/1000),0)</f>
        <v>861</v>
      </c>
      <c r="K1343" s="15" t="n">
        <f aca="false">ROUND(Annahmen!$K$36*(1+Annahmen!$B$20*D1343/1000),0)</f>
        <v>1119</v>
      </c>
      <c r="L1343" s="15" t="n">
        <f aca="false">ROUND(Annahmen!$K$37*(1+Annahmen!$B$20*D1343/1000),0)</f>
        <v>1143</v>
      </c>
      <c r="M1343" s="15" t="n">
        <f aca="false">ROUND(Annahmen!$K$38*(1+Annahmen!$B$20*D1343/1000),0)</f>
        <v>1143</v>
      </c>
      <c r="N1343" s="16" t="s">
        <v>86</v>
      </c>
    </row>
    <row r="1344" customFormat="false" ht="15" hidden="false" customHeight="false" outlineLevel="0" collapsed="false">
      <c r="A1344" s="13" t="s">
        <v>2735</v>
      </c>
      <c r="B1344" s="14" t="s">
        <v>2736</v>
      </c>
      <c r="C1344" s="15" t="n">
        <v>2422</v>
      </c>
      <c r="D1344" s="15" t="n">
        <v>55</v>
      </c>
      <c r="E1344" s="13" t="s">
        <v>82</v>
      </c>
      <c r="F1344" s="15" t="str">
        <f aca="false">IF(C1344&gt;=J1344,"ja","nein")</f>
        <v>ja</v>
      </c>
      <c r="G1344" s="15" t="str">
        <f aca="false">IF(C1344&gt;=K1344,"ja","nein")</f>
        <v>ja</v>
      </c>
      <c r="H1344" s="15" t="str">
        <f aca="false">IF(C1344&gt;=L1344,"ja","nein")</f>
        <v>ja</v>
      </c>
      <c r="I1344" s="15" t="str">
        <f aca="false">IF(C1344&gt;=M1344,"ja","nein")</f>
        <v>ja</v>
      </c>
      <c r="J1344" s="15" t="n">
        <f aca="false">ROUND(Annahmen!$K$35*(1+Annahmen!$B$20*D1344/1000),0)</f>
        <v>844</v>
      </c>
      <c r="K1344" s="15" t="n">
        <f aca="false">ROUND(Annahmen!$K$36*(1+Annahmen!$B$20*D1344/1000),0)</f>
        <v>1096</v>
      </c>
      <c r="L1344" s="15" t="n">
        <f aca="false">ROUND(Annahmen!$K$37*(1+Annahmen!$B$20*D1344/1000),0)</f>
        <v>1121</v>
      </c>
      <c r="M1344" s="15" t="n">
        <f aca="false">ROUND(Annahmen!$K$38*(1+Annahmen!$B$20*D1344/1000),0)</f>
        <v>1121</v>
      </c>
      <c r="N1344" s="16" t="s">
        <v>86</v>
      </c>
    </row>
    <row r="1345" customFormat="false" ht="15" hidden="false" customHeight="false" outlineLevel="0" collapsed="false">
      <c r="A1345" s="13" t="s">
        <v>2737</v>
      </c>
      <c r="B1345" s="14" t="s">
        <v>2738</v>
      </c>
      <c r="C1345" s="15" t="n">
        <v>2354</v>
      </c>
      <c r="D1345" s="15" t="n">
        <v>220</v>
      </c>
      <c r="E1345" s="13" t="s">
        <v>82</v>
      </c>
      <c r="F1345" s="15" t="str">
        <f aca="false">IF(C1345&gt;=J1345,"ja","nein")</f>
        <v>ja</v>
      </c>
      <c r="G1345" s="15" t="str">
        <f aca="false">IF(C1345&gt;=K1345,"ja","nein")</f>
        <v>ja</v>
      </c>
      <c r="H1345" s="15" t="str">
        <f aca="false">IF(C1345&gt;=L1345,"ja","nein")</f>
        <v>ja</v>
      </c>
      <c r="I1345" s="15" t="str">
        <f aca="false">IF(C1345&gt;=M1345,"ja","nein")</f>
        <v>ja</v>
      </c>
      <c r="J1345" s="15" t="n">
        <f aca="false">ROUND(Annahmen!$K$35*(1+Annahmen!$B$20*D1345/1000),0)</f>
        <v>857</v>
      </c>
      <c r="K1345" s="15" t="n">
        <f aca="false">ROUND(Annahmen!$K$36*(1+Annahmen!$B$20*D1345/1000),0)</f>
        <v>1113</v>
      </c>
      <c r="L1345" s="15" t="n">
        <f aca="false">ROUND(Annahmen!$K$37*(1+Annahmen!$B$20*D1345/1000),0)</f>
        <v>1137</v>
      </c>
      <c r="M1345" s="15" t="n">
        <f aca="false">ROUND(Annahmen!$K$38*(1+Annahmen!$B$20*D1345/1000),0)</f>
        <v>1137</v>
      </c>
      <c r="N1345" s="16" t="s">
        <v>83</v>
      </c>
    </row>
    <row r="1346" customFormat="false" ht="15" hidden="false" customHeight="false" outlineLevel="0" collapsed="false">
      <c r="A1346" s="13" t="s">
        <v>2739</v>
      </c>
      <c r="B1346" s="14" t="s">
        <v>2740</v>
      </c>
      <c r="C1346" s="15" t="n">
        <v>2330</v>
      </c>
      <c r="D1346" s="15" t="n">
        <v>266</v>
      </c>
      <c r="E1346" s="13" t="s">
        <v>82</v>
      </c>
      <c r="F1346" s="15" t="str">
        <f aca="false">IF(C1346&gt;=J1346,"ja","nein")</f>
        <v>ja</v>
      </c>
      <c r="G1346" s="15" t="str">
        <f aca="false">IF(C1346&gt;=K1346,"ja","nein")</f>
        <v>ja</v>
      </c>
      <c r="H1346" s="15" t="str">
        <f aca="false">IF(C1346&gt;=L1346,"ja","nein")</f>
        <v>ja</v>
      </c>
      <c r="I1346" s="15" t="str">
        <f aca="false">IF(C1346&gt;=M1346,"ja","nein")</f>
        <v>ja</v>
      </c>
      <c r="J1346" s="15" t="n">
        <f aca="false">ROUND(Annahmen!$K$35*(1+Annahmen!$B$20*D1346/1000),0)</f>
        <v>860</v>
      </c>
      <c r="K1346" s="15" t="n">
        <f aca="false">ROUND(Annahmen!$K$36*(1+Annahmen!$B$20*D1346/1000),0)</f>
        <v>1117</v>
      </c>
      <c r="L1346" s="15" t="n">
        <f aca="false">ROUND(Annahmen!$K$37*(1+Annahmen!$B$20*D1346/1000),0)</f>
        <v>1142</v>
      </c>
      <c r="M1346" s="15" t="n">
        <f aca="false">ROUND(Annahmen!$K$38*(1+Annahmen!$B$20*D1346/1000),0)</f>
        <v>1142</v>
      </c>
      <c r="N1346" s="16" t="s">
        <v>83</v>
      </c>
    </row>
    <row r="1347" customFormat="false" ht="15" hidden="false" customHeight="false" outlineLevel="0" collapsed="false">
      <c r="A1347" s="13" t="s">
        <v>2741</v>
      </c>
      <c r="B1347" s="14" t="s">
        <v>2742</v>
      </c>
      <c r="C1347" s="15" t="n">
        <v>2310</v>
      </c>
      <c r="D1347" s="15" t="n">
        <v>75</v>
      </c>
      <c r="E1347" s="13" t="s">
        <v>82</v>
      </c>
      <c r="F1347" s="15" t="str">
        <f aca="false">IF(C1347&gt;=J1347,"ja","nein")</f>
        <v>ja</v>
      </c>
      <c r="G1347" s="15" t="str">
        <f aca="false">IF(C1347&gt;=K1347,"ja","nein")</f>
        <v>ja</v>
      </c>
      <c r="H1347" s="15" t="str">
        <f aca="false">IF(C1347&gt;=L1347,"ja","nein")</f>
        <v>ja</v>
      </c>
      <c r="I1347" s="15" t="str">
        <f aca="false">IF(C1347&gt;=M1347,"ja","nein")</f>
        <v>ja</v>
      </c>
      <c r="J1347" s="15" t="n">
        <f aca="false">ROUND(Annahmen!$K$35*(1+Annahmen!$B$20*D1347/1000),0)</f>
        <v>846</v>
      </c>
      <c r="K1347" s="15" t="n">
        <f aca="false">ROUND(Annahmen!$K$36*(1+Annahmen!$B$20*D1347/1000),0)</f>
        <v>1098</v>
      </c>
      <c r="L1347" s="15" t="n">
        <f aca="false">ROUND(Annahmen!$K$37*(1+Annahmen!$B$20*D1347/1000),0)</f>
        <v>1123</v>
      </c>
      <c r="M1347" s="15" t="n">
        <f aca="false">ROUND(Annahmen!$K$38*(1+Annahmen!$B$20*D1347/1000),0)</f>
        <v>1123</v>
      </c>
      <c r="N1347" s="16" t="s">
        <v>86</v>
      </c>
    </row>
    <row r="1348" customFormat="false" ht="15" hidden="false" customHeight="false" outlineLevel="0" collapsed="false">
      <c r="A1348" s="13" t="s">
        <v>2743</v>
      </c>
      <c r="B1348" s="14" t="s">
        <v>2744</v>
      </c>
      <c r="C1348" s="15" t="n">
        <v>2291</v>
      </c>
      <c r="D1348" s="15" t="n">
        <v>120</v>
      </c>
      <c r="E1348" s="13" t="s">
        <v>82</v>
      </c>
      <c r="F1348" s="15" t="str">
        <f aca="false">IF(C1348&gt;=J1348,"ja","nein")</f>
        <v>ja</v>
      </c>
      <c r="G1348" s="15" t="str">
        <f aca="false">IF(C1348&gt;=K1348,"ja","nein")</f>
        <v>ja</v>
      </c>
      <c r="H1348" s="15" t="str">
        <f aca="false">IF(C1348&gt;=L1348,"ja","nein")</f>
        <v>ja</v>
      </c>
      <c r="I1348" s="15" t="str">
        <f aca="false">IF(C1348&gt;=M1348,"ja","nein")</f>
        <v>ja</v>
      </c>
      <c r="J1348" s="15" t="n">
        <f aca="false">ROUND(Annahmen!$K$35*(1+Annahmen!$B$20*D1348/1000),0)</f>
        <v>849</v>
      </c>
      <c r="K1348" s="15" t="n">
        <f aca="false">ROUND(Annahmen!$K$36*(1+Annahmen!$B$20*D1348/1000),0)</f>
        <v>1103</v>
      </c>
      <c r="L1348" s="15" t="n">
        <f aca="false">ROUND(Annahmen!$K$37*(1+Annahmen!$B$20*D1348/1000),0)</f>
        <v>1127</v>
      </c>
      <c r="M1348" s="15" t="n">
        <f aca="false">ROUND(Annahmen!$K$38*(1+Annahmen!$B$20*D1348/1000),0)</f>
        <v>1127</v>
      </c>
      <c r="N1348" s="16" t="s">
        <v>86</v>
      </c>
    </row>
    <row r="1349" customFormat="false" ht="15" hidden="false" customHeight="false" outlineLevel="0" collapsed="false">
      <c r="A1349" s="13" t="s">
        <v>2745</v>
      </c>
      <c r="B1349" s="14" t="s">
        <v>2746</v>
      </c>
      <c r="C1349" s="15" t="n">
        <v>2290</v>
      </c>
      <c r="D1349" s="15" t="n">
        <v>37</v>
      </c>
      <c r="E1349" s="13" t="s">
        <v>82</v>
      </c>
      <c r="F1349" s="15" t="str">
        <f aca="false">IF(C1349&gt;=J1349,"ja","nein")</f>
        <v>ja</v>
      </c>
      <c r="G1349" s="15" t="str">
        <f aca="false">IF(C1349&gt;=K1349,"ja","nein")</f>
        <v>ja</v>
      </c>
      <c r="H1349" s="15" t="str">
        <f aca="false">IF(C1349&gt;=L1349,"ja","nein")</f>
        <v>ja</v>
      </c>
      <c r="I1349" s="15" t="str">
        <f aca="false">IF(C1349&gt;=M1349,"ja","nein")</f>
        <v>ja</v>
      </c>
      <c r="J1349" s="15" t="n">
        <f aca="false">ROUND(Annahmen!$K$35*(1+Annahmen!$B$20*D1349/1000),0)</f>
        <v>843</v>
      </c>
      <c r="K1349" s="15" t="n">
        <f aca="false">ROUND(Annahmen!$K$36*(1+Annahmen!$B$20*D1349/1000),0)</f>
        <v>1095</v>
      </c>
      <c r="L1349" s="15" t="n">
        <f aca="false">ROUND(Annahmen!$K$37*(1+Annahmen!$B$20*D1349/1000),0)</f>
        <v>1119</v>
      </c>
      <c r="M1349" s="15" t="n">
        <f aca="false">ROUND(Annahmen!$K$38*(1+Annahmen!$B$20*D1349/1000),0)</f>
        <v>1119</v>
      </c>
      <c r="N1349" s="16" t="s">
        <v>86</v>
      </c>
    </row>
    <row r="1350" customFormat="false" ht="15" hidden="false" customHeight="false" outlineLevel="0" collapsed="false">
      <c r="A1350" s="13" t="s">
        <v>2747</v>
      </c>
      <c r="B1350" s="14" t="s">
        <v>2748</v>
      </c>
      <c r="C1350" s="15" t="n">
        <v>2286</v>
      </c>
      <c r="D1350" s="15" t="n">
        <v>30</v>
      </c>
      <c r="E1350" s="13" t="s">
        <v>82</v>
      </c>
      <c r="F1350" s="15" t="str">
        <f aca="false">IF(C1350&gt;=J1350,"ja","nein")</f>
        <v>ja</v>
      </c>
      <c r="G1350" s="15" t="str">
        <f aca="false">IF(C1350&gt;=K1350,"ja","nein")</f>
        <v>ja</v>
      </c>
      <c r="H1350" s="15" t="str">
        <f aca="false">IF(C1350&gt;=L1350,"ja","nein")</f>
        <v>ja</v>
      </c>
      <c r="I1350" s="15" t="str">
        <f aca="false">IF(C1350&gt;=M1350,"ja","nein")</f>
        <v>ja</v>
      </c>
      <c r="J1350" s="15" t="n">
        <f aca="false">ROUND(Annahmen!$K$35*(1+Annahmen!$B$20*D1350/1000),0)</f>
        <v>842</v>
      </c>
      <c r="K1350" s="15" t="n">
        <f aca="false">ROUND(Annahmen!$K$36*(1+Annahmen!$B$20*D1350/1000),0)</f>
        <v>1094</v>
      </c>
      <c r="L1350" s="15" t="n">
        <f aca="false">ROUND(Annahmen!$K$37*(1+Annahmen!$B$20*D1350/1000),0)</f>
        <v>1118</v>
      </c>
      <c r="M1350" s="15" t="n">
        <f aca="false">ROUND(Annahmen!$K$38*(1+Annahmen!$B$20*D1350/1000),0)</f>
        <v>1118</v>
      </c>
      <c r="N1350" s="16" t="s">
        <v>102</v>
      </c>
    </row>
    <row r="1351" customFormat="false" ht="15" hidden="false" customHeight="false" outlineLevel="0" collapsed="false">
      <c r="A1351" s="13" t="s">
        <v>2749</v>
      </c>
      <c r="B1351" s="14" t="s">
        <v>2750</v>
      </c>
      <c r="C1351" s="15" t="n">
        <v>2285</v>
      </c>
      <c r="D1351" s="15" t="n">
        <v>80</v>
      </c>
      <c r="E1351" s="13" t="s">
        <v>82</v>
      </c>
      <c r="F1351" s="15" t="str">
        <f aca="false">IF(C1351&gt;=J1351,"ja","nein")</f>
        <v>ja</v>
      </c>
      <c r="G1351" s="15" t="str">
        <f aca="false">IF(C1351&gt;=K1351,"ja","nein")</f>
        <v>ja</v>
      </c>
      <c r="H1351" s="15" t="str">
        <f aca="false">IF(C1351&gt;=L1351,"ja","nein")</f>
        <v>ja</v>
      </c>
      <c r="I1351" s="15" t="str">
        <f aca="false">IF(C1351&gt;=M1351,"ja","nein")</f>
        <v>ja</v>
      </c>
      <c r="J1351" s="15" t="n">
        <f aca="false">ROUND(Annahmen!$K$35*(1+Annahmen!$B$20*D1351/1000),0)</f>
        <v>846</v>
      </c>
      <c r="K1351" s="15" t="n">
        <f aca="false">ROUND(Annahmen!$K$36*(1+Annahmen!$B$20*D1351/1000),0)</f>
        <v>1099</v>
      </c>
      <c r="L1351" s="15" t="n">
        <f aca="false">ROUND(Annahmen!$K$37*(1+Annahmen!$B$20*D1351/1000),0)</f>
        <v>1123</v>
      </c>
      <c r="M1351" s="15" t="n">
        <f aca="false">ROUND(Annahmen!$K$38*(1+Annahmen!$B$20*D1351/1000),0)</f>
        <v>1123</v>
      </c>
      <c r="N1351" s="16" t="s">
        <v>83</v>
      </c>
    </row>
    <row r="1352" customFormat="false" ht="15" hidden="false" customHeight="false" outlineLevel="0" collapsed="false">
      <c r="A1352" s="13" t="s">
        <v>2751</v>
      </c>
      <c r="B1352" s="14" t="s">
        <v>2752</v>
      </c>
      <c r="C1352" s="15" t="n">
        <v>2272</v>
      </c>
      <c r="D1352" s="15" t="n">
        <v>38</v>
      </c>
      <c r="E1352" s="13" t="s">
        <v>82</v>
      </c>
      <c r="F1352" s="15" t="str">
        <f aca="false">IF(C1352&gt;=J1352,"ja","nein")</f>
        <v>ja</v>
      </c>
      <c r="G1352" s="15" t="str">
        <f aca="false">IF(C1352&gt;=K1352,"ja","nein")</f>
        <v>ja</v>
      </c>
      <c r="H1352" s="15" t="str">
        <f aca="false">IF(C1352&gt;=L1352,"ja","nein")</f>
        <v>ja</v>
      </c>
      <c r="I1352" s="15" t="str">
        <f aca="false">IF(C1352&gt;=M1352,"ja","nein")</f>
        <v>ja</v>
      </c>
      <c r="J1352" s="15" t="n">
        <f aca="false">ROUND(Annahmen!$K$35*(1+Annahmen!$B$20*D1352/1000),0)</f>
        <v>843</v>
      </c>
      <c r="K1352" s="15" t="n">
        <f aca="false">ROUND(Annahmen!$K$36*(1+Annahmen!$B$20*D1352/1000),0)</f>
        <v>1095</v>
      </c>
      <c r="L1352" s="15" t="n">
        <f aca="false">ROUND(Annahmen!$K$37*(1+Annahmen!$B$20*D1352/1000),0)</f>
        <v>1119</v>
      </c>
      <c r="M1352" s="15" t="n">
        <f aca="false">ROUND(Annahmen!$K$38*(1+Annahmen!$B$20*D1352/1000),0)</f>
        <v>1119</v>
      </c>
      <c r="N1352" s="16" t="s">
        <v>86</v>
      </c>
    </row>
    <row r="1353" customFormat="false" ht="15" hidden="false" customHeight="false" outlineLevel="0" collapsed="false">
      <c r="A1353" s="13" t="s">
        <v>2753</v>
      </c>
      <c r="B1353" s="14" t="s">
        <v>2754</v>
      </c>
      <c r="C1353" s="15" t="n">
        <v>2250</v>
      </c>
      <c r="D1353" s="15" t="n">
        <v>681</v>
      </c>
      <c r="E1353" s="13" t="s">
        <v>82</v>
      </c>
      <c r="F1353" s="15" t="str">
        <f aca="false">IF(C1353&gt;=J1353,"ja","nein")</f>
        <v>ja</v>
      </c>
      <c r="G1353" s="15" t="str">
        <f aca="false">IF(C1353&gt;=K1353,"ja","nein")</f>
        <v>ja</v>
      </c>
      <c r="H1353" s="15" t="str">
        <f aca="false">IF(C1353&gt;=L1353,"ja","nein")</f>
        <v>ja</v>
      </c>
      <c r="I1353" s="15" t="str">
        <f aca="false">IF(C1353&gt;=M1353,"ja","nein")</f>
        <v>ja</v>
      </c>
      <c r="J1353" s="15" t="n">
        <f aca="false">ROUND(Annahmen!$K$35*(1+Annahmen!$B$20*D1353/1000),0)</f>
        <v>891</v>
      </c>
      <c r="K1353" s="15" t="n">
        <f aca="false">ROUND(Annahmen!$K$36*(1+Annahmen!$B$20*D1353/1000),0)</f>
        <v>1158</v>
      </c>
      <c r="L1353" s="15" t="n">
        <f aca="false">ROUND(Annahmen!$K$37*(1+Annahmen!$B$20*D1353/1000),0)</f>
        <v>1183</v>
      </c>
      <c r="M1353" s="15" t="n">
        <f aca="false">ROUND(Annahmen!$K$38*(1+Annahmen!$B$20*D1353/1000),0)</f>
        <v>1183</v>
      </c>
      <c r="N1353" s="16" t="s">
        <v>83</v>
      </c>
    </row>
    <row r="1354" customFormat="false" ht="15" hidden="false" customHeight="false" outlineLevel="0" collapsed="false">
      <c r="A1354" s="13" t="s">
        <v>2755</v>
      </c>
      <c r="B1354" s="14" t="s">
        <v>2756</v>
      </c>
      <c r="C1354" s="15" t="n">
        <v>2200</v>
      </c>
      <c r="D1354" s="15" t="n">
        <v>121</v>
      </c>
      <c r="E1354" s="13" t="s">
        <v>82</v>
      </c>
      <c r="F1354" s="15" t="str">
        <f aca="false">IF(C1354&gt;=J1354,"ja","nein")</f>
        <v>ja</v>
      </c>
      <c r="G1354" s="15" t="str">
        <f aca="false">IF(C1354&gt;=K1354,"ja","nein")</f>
        <v>ja</v>
      </c>
      <c r="H1354" s="15" t="str">
        <f aca="false">IF(C1354&gt;=L1354,"ja","nein")</f>
        <v>ja</v>
      </c>
      <c r="I1354" s="15" t="str">
        <f aca="false">IF(C1354&gt;=M1354,"ja","nein")</f>
        <v>ja</v>
      </c>
      <c r="J1354" s="15" t="n">
        <f aca="false">ROUND(Annahmen!$K$35*(1+Annahmen!$B$20*D1354/1000),0)</f>
        <v>849</v>
      </c>
      <c r="K1354" s="15" t="n">
        <f aca="false">ROUND(Annahmen!$K$36*(1+Annahmen!$B$20*D1354/1000),0)</f>
        <v>1103</v>
      </c>
      <c r="L1354" s="15" t="n">
        <f aca="false">ROUND(Annahmen!$K$37*(1+Annahmen!$B$20*D1354/1000),0)</f>
        <v>1127</v>
      </c>
      <c r="M1354" s="15" t="n">
        <f aca="false">ROUND(Annahmen!$K$38*(1+Annahmen!$B$20*D1354/1000),0)</f>
        <v>1127</v>
      </c>
      <c r="N1354" s="16" t="s">
        <v>86</v>
      </c>
    </row>
    <row r="1355" customFormat="false" ht="15" hidden="false" customHeight="false" outlineLevel="0" collapsed="false">
      <c r="A1355" s="13" t="s">
        <v>2757</v>
      </c>
      <c r="B1355" s="14" t="s">
        <v>2758</v>
      </c>
      <c r="C1355" s="15" t="n">
        <v>2200</v>
      </c>
      <c r="D1355" s="15" t="n">
        <v>26</v>
      </c>
      <c r="E1355" s="13" t="s">
        <v>82</v>
      </c>
      <c r="F1355" s="15" t="str">
        <f aca="false">IF(C1355&gt;=J1355,"ja","nein")</f>
        <v>ja</v>
      </c>
      <c r="G1355" s="15" t="str">
        <f aca="false">IF(C1355&gt;=K1355,"ja","nein")</f>
        <v>ja</v>
      </c>
      <c r="H1355" s="15" t="str">
        <f aca="false">IF(C1355&gt;=L1355,"ja","nein")</f>
        <v>ja</v>
      </c>
      <c r="I1355" s="15" t="str">
        <f aca="false">IF(C1355&gt;=M1355,"ja","nein")</f>
        <v>ja</v>
      </c>
      <c r="J1355" s="15" t="n">
        <f aca="false">ROUND(Annahmen!$K$35*(1+Annahmen!$B$20*D1355/1000),0)</f>
        <v>842</v>
      </c>
      <c r="K1355" s="15" t="n">
        <f aca="false">ROUND(Annahmen!$K$36*(1+Annahmen!$B$20*D1355/1000),0)</f>
        <v>1094</v>
      </c>
      <c r="L1355" s="15" t="n">
        <f aca="false">ROUND(Annahmen!$K$37*(1+Annahmen!$B$20*D1355/1000),0)</f>
        <v>1118</v>
      </c>
      <c r="M1355" s="15" t="n">
        <f aca="false">ROUND(Annahmen!$K$38*(1+Annahmen!$B$20*D1355/1000),0)</f>
        <v>1118</v>
      </c>
      <c r="N1355" s="16" t="s">
        <v>86</v>
      </c>
    </row>
    <row r="1356" customFormat="false" ht="15" hidden="false" customHeight="false" outlineLevel="0" collapsed="false">
      <c r="A1356" s="13" t="s">
        <v>2759</v>
      </c>
      <c r="B1356" s="14" t="s">
        <v>2760</v>
      </c>
      <c r="C1356" s="15" t="n">
        <v>2162</v>
      </c>
      <c r="D1356" s="15" t="n">
        <v>526</v>
      </c>
      <c r="E1356" s="13" t="s">
        <v>82</v>
      </c>
      <c r="F1356" s="15" t="str">
        <f aca="false">IF(C1356&gt;=J1356,"ja","nein")</f>
        <v>ja</v>
      </c>
      <c r="G1356" s="15" t="str">
        <f aca="false">IF(C1356&gt;=K1356,"ja","nein")</f>
        <v>ja</v>
      </c>
      <c r="H1356" s="15" t="str">
        <f aca="false">IF(C1356&gt;=L1356,"ja","nein")</f>
        <v>ja</v>
      </c>
      <c r="I1356" s="15" t="str">
        <f aca="false">IF(C1356&gt;=M1356,"ja","nein")</f>
        <v>ja</v>
      </c>
      <c r="J1356" s="15" t="n">
        <f aca="false">ROUND(Annahmen!$K$35*(1+Annahmen!$B$20*D1356/1000),0)</f>
        <v>880</v>
      </c>
      <c r="K1356" s="15" t="n">
        <f aca="false">ROUND(Annahmen!$K$36*(1+Annahmen!$B$20*D1356/1000),0)</f>
        <v>1143</v>
      </c>
      <c r="L1356" s="15" t="n">
        <f aca="false">ROUND(Annahmen!$K$37*(1+Annahmen!$B$20*D1356/1000),0)</f>
        <v>1168</v>
      </c>
      <c r="M1356" s="15" t="n">
        <f aca="false">ROUND(Annahmen!$K$38*(1+Annahmen!$B$20*D1356/1000),0)</f>
        <v>1168</v>
      </c>
      <c r="N1356" s="16" t="s">
        <v>83</v>
      </c>
    </row>
    <row r="1357" customFormat="false" ht="15" hidden="false" customHeight="false" outlineLevel="0" collapsed="false">
      <c r="A1357" s="13" t="s">
        <v>2761</v>
      </c>
      <c r="B1357" s="14" t="s">
        <v>2762</v>
      </c>
      <c r="C1357" s="15" t="n">
        <v>2093</v>
      </c>
      <c r="D1357" s="15" t="n">
        <v>45</v>
      </c>
      <c r="E1357" s="13" t="s">
        <v>82</v>
      </c>
      <c r="F1357" s="15" t="str">
        <f aca="false">IF(C1357&gt;=J1357,"ja","nein")</f>
        <v>ja</v>
      </c>
      <c r="G1357" s="15" t="str">
        <f aca="false">IF(C1357&gt;=K1357,"ja","nein")</f>
        <v>ja</v>
      </c>
      <c r="H1357" s="15" t="str">
        <f aca="false">IF(C1357&gt;=L1357,"ja","nein")</f>
        <v>ja</v>
      </c>
      <c r="I1357" s="15" t="str">
        <f aca="false">IF(C1357&gt;=M1357,"ja","nein")</f>
        <v>ja</v>
      </c>
      <c r="J1357" s="15" t="n">
        <f aca="false">ROUND(Annahmen!$K$35*(1+Annahmen!$B$20*D1357/1000),0)</f>
        <v>843</v>
      </c>
      <c r="K1357" s="15" t="n">
        <f aca="false">ROUND(Annahmen!$K$36*(1+Annahmen!$B$20*D1357/1000),0)</f>
        <v>1095</v>
      </c>
      <c r="L1357" s="15" t="n">
        <f aca="false">ROUND(Annahmen!$K$37*(1+Annahmen!$B$20*D1357/1000),0)</f>
        <v>1120</v>
      </c>
      <c r="M1357" s="15" t="n">
        <f aca="false">ROUND(Annahmen!$K$38*(1+Annahmen!$B$20*D1357/1000),0)</f>
        <v>1120</v>
      </c>
      <c r="N1357" s="16" t="s">
        <v>86</v>
      </c>
    </row>
    <row r="1358" customFormat="false" ht="15" hidden="false" customHeight="false" outlineLevel="0" collapsed="false">
      <c r="A1358" s="13" t="s">
        <v>2763</v>
      </c>
      <c r="B1358" s="14" t="s">
        <v>2764</v>
      </c>
      <c r="C1358" s="15" t="n">
        <v>2076</v>
      </c>
      <c r="D1358" s="15" t="n">
        <v>102</v>
      </c>
      <c r="E1358" s="13" t="s">
        <v>82</v>
      </c>
      <c r="F1358" s="15" t="str">
        <f aca="false">IF(C1358&gt;=J1358,"ja","nein")</f>
        <v>ja</v>
      </c>
      <c r="G1358" s="15" t="str">
        <f aca="false">IF(C1358&gt;=K1358,"ja","nein")</f>
        <v>ja</v>
      </c>
      <c r="H1358" s="15" t="str">
        <f aca="false">IF(C1358&gt;=L1358,"ja","nein")</f>
        <v>ja</v>
      </c>
      <c r="I1358" s="15" t="str">
        <f aca="false">IF(C1358&gt;=M1358,"ja","nein")</f>
        <v>ja</v>
      </c>
      <c r="J1358" s="15" t="n">
        <f aca="false">ROUND(Annahmen!$K$35*(1+Annahmen!$B$20*D1358/1000),0)</f>
        <v>848</v>
      </c>
      <c r="K1358" s="15" t="n">
        <f aca="false">ROUND(Annahmen!$K$36*(1+Annahmen!$B$20*D1358/1000),0)</f>
        <v>1101</v>
      </c>
      <c r="L1358" s="15" t="n">
        <f aca="false">ROUND(Annahmen!$K$37*(1+Annahmen!$B$20*D1358/1000),0)</f>
        <v>1125</v>
      </c>
      <c r="M1358" s="15" t="n">
        <f aca="false">ROUND(Annahmen!$K$38*(1+Annahmen!$B$20*D1358/1000),0)</f>
        <v>1125</v>
      </c>
      <c r="N1358" s="16" t="s">
        <v>86</v>
      </c>
    </row>
    <row r="1359" customFormat="false" ht="15" hidden="false" customHeight="false" outlineLevel="0" collapsed="false">
      <c r="A1359" s="13" t="s">
        <v>2765</v>
      </c>
      <c r="B1359" s="14" t="s">
        <v>2766</v>
      </c>
      <c r="C1359" s="15" t="n">
        <v>2011</v>
      </c>
      <c r="D1359" s="15" t="n">
        <v>622</v>
      </c>
      <c r="E1359" s="13" t="s">
        <v>82</v>
      </c>
      <c r="F1359" s="15" t="str">
        <f aca="false">IF(C1359&gt;=J1359,"ja","nein")</f>
        <v>ja</v>
      </c>
      <c r="G1359" s="15" t="str">
        <f aca="false">IF(C1359&gt;=K1359,"ja","nein")</f>
        <v>ja</v>
      </c>
      <c r="H1359" s="15" t="str">
        <f aca="false">IF(C1359&gt;=L1359,"ja","nein")</f>
        <v>ja</v>
      </c>
      <c r="I1359" s="15" t="str">
        <f aca="false">IF(C1359&gt;=M1359,"ja","nein")</f>
        <v>ja</v>
      </c>
      <c r="J1359" s="15" t="n">
        <f aca="false">ROUND(Annahmen!$K$35*(1+Annahmen!$B$20*D1359/1000),0)</f>
        <v>887</v>
      </c>
      <c r="K1359" s="15" t="n">
        <f aca="false">ROUND(Annahmen!$K$36*(1+Annahmen!$B$20*D1359/1000),0)</f>
        <v>1152</v>
      </c>
      <c r="L1359" s="15" t="n">
        <f aca="false">ROUND(Annahmen!$K$37*(1+Annahmen!$B$20*D1359/1000),0)</f>
        <v>1177</v>
      </c>
      <c r="M1359" s="15" t="n">
        <f aca="false">ROUND(Annahmen!$K$38*(1+Annahmen!$B$20*D1359/1000),0)</f>
        <v>1177</v>
      </c>
      <c r="N1359" s="16" t="s">
        <v>83</v>
      </c>
    </row>
    <row r="1360" customFormat="false" ht="15" hidden="false" customHeight="false" outlineLevel="0" collapsed="false">
      <c r="A1360" s="13" t="s">
        <v>2767</v>
      </c>
      <c r="B1360" s="14" t="s">
        <v>2768</v>
      </c>
      <c r="C1360" s="15" t="n">
        <v>2009</v>
      </c>
      <c r="D1360" s="15" t="n">
        <v>433</v>
      </c>
      <c r="E1360" s="13" t="s">
        <v>82</v>
      </c>
      <c r="F1360" s="15" t="str">
        <f aca="false">IF(C1360&gt;=J1360,"ja","nein")</f>
        <v>ja</v>
      </c>
      <c r="G1360" s="15" t="str">
        <f aca="false">IF(C1360&gt;=K1360,"ja","nein")</f>
        <v>ja</v>
      </c>
      <c r="H1360" s="15" t="str">
        <f aca="false">IF(C1360&gt;=L1360,"ja","nein")</f>
        <v>ja</v>
      </c>
      <c r="I1360" s="15" t="str">
        <f aca="false">IF(C1360&gt;=M1360,"ja","nein")</f>
        <v>ja</v>
      </c>
      <c r="J1360" s="15" t="n">
        <f aca="false">ROUND(Annahmen!$K$35*(1+Annahmen!$B$20*D1360/1000),0)</f>
        <v>873</v>
      </c>
      <c r="K1360" s="15" t="n">
        <f aca="false">ROUND(Annahmen!$K$36*(1+Annahmen!$B$20*D1360/1000),0)</f>
        <v>1134</v>
      </c>
      <c r="L1360" s="15" t="n">
        <f aca="false">ROUND(Annahmen!$K$37*(1+Annahmen!$B$20*D1360/1000),0)</f>
        <v>1158</v>
      </c>
      <c r="M1360" s="15" t="n">
        <f aca="false">ROUND(Annahmen!$K$38*(1+Annahmen!$B$20*D1360/1000),0)</f>
        <v>1158</v>
      </c>
      <c r="N1360" s="16" t="s">
        <v>102</v>
      </c>
    </row>
    <row r="1361" customFormat="false" ht="15" hidden="false" customHeight="false" outlineLevel="0" collapsed="false">
      <c r="A1361" s="13" t="s">
        <v>2769</v>
      </c>
      <c r="B1361" s="14" t="s">
        <v>2770</v>
      </c>
      <c r="C1361" s="15" t="n">
        <v>1969</v>
      </c>
      <c r="D1361" s="15" t="n">
        <v>22</v>
      </c>
      <c r="E1361" s="13" t="s">
        <v>82</v>
      </c>
      <c r="F1361" s="15" t="str">
        <f aca="false">IF(C1361&gt;=J1361,"ja","nein")</f>
        <v>ja</v>
      </c>
      <c r="G1361" s="15" t="str">
        <f aca="false">IF(C1361&gt;=K1361,"ja","nein")</f>
        <v>ja</v>
      </c>
      <c r="H1361" s="15" t="str">
        <f aca="false">IF(C1361&gt;=L1361,"ja","nein")</f>
        <v>ja</v>
      </c>
      <c r="I1361" s="15" t="str">
        <f aca="false">IF(C1361&gt;=M1361,"ja","nein")</f>
        <v>ja</v>
      </c>
      <c r="J1361" s="15" t="n">
        <f aca="false">ROUND(Annahmen!$K$35*(1+Annahmen!$B$20*D1361/1000),0)</f>
        <v>842</v>
      </c>
      <c r="K1361" s="15" t="n">
        <f aca="false">ROUND(Annahmen!$K$36*(1+Annahmen!$B$20*D1361/1000),0)</f>
        <v>1093</v>
      </c>
      <c r="L1361" s="15" t="n">
        <f aca="false">ROUND(Annahmen!$K$37*(1+Annahmen!$B$20*D1361/1000),0)</f>
        <v>1117</v>
      </c>
      <c r="M1361" s="15" t="n">
        <f aca="false">ROUND(Annahmen!$K$38*(1+Annahmen!$B$20*D1361/1000),0)</f>
        <v>1117</v>
      </c>
      <c r="N1361" s="16" t="s">
        <v>86</v>
      </c>
    </row>
    <row r="1362" customFormat="false" ht="15" hidden="false" customHeight="false" outlineLevel="0" collapsed="false">
      <c r="A1362" s="13" t="s">
        <v>2771</v>
      </c>
      <c r="B1362" s="14" t="s">
        <v>2772</v>
      </c>
      <c r="C1362" s="15" t="n">
        <v>1964</v>
      </c>
      <c r="D1362" s="15" t="n">
        <v>47</v>
      </c>
      <c r="E1362" s="13" t="s">
        <v>82</v>
      </c>
      <c r="F1362" s="15" t="str">
        <f aca="false">IF(C1362&gt;=J1362,"ja","nein")</f>
        <v>ja</v>
      </c>
      <c r="G1362" s="15" t="str">
        <f aca="false">IF(C1362&gt;=K1362,"ja","nein")</f>
        <v>ja</v>
      </c>
      <c r="H1362" s="15" t="str">
        <f aca="false">IF(C1362&gt;=L1362,"ja","nein")</f>
        <v>ja</v>
      </c>
      <c r="I1362" s="15" t="str">
        <f aca="false">IF(C1362&gt;=M1362,"ja","nein")</f>
        <v>ja</v>
      </c>
      <c r="J1362" s="15" t="n">
        <f aca="false">ROUND(Annahmen!$K$35*(1+Annahmen!$B$20*D1362/1000),0)</f>
        <v>844</v>
      </c>
      <c r="K1362" s="15" t="n">
        <f aca="false">ROUND(Annahmen!$K$36*(1+Annahmen!$B$20*D1362/1000),0)</f>
        <v>1096</v>
      </c>
      <c r="L1362" s="15" t="n">
        <f aca="false">ROUND(Annahmen!$K$37*(1+Annahmen!$B$20*D1362/1000),0)</f>
        <v>1120</v>
      </c>
      <c r="M1362" s="15" t="n">
        <f aca="false">ROUND(Annahmen!$K$38*(1+Annahmen!$B$20*D1362/1000),0)</f>
        <v>1120</v>
      </c>
      <c r="N1362" s="16" t="s">
        <v>86</v>
      </c>
    </row>
    <row r="1363" customFormat="false" ht="15" hidden="false" customHeight="false" outlineLevel="0" collapsed="false">
      <c r="A1363" s="13" t="s">
        <v>2773</v>
      </c>
      <c r="B1363" s="14" t="s">
        <v>2774</v>
      </c>
      <c r="C1363" s="15" t="n">
        <v>1953</v>
      </c>
      <c r="D1363" s="15" t="n">
        <v>215</v>
      </c>
      <c r="E1363" s="13" t="s">
        <v>82</v>
      </c>
      <c r="F1363" s="15" t="str">
        <f aca="false">IF(C1363&gt;=J1363,"ja","nein")</f>
        <v>ja</v>
      </c>
      <c r="G1363" s="15" t="str">
        <f aca="false">IF(C1363&gt;=K1363,"ja","nein")</f>
        <v>ja</v>
      </c>
      <c r="H1363" s="15" t="str">
        <f aca="false">IF(C1363&gt;=L1363,"ja","nein")</f>
        <v>ja</v>
      </c>
      <c r="I1363" s="15" t="str">
        <f aca="false">IF(C1363&gt;=M1363,"ja","nein")</f>
        <v>ja</v>
      </c>
      <c r="J1363" s="15" t="n">
        <f aca="false">ROUND(Annahmen!$K$35*(1+Annahmen!$B$20*D1363/1000),0)</f>
        <v>856</v>
      </c>
      <c r="K1363" s="15" t="n">
        <f aca="false">ROUND(Annahmen!$K$36*(1+Annahmen!$B$20*D1363/1000),0)</f>
        <v>1112</v>
      </c>
      <c r="L1363" s="15" t="n">
        <f aca="false">ROUND(Annahmen!$K$37*(1+Annahmen!$B$20*D1363/1000),0)</f>
        <v>1137</v>
      </c>
      <c r="M1363" s="15" t="n">
        <f aca="false">ROUND(Annahmen!$K$38*(1+Annahmen!$B$20*D1363/1000),0)</f>
        <v>1137</v>
      </c>
      <c r="N1363" s="16" t="s">
        <v>83</v>
      </c>
    </row>
    <row r="1364" customFormat="false" ht="15" hidden="false" customHeight="false" outlineLevel="0" collapsed="false">
      <c r="A1364" s="13" t="s">
        <v>2775</v>
      </c>
      <c r="B1364" s="14" t="s">
        <v>2776</v>
      </c>
      <c r="C1364" s="15" t="n">
        <v>1930</v>
      </c>
      <c r="D1364" s="15" t="n">
        <v>321</v>
      </c>
      <c r="E1364" s="13" t="s">
        <v>82</v>
      </c>
      <c r="F1364" s="15" t="str">
        <f aca="false">IF(C1364&gt;=J1364,"ja","nein")</f>
        <v>ja</v>
      </c>
      <c r="G1364" s="15" t="str">
        <f aca="false">IF(C1364&gt;=K1364,"ja","nein")</f>
        <v>ja</v>
      </c>
      <c r="H1364" s="15" t="str">
        <f aca="false">IF(C1364&gt;=L1364,"ja","nein")</f>
        <v>ja</v>
      </c>
      <c r="I1364" s="15" t="str">
        <f aca="false">IF(C1364&gt;=M1364,"ja","nein")</f>
        <v>ja</v>
      </c>
      <c r="J1364" s="15" t="n">
        <f aca="false">ROUND(Annahmen!$K$35*(1+Annahmen!$B$20*D1364/1000),0)</f>
        <v>864</v>
      </c>
      <c r="K1364" s="15" t="n">
        <f aca="false">ROUND(Annahmen!$K$36*(1+Annahmen!$B$20*D1364/1000),0)</f>
        <v>1123</v>
      </c>
      <c r="L1364" s="15" t="n">
        <f aca="false">ROUND(Annahmen!$K$37*(1+Annahmen!$B$20*D1364/1000),0)</f>
        <v>1147</v>
      </c>
      <c r="M1364" s="15" t="n">
        <f aca="false">ROUND(Annahmen!$K$38*(1+Annahmen!$B$20*D1364/1000),0)</f>
        <v>1147</v>
      </c>
      <c r="N1364" s="16" t="s">
        <v>102</v>
      </c>
    </row>
    <row r="1365" customFormat="false" ht="15" hidden="false" customHeight="false" outlineLevel="0" collapsed="false">
      <c r="A1365" s="13" t="s">
        <v>2777</v>
      </c>
      <c r="B1365" s="14" t="s">
        <v>2778</v>
      </c>
      <c r="C1365" s="15" t="n">
        <v>1888</v>
      </c>
      <c r="D1365" s="15" t="n">
        <v>31</v>
      </c>
      <c r="E1365" s="13" t="s">
        <v>82</v>
      </c>
      <c r="F1365" s="15" t="str">
        <f aca="false">IF(C1365&gt;=J1365,"ja","nein")</f>
        <v>ja</v>
      </c>
      <c r="G1365" s="15" t="str">
        <f aca="false">IF(C1365&gt;=K1365,"ja","nein")</f>
        <v>ja</v>
      </c>
      <c r="H1365" s="15" t="str">
        <f aca="false">IF(C1365&gt;=L1365,"ja","nein")</f>
        <v>ja</v>
      </c>
      <c r="I1365" s="15" t="str">
        <f aca="false">IF(C1365&gt;=M1365,"ja","nein")</f>
        <v>ja</v>
      </c>
      <c r="J1365" s="15" t="n">
        <f aca="false">ROUND(Annahmen!$K$35*(1+Annahmen!$B$20*D1365/1000),0)</f>
        <v>842</v>
      </c>
      <c r="K1365" s="15" t="n">
        <f aca="false">ROUND(Annahmen!$K$36*(1+Annahmen!$B$20*D1365/1000),0)</f>
        <v>1094</v>
      </c>
      <c r="L1365" s="15" t="n">
        <f aca="false">ROUND(Annahmen!$K$37*(1+Annahmen!$B$20*D1365/1000),0)</f>
        <v>1118</v>
      </c>
      <c r="M1365" s="15" t="n">
        <f aca="false">ROUND(Annahmen!$K$38*(1+Annahmen!$B$20*D1365/1000),0)</f>
        <v>1118</v>
      </c>
      <c r="N1365" s="16" t="s">
        <v>86</v>
      </c>
    </row>
    <row r="1366" customFormat="false" ht="15" hidden="false" customHeight="false" outlineLevel="0" collapsed="false">
      <c r="A1366" s="13" t="s">
        <v>2779</v>
      </c>
      <c r="B1366" s="14" t="s">
        <v>2780</v>
      </c>
      <c r="C1366" s="15" t="n">
        <v>1887</v>
      </c>
      <c r="D1366" s="15" t="n">
        <v>44</v>
      </c>
      <c r="E1366" s="13" t="s">
        <v>82</v>
      </c>
      <c r="F1366" s="15" t="str">
        <f aca="false">IF(C1366&gt;=J1366,"ja","nein")</f>
        <v>ja</v>
      </c>
      <c r="G1366" s="15" t="str">
        <f aca="false">IF(C1366&gt;=K1366,"ja","nein")</f>
        <v>ja</v>
      </c>
      <c r="H1366" s="15" t="str">
        <f aca="false">IF(C1366&gt;=L1366,"ja","nein")</f>
        <v>ja</v>
      </c>
      <c r="I1366" s="15" t="str">
        <f aca="false">IF(C1366&gt;=M1366,"ja","nein")</f>
        <v>ja</v>
      </c>
      <c r="J1366" s="15" t="n">
        <f aca="false">ROUND(Annahmen!$K$35*(1+Annahmen!$B$20*D1366/1000),0)</f>
        <v>843</v>
      </c>
      <c r="K1366" s="15" t="n">
        <f aca="false">ROUND(Annahmen!$K$36*(1+Annahmen!$B$20*D1366/1000),0)</f>
        <v>1095</v>
      </c>
      <c r="L1366" s="15" t="n">
        <f aca="false">ROUND(Annahmen!$K$37*(1+Annahmen!$B$20*D1366/1000),0)</f>
        <v>1119</v>
      </c>
      <c r="M1366" s="15" t="n">
        <f aca="false">ROUND(Annahmen!$K$38*(1+Annahmen!$B$20*D1366/1000),0)</f>
        <v>1119</v>
      </c>
      <c r="N1366" s="16" t="s">
        <v>86</v>
      </c>
    </row>
    <row r="1367" customFormat="false" ht="15" hidden="false" customHeight="false" outlineLevel="0" collapsed="false">
      <c r="A1367" s="13" t="s">
        <v>2781</v>
      </c>
      <c r="B1367" s="14" t="s">
        <v>2782</v>
      </c>
      <c r="C1367" s="15" t="n">
        <v>1880</v>
      </c>
      <c r="D1367" s="15" t="n">
        <v>172</v>
      </c>
      <c r="E1367" s="13" t="s">
        <v>82</v>
      </c>
      <c r="F1367" s="15" t="str">
        <f aca="false">IF(C1367&gt;=J1367,"ja","nein")</f>
        <v>ja</v>
      </c>
      <c r="G1367" s="15" t="str">
        <f aca="false">IF(C1367&gt;=K1367,"ja","nein")</f>
        <v>ja</v>
      </c>
      <c r="H1367" s="15" t="str">
        <f aca="false">IF(C1367&gt;=L1367,"ja","nein")</f>
        <v>ja</v>
      </c>
      <c r="I1367" s="15" t="str">
        <f aca="false">IF(C1367&gt;=M1367,"ja","nein")</f>
        <v>ja</v>
      </c>
      <c r="J1367" s="15" t="n">
        <f aca="false">ROUND(Annahmen!$K$35*(1+Annahmen!$B$20*D1367/1000),0)</f>
        <v>853</v>
      </c>
      <c r="K1367" s="15" t="n">
        <f aca="false">ROUND(Annahmen!$K$36*(1+Annahmen!$B$20*D1367/1000),0)</f>
        <v>1108</v>
      </c>
      <c r="L1367" s="15" t="n">
        <f aca="false">ROUND(Annahmen!$K$37*(1+Annahmen!$B$20*D1367/1000),0)</f>
        <v>1132</v>
      </c>
      <c r="M1367" s="15" t="n">
        <f aca="false">ROUND(Annahmen!$K$38*(1+Annahmen!$B$20*D1367/1000),0)</f>
        <v>1132</v>
      </c>
      <c r="N1367" s="16" t="s">
        <v>102</v>
      </c>
    </row>
    <row r="1368" customFormat="false" ht="15" hidden="false" customHeight="false" outlineLevel="0" collapsed="false">
      <c r="A1368" s="13" t="s">
        <v>2783</v>
      </c>
      <c r="B1368" s="14" t="s">
        <v>2784</v>
      </c>
      <c r="C1368" s="15" t="n">
        <v>1877</v>
      </c>
      <c r="D1368" s="15" t="n">
        <v>29</v>
      </c>
      <c r="E1368" s="13" t="s">
        <v>82</v>
      </c>
      <c r="F1368" s="15" t="str">
        <f aca="false">IF(C1368&gt;=J1368,"ja","nein")</f>
        <v>ja</v>
      </c>
      <c r="G1368" s="15" t="str">
        <f aca="false">IF(C1368&gt;=K1368,"ja","nein")</f>
        <v>ja</v>
      </c>
      <c r="H1368" s="15" t="str">
        <f aca="false">IF(C1368&gt;=L1368,"ja","nein")</f>
        <v>ja</v>
      </c>
      <c r="I1368" s="15" t="str">
        <f aca="false">IF(C1368&gt;=M1368,"ja","nein")</f>
        <v>ja</v>
      </c>
      <c r="J1368" s="15" t="n">
        <f aca="false">ROUND(Annahmen!$K$35*(1+Annahmen!$B$20*D1368/1000),0)</f>
        <v>842</v>
      </c>
      <c r="K1368" s="15" t="n">
        <f aca="false">ROUND(Annahmen!$K$36*(1+Annahmen!$B$20*D1368/1000),0)</f>
        <v>1094</v>
      </c>
      <c r="L1368" s="15" t="n">
        <f aca="false">ROUND(Annahmen!$K$37*(1+Annahmen!$B$20*D1368/1000),0)</f>
        <v>1118</v>
      </c>
      <c r="M1368" s="15" t="n">
        <f aca="false">ROUND(Annahmen!$K$38*(1+Annahmen!$B$20*D1368/1000),0)</f>
        <v>1118</v>
      </c>
      <c r="N1368" s="16" t="s">
        <v>86</v>
      </c>
    </row>
    <row r="1369" customFormat="false" ht="15" hidden="false" customHeight="false" outlineLevel="0" collapsed="false">
      <c r="A1369" s="13" t="s">
        <v>2785</v>
      </c>
      <c r="B1369" s="14" t="s">
        <v>2786</v>
      </c>
      <c r="C1369" s="15" t="n">
        <v>1868</v>
      </c>
      <c r="D1369" s="15" t="n">
        <v>34</v>
      </c>
      <c r="E1369" s="13" t="s">
        <v>82</v>
      </c>
      <c r="F1369" s="15" t="str">
        <f aca="false">IF(C1369&gt;=J1369,"ja","nein")</f>
        <v>ja</v>
      </c>
      <c r="G1369" s="15" t="str">
        <f aca="false">IF(C1369&gt;=K1369,"ja","nein")</f>
        <v>ja</v>
      </c>
      <c r="H1369" s="15" t="str">
        <f aca="false">IF(C1369&gt;=L1369,"ja","nein")</f>
        <v>ja</v>
      </c>
      <c r="I1369" s="15" t="str">
        <f aca="false">IF(C1369&gt;=M1369,"ja","nein")</f>
        <v>ja</v>
      </c>
      <c r="J1369" s="15" t="n">
        <f aca="false">ROUND(Annahmen!$K$35*(1+Annahmen!$B$20*D1369/1000),0)</f>
        <v>843</v>
      </c>
      <c r="K1369" s="15" t="n">
        <f aca="false">ROUND(Annahmen!$K$36*(1+Annahmen!$B$20*D1369/1000),0)</f>
        <v>1094</v>
      </c>
      <c r="L1369" s="15" t="n">
        <f aca="false">ROUND(Annahmen!$K$37*(1+Annahmen!$B$20*D1369/1000),0)</f>
        <v>1118</v>
      </c>
      <c r="M1369" s="15" t="n">
        <f aca="false">ROUND(Annahmen!$K$38*(1+Annahmen!$B$20*D1369/1000),0)</f>
        <v>1118</v>
      </c>
      <c r="N1369" s="16" t="s">
        <v>86</v>
      </c>
    </row>
    <row r="1370" customFormat="false" ht="15" hidden="false" customHeight="false" outlineLevel="0" collapsed="false">
      <c r="A1370" s="13" t="s">
        <v>2787</v>
      </c>
      <c r="B1370" s="14" t="s">
        <v>2788</v>
      </c>
      <c r="C1370" s="15" t="n">
        <v>1856</v>
      </c>
      <c r="D1370" s="15" t="n">
        <v>49</v>
      </c>
      <c r="E1370" s="13" t="s">
        <v>82</v>
      </c>
      <c r="F1370" s="15" t="str">
        <f aca="false">IF(C1370&gt;=J1370,"ja","nein")</f>
        <v>ja</v>
      </c>
      <c r="G1370" s="15" t="str">
        <f aca="false">IF(C1370&gt;=K1370,"ja","nein")</f>
        <v>ja</v>
      </c>
      <c r="H1370" s="15" t="str">
        <f aca="false">IF(C1370&gt;=L1370,"ja","nein")</f>
        <v>ja</v>
      </c>
      <c r="I1370" s="15" t="str">
        <f aca="false">IF(C1370&gt;=M1370,"ja","nein")</f>
        <v>ja</v>
      </c>
      <c r="J1370" s="15" t="n">
        <f aca="false">ROUND(Annahmen!$K$35*(1+Annahmen!$B$20*D1370/1000),0)</f>
        <v>844</v>
      </c>
      <c r="K1370" s="15" t="n">
        <f aca="false">ROUND(Annahmen!$K$36*(1+Annahmen!$B$20*D1370/1000),0)</f>
        <v>1096</v>
      </c>
      <c r="L1370" s="15" t="n">
        <f aca="false">ROUND(Annahmen!$K$37*(1+Annahmen!$B$20*D1370/1000),0)</f>
        <v>1120</v>
      </c>
      <c r="M1370" s="15" t="n">
        <f aca="false">ROUND(Annahmen!$K$38*(1+Annahmen!$B$20*D1370/1000),0)</f>
        <v>1120</v>
      </c>
      <c r="N1370" s="16" t="s">
        <v>86</v>
      </c>
    </row>
    <row r="1371" customFormat="false" ht="15" hidden="false" customHeight="false" outlineLevel="0" collapsed="false">
      <c r="A1371" s="13" t="s">
        <v>2789</v>
      </c>
      <c r="B1371" s="14" t="s">
        <v>2790</v>
      </c>
      <c r="C1371" s="15" t="n">
        <v>1842</v>
      </c>
      <c r="D1371" s="15" t="n">
        <v>118</v>
      </c>
      <c r="E1371" s="13" t="s">
        <v>82</v>
      </c>
      <c r="F1371" s="15" t="str">
        <f aca="false">IF(C1371&gt;=J1371,"ja","nein")</f>
        <v>ja</v>
      </c>
      <c r="G1371" s="15" t="str">
        <f aca="false">IF(C1371&gt;=K1371,"ja","nein")</f>
        <v>ja</v>
      </c>
      <c r="H1371" s="15" t="str">
        <f aca="false">IF(C1371&gt;=L1371,"ja","nein")</f>
        <v>ja</v>
      </c>
      <c r="I1371" s="15" t="str">
        <f aca="false">IF(C1371&gt;=M1371,"ja","nein")</f>
        <v>ja</v>
      </c>
      <c r="J1371" s="15" t="n">
        <f aca="false">ROUND(Annahmen!$K$35*(1+Annahmen!$B$20*D1371/1000),0)</f>
        <v>849</v>
      </c>
      <c r="K1371" s="15" t="n">
        <f aca="false">ROUND(Annahmen!$K$36*(1+Annahmen!$B$20*D1371/1000),0)</f>
        <v>1103</v>
      </c>
      <c r="L1371" s="15" t="n">
        <f aca="false">ROUND(Annahmen!$K$37*(1+Annahmen!$B$20*D1371/1000),0)</f>
        <v>1127</v>
      </c>
      <c r="M1371" s="15" t="n">
        <f aca="false">ROUND(Annahmen!$K$38*(1+Annahmen!$B$20*D1371/1000),0)</f>
        <v>1127</v>
      </c>
      <c r="N1371" s="16" t="s">
        <v>86</v>
      </c>
    </row>
    <row r="1372" customFormat="false" ht="15" hidden="false" customHeight="false" outlineLevel="0" collapsed="false">
      <c r="A1372" s="13" t="s">
        <v>2791</v>
      </c>
      <c r="B1372" s="14" t="s">
        <v>2792</v>
      </c>
      <c r="C1372" s="15" t="n">
        <v>1837</v>
      </c>
      <c r="D1372" s="15" t="n">
        <v>19</v>
      </c>
      <c r="E1372" s="13" t="s">
        <v>82</v>
      </c>
      <c r="F1372" s="15" t="str">
        <f aca="false">IF(C1372&gt;=J1372,"ja","nein")</f>
        <v>ja</v>
      </c>
      <c r="G1372" s="15" t="str">
        <f aca="false">IF(C1372&gt;=K1372,"ja","nein")</f>
        <v>ja</v>
      </c>
      <c r="H1372" s="15" t="str">
        <f aca="false">IF(C1372&gt;=L1372,"ja","nein")</f>
        <v>ja</v>
      </c>
      <c r="I1372" s="15" t="str">
        <f aca="false">IF(C1372&gt;=M1372,"ja","nein")</f>
        <v>ja</v>
      </c>
      <c r="J1372" s="15" t="n">
        <f aca="false">ROUND(Annahmen!$K$35*(1+Annahmen!$B$20*D1372/1000),0)</f>
        <v>841</v>
      </c>
      <c r="K1372" s="15" t="n">
        <f aca="false">ROUND(Annahmen!$K$36*(1+Annahmen!$B$20*D1372/1000),0)</f>
        <v>1093</v>
      </c>
      <c r="L1372" s="15" t="n">
        <f aca="false">ROUND(Annahmen!$K$37*(1+Annahmen!$B$20*D1372/1000),0)</f>
        <v>1117</v>
      </c>
      <c r="M1372" s="15" t="n">
        <f aca="false">ROUND(Annahmen!$K$38*(1+Annahmen!$B$20*D1372/1000),0)</f>
        <v>1117</v>
      </c>
      <c r="N1372" s="16" t="s">
        <v>86</v>
      </c>
    </row>
    <row r="1373" customFormat="false" ht="15" hidden="false" customHeight="false" outlineLevel="0" collapsed="false">
      <c r="A1373" s="13" t="s">
        <v>2793</v>
      </c>
      <c r="B1373" s="14" t="s">
        <v>2794</v>
      </c>
      <c r="C1373" s="15" t="n">
        <v>1833</v>
      </c>
      <c r="D1373" s="15" t="n">
        <v>27</v>
      </c>
      <c r="E1373" s="13" t="s">
        <v>82</v>
      </c>
      <c r="F1373" s="15" t="str">
        <f aca="false">IF(C1373&gt;=J1373,"ja","nein")</f>
        <v>ja</v>
      </c>
      <c r="G1373" s="15" t="str">
        <f aca="false">IF(C1373&gt;=K1373,"ja","nein")</f>
        <v>ja</v>
      </c>
      <c r="H1373" s="15" t="str">
        <f aca="false">IF(C1373&gt;=L1373,"ja","nein")</f>
        <v>ja</v>
      </c>
      <c r="I1373" s="15" t="str">
        <f aca="false">IF(C1373&gt;=M1373,"ja","nein")</f>
        <v>ja</v>
      </c>
      <c r="J1373" s="15" t="n">
        <f aca="false">ROUND(Annahmen!$K$35*(1+Annahmen!$B$20*D1373/1000),0)</f>
        <v>842</v>
      </c>
      <c r="K1373" s="15" t="n">
        <f aca="false">ROUND(Annahmen!$K$36*(1+Annahmen!$B$20*D1373/1000),0)</f>
        <v>1094</v>
      </c>
      <c r="L1373" s="15" t="n">
        <f aca="false">ROUND(Annahmen!$K$37*(1+Annahmen!$B$20*D1373/1000),0)</f>
        <v>1118</v>
      </c>
      <c r="M1373" s="15" t="n">
        <f aca="false">ROUND(Annahmen!$K$38*(1+Annahmen!$B$20*D1373/1000),0)</f>
        <v>1118</v>
      </c>
      <c r="N1373" s="16" t="s">
        <v>86</v>
      </c>
    </row>
    <row r="1374" customFormat="false" ht="15" hidden="false" customHeight="false" outlineLevel="0" collapsed="false">
      <c r="A1374" s="13" t="s">
        <v>2795</v>
      </c>
      <c r="B1374" s="14" t="s">
        <v>2796</v>
      </c>
      <c r="C1374" s="15" t="n">
        <v>1831</v>
      </c>
      <c r="D1374" s="15" t="n">
        <v>267</v>
      </c>
      <c r="E1374" s="13" t="s">
        <v>82</v>
      </c>
      <c r="F1374" s="15" t="str">
        <f aca="false">IF(C1374&gt;=J1374,"ja","nein")</f>
        <v>ja</v>
      </c>
      <c r="G1374" s="15" t="str">
        <f aca="false">IF(C1374&gt;=K1374,"ja","nein")</f>
        <v>ja</v>
      </c>
      <c r="H1374" s="15" t="str">
        <f aca="false">IF(C1374&gt;=L1374,"ja","nein")</f>
        <v>ja</v>
      </c>
      <c r="I1374" s="15" t="str">
        <f aca="false">IF(C1374&gt;=M1374,"ja","nein")</f>
        <v>ja</v>
      </c>
      <c r="J1374" s="15" t="n">
        <f aca="false">ROUND(Annahmen!$K$35*(1+Annahmen!$B$20*D1374/1000),0)</f>
        <v>860</v>
      </c>
      <c r="K1374" s="15" t="n">
        <f aca="false">ROUND(Annahmen!$K$36*(1+Annahmen!$B$20*D1374/1000),0)</f>
        <v>1117</v>
      </c>
      <c r="L1374" s="15" t="n">
        <f aca="false">ROUND(Annahmen!$K$37*(1+Annahmen!$B$20*D1374/1000),0)</f>
        <v>1142</v>
      </c>
      <c r="M1374" s="15" t="n">
        <f aca="false">ROUND(Annahmen!$K$38*(1+Annahmen!$B$20*D1374/1000),0)</f>
        <v>1142</v>
      </c>
      <c r="N1374" s="16" t="s">
        <v>86</v>
      </c>
    </row>
    <row r="1375" customFormat="false" ht="15" hidden="false" customHeight="false" outlineLevel="0" collapsed="false">
      <c r="A1375" s="13" t="s">
        <v>2797</v>
      </c>
      <c r="B1375" s="14" t="s">
        <v>2798</v>
      </c>
      <c r="C1375" s="15" t="n">
        <v>1831</v>
      </c>
      <c r="D1375" s="15" t="n">
        <v>126</v>
      </c>
      <c r="E1375" s="13" t="s">
        <v>82</v>
      </c>
      <c r="F1375" s="15" t="str">
        <f aca="false">IF(C1375&gt;=J1375,"ja","nein")</f>
        <v>ja</v>
      </c>
      <c r="G1375" s="15" t="str">
        <f aca="false">IF(C1375&gt;=K1375,"ja","nein")</f>
        <v>ja</v>
      </c>
      <c r="H1375" s="15" t="str">
        <f aca="false">IF(C1375&gt;=L1375,"ja","nein")</f>
        <v>ja</v>
      </c>
      <c r="I1375" s="15" t="str">
        <f aca="false">IF(C1375&gt;=M1375,"ja","nein")</f>
        <v>ja</v>
      </c>
      <c r="J1375" s="15" t="n">
        <f aca="false">ROUND(Annahmen!$K$35*(1+Annahmen!$B$20*D1375/1000),0)</f>
        <v>850</v>
      </c>
      <c r="K1375" s="15" t="n">
        <f aca="false">ROUND(Annahmen!$K$36*(1+Annahmen!$B$20*D1375/1000),0)</f>
        <v>1103</v>
      </c>
      <c r="L1375" s="15" t="n">
        <f aca="false">ROUND(Annahmen!$K$37*(1+Annahmen!$B$20*D1375/1000),0)</f>
        <v>1128</v>
      </c>
      <c r="M1375" s="15" t="n">
        <f aca="false">ROUND(Annahmen!$K$38*(1+Annahmen!$B$20*D1375/1000),0)</f>
        <v>1128</v>
      </c>
      <c r="N1375" s="16" t="s">
        <v>86</v>
      </c>
    </row>
    <row r="1376" customFormat="false" ht="15" hidden="false" customHeight="false" outlineLevel="0" collapsed="false">
      <c r="A1376" s="13" t="s">
        <v>2799</v>
      </c>
      <c r="B1376" s="14" t="s">
        <v>2800</v>
      </c>
      <c r="C1376" s="15" t="n">
        <v>1829</v>
      </c>
      <c r="D1376" s="15" t="n">
        <v>15</v>
      </c>
      <c r="E1376" s="13" t="s">
        <v>82</v>
      </c>
      <c r="F1376" s="15" t="str">
        <f aca="false">IF(C1376&gt;=J1376,"ja","nein")</f>
        <v>ja</v>
      </c>
      <c r="G1376" s="15" t="str">
        <f aca="false">IF(C1376&gt;=K1376,"ja","nein")</f>
        <v>ja</v>
      </c>
      <c r="H1376" s="15" t="str">
        <f aca="false">IF(C1376&gt;=L1376,"ja","nein")</f>
        <v>ja</v>
      </c>
      <c r="I1376" s="15" t="str">
        <f aca="false">IF(C1376&gt;=M1376,"ja","nein")</f>
        <v>ja</v>
      </c>
      <c r="J1376" s="15" t="n">
        <f aca="false">ROUND(Annahmen!$K$35*(1+Annahmen!$B$20*D1376/1000),0)</f>
        <v>841</v>
      </c>
      <c r="K1376" s="15" t="n">
        <f aca="false">ROUND(Annahmen!$K$36*(1+Annahmen!$B$20*D1376/1000),0)</f>
        <v>1092</v>
      </c>
      <c r="L1376" s="15" t="n">
        <f aca="false">ROUND(Annahmen!$K$37*(1+Annahmen!$B$20*D1376/1000),0)</f>
        <v>1117</v>
      </c>
      <c r="M1376" s="15" t="n">
        <f aca="false">ROUND(Annahmen!$K$38*(1+Annahmen!$B$20*D1376/1000),0)</f>
        <v>1117</v>
      </c>
      <c r="N1376" s="16" t="s">
        <v>86</v>
      </c>
    </row>
    <row r="1377" customFormat="false" ht="15" hidden="false" customHeight="false" outlineLevel="0" collapsed="false">
      <c r="A1377" s="13" t="s">
        <v>2801</v>
      </c>
      <c r="B1377" s="14" t="s">
        <v>2802</v>
      </c>
      <c r="C1377" s="15" t="n">
        <v>1829</v>
      </c>
      <c r="D1377" s="15" t="n">
        <v>190</v>
      </c>
      <c r="E1377" s="13" t="s">
        <v>82</v>
      </c>
      <c r="F1377" s="15" t="str">
        <f aca="false">IF(C1377&gt;=J1377,"ja","nein")</f>
        <v>ja</v>
      </c>
      <c r="G1377" s="15" t="str">
        <f aca="false">IF(C1377&gt;=K1377,"ja","nein")</f>
        <v>ja</v>
      </c>
      <c r="H1377" s="15" t="str">
        <f aca="false">IF(C1377&gt;=L1377,"ja","nein")</f>
        <v>ja</v>
      </c>
      <c r="I1377" s="15" t="str">
        <f aca="false">IF(C1377&gt;=M1377,"ja","nein")</f>
        <v>ja</v>
      </c>
      <c r="J1377" s="15" t="n">
        <f aca="false">ROUND(Annahmen!$K$35*(1+Annahmen!$B$20*D1377/1000),0)</f>
        <v>854</v>
      </c>
      <c r="K1377" s="15" t="n">
        <f aca="false">ROUND(Annahmen!$K$36*(1+Annahmen!$B$20*D1377/1000),0)</f>
        <v>1110</v>
      </c>
      <c r="L1377" s="15" t="n">
        <f aca="false">ROUND(Annahmen!$K$37*(1+Annahmen!$B$20*D1377/1000),0)</f>
        <v>1134</v>
      </c>
      <c r="M1377" s="15" t="n">
        <f aca="false">ROUND(Annahmen!$K$38*(1+Annahmen!$B$20*D1377/1000),0)</f>
        <v>1134</v>
      </c>
      <c r="N1377" s="16" t="s">
        <v>86</v>
      </c>
    </row>
    <row r="1378" customFormat="false" ht="15" hidden="false" customHeight="false" outlineLevel="0" collapsed="false">
      <c r="A1378" s="13" t="s">
        <v>2803</v>
      </c>
      <c r="B1378" s="14" t="s">
        <v>2804</v>
      </c>
      <c r="C1378" s="15" t="n">
        <v>1828</v>
      </c>
      <c r="D1378" s="15" t="n">
        <v>163</v>
      </c>
      <c r="E1378" s="13" t="s">
        <v>82</v>
      </c>
      <c r="F1378" s="15" t="str">
        <f aca="false">IF(C1378&gt;=J1378,"ja","nein")</f>
        <v>ja</v>
      </c>
      <c r="G1378" s="15" t="str">
        <f aca="false">IF(C1378&gt;=K1378,"ja","nein")</f>
        <v>ja</v>
      </c>
      <c r="H1378" s="15" t="str">
        <f aca="false">IF(C1378&gt;=L1378,"ja","nein")</f>
        <v>ja</v>
      </c>
      <c r="I1378" s="15" t="str">
        <f aca="false">IF(C1378&gt;=M1378,"ja","nein")</f>
        <v>ja</v>
      </c>
      <c r="J1378" s="15" t="n">
        <f aca="false">ROUND(Annahmen!$K$35*(1+Annahmen!$B$20*D1378/1000),0)</f>
        <v>852</v>
      </c>
      <c r="K1378" s="15" t="n">
        <f aca="false">ROUND(Annahmen!$K$36*(1+Annahmen!$B$20*D1378/1000),0)</f>
        <v>1107</v>
      </c>
      <c r="L1378" s="15" t="n">
        <f aca="false">ROUND(Annahmen!$K$37*(1+Annahmen!$B$20*D1378/1000),0)</f>
        <v>1131</v>
      </c>
      <c r="M1378" s="15" t="n">
        <f aca="false">ROUND(Annahmen!$K$38*(1+Annahmen!$B$20*D1378/1000),0)</f>
        <v>1131</v>
      </c>
      <c r="N1378" s="16" t="s">
        <v>86</v>
      </c>
    </row>
    <row r="1379" customFormat="false" ht="15" hidden="false" customHeight="false" outlineLevel="0" collapsed="false">
      <c r="A1379" s="13" t="s">
        <v>2805</v>
      </c>
      <c r="B1379" s="14" t="s">
        <v>2806</v>
      </c>
      <c r="C1379" s="15" t="n">
        <v>1824</v>
      </c>
      <c r="D1379" s="15" t="n">
        <v>295</v>
      </c>
      <c r="E1379" s="13" t="s">
        <v>82</v>
      </c>
      <c r="F1379" s="15" t="str">
        <f aca="false">IF(C1379&gt;=J1379,"ja","nein")</f>
        <v>ja</v>
      </c>
      <c r="G1379" s="15" t="str">
        <f aca="false">IF(C1379&gt;=K1379,"ja","nein")</f>
        <v>ja</v>
      </c>
      <c r="H1379" s="15" t="str">
        <f aca="false">IF(C1379&gt;=L1379,"ja","nein")</f>
        <v>ja</v>
      </c>
      <c r="I1379" s="15" t="str">
        <f aca="false">IF(C1379&gt;=M1379,"ja","nein")</f>
        <v>ja</v>
      </c>
      <c r="J1379" s="15" t="n">
        <f aca="false">ROUND(Annahmen!$K$35*(1+Annahmen!$B$20*D1379/1000),0)</f>
        <v>862</v>
      </c>
      <c r="K1379" s="15" t="n">
        <f aca="false">ROUND(Annahmen!$K$36*(1+Annahmen!$B$20*D1379/1000),0)</f>
        <v>1120</v>
      </c>
      <c r="L1379" s="15" t="n">
        <f aca="false">ROUND(Annahmen!$K$37*(1+Annahmen!$B$20*D1379/1000),0)</f>
        <v>1145</v>
      </c>
      <c r="M1379" s="15" t="n">
        <f aca="false">ROUND(Annahmen!$K$38*(1+Annahmen!$B$20*D1379/1000),0)</f>
        <v>1145</v>
      </c>
      <c r="N1379" s="16" t="s">
        <v>102</v>
      </c>
    </row>
    <row r="1380" customFormat="false" ht="15" hidden="false" customHeight="false" outlineLevel="0" collapsed="false">
      <c r="A1380" s="13" t="s">
        <v>2807</v>
      </c>
      <c r="B1380" s="14" t="s">
        <v>2808</v>
      </c>
      <c r="C1380" s="15" t="n">
        <v>1806</v>
      </c>
      <c r="D1380" s="15" t="n">
        <v>598</v>
      </c>
      <c r="E1380" s="13" t="s">
        <v>82</v>
      </c>
      <c r="F1380" s="15" t="str">
        <f aca="false">IF(C1380&gt;=J1380,"ja","nein")</f>
        <v>ja</v>
      </c>
      <c r="G1380" s="15" t="str">
        <f aca="false">IF(C1380&gt;=K1380,"ja","nein")</f>
        <v>ja</v>
      </c>
      <c r="H1380" s="15" t="str">
        <f aca="false">IF(C1380&gt;=L1380,"ja","nein")</f>
        <v>ja</v>
      </c>
      <c r="I1380" s="15" t="str">
        <f aca="false">IF(C1380&gt;=M1380,"ja","nein")</f>
        <v>ja</v>
      </c>
      <c r="J1380" s="15" t="n">
        <f aca="false">ROUND(Annahmen!$K$35*(1+Annahmen!$B$20*D1380/1000),0)</f>
        <v>885</v>
      </c>
      <c r="K1380" s="15" t="n">
        <f aca="false">ROUND(Annahmen!$K$36*(1+Annahmen!$B$20*D1380/1000),0)</f>
        <v>1150</v>
      </c>
      <c r="L1380" s="15" t="n">
        <f aca="false">ROUND(Annahmen!$K$37*(1+Annahmen!$B$20*D1380/1000),0)</f>
        <v>1175</v>
      </c>
      <c r="M1380" s="15" t="n">
        <f aca="false">ROUND(Annahmen!$K$38*(1+Annahmen!$B$20*D1380/1000),0)</f>
        <v>1175</v>
      </c>
      <c r="N1380" s="16" t="s">
        <v>86</v>
      </c>
    </row>
    <row r="1381" customFormat="false" ht="15" hidden="false" customHeight="false" outlineLevel="0" collapsed="false">
      <c r="A1381" s="13" t="s">
        <v>2809</v>
      </c>
      <c r="B1381" s="14" t="s">
        <v>2810</v>
      </c>
      <c r="C1381" s="15" t="n">
        <v>1801</v>
      </c>
      <c r="D1381" s="15" t="n">
        <v>240</v>
      </c>
      <c r="E1381" s="13" t="s">
        <v>82</v>
      </c>
      <c r="F1381" s="15" t="str">
        <f aca="false">IF(C1381&gt;=J1381,"ja","nein")</f>
        <v>ja</v>
      </c>
      <c r="G1381" s="15" t="str">
        <f aca="false">IF(C1381&gt;=K1381,"ja","nein")</f>
        <v>ja</v>
      </c>
      <c r="H1381" s="15" t="str">
        <f aca="false">IF(C1381&gt;=L1381,"ja","nein")</f>
        <v>ja</v>
      </c>
      <c r="I1381" s="15" t="str">
        <f aca="false">IF(C1381&gt;=M1381,"ja","nein")</f>
        <v>ja</v>
      </c>
      <c r="J1381" s="15" t="n">
        <f aca="false">ROUND(Annahmen!$K$35*(1+Annahmen!$B$20*D1381/1000),0)</f>
        <v>858</v>
      </c>
      <c r="K1381" s="15" t="n">
        <f aca="false">ROUND(Annahmen!$K$36*(1+Annahmen!$B$20*D1381/1000),0)</f>
        <v>1115</v>
      </c>
      <c r="L1381" s="15" t="n">
        <f aca="false">ROUND(Annahmen!$K$37*(1+Annahmen!$B$20*D1381/1000),0)</f>
        <v>1139</v>
      </c>
      <c r="M1381" s="15" t="n">
        <f aca="false">ROUND(Annahmen!$K$38*(1+Annahmen!$B$20*D1381/1000),0)</f>
        <v>1139</v>
      </c>
      <c r="N1381" s="16" t="s">
        <v>102</v>
      </c>
    </row>
    <row r="1382" customFormat="false" ht="15" hidden="false" customHeight="false" outlineLevel="0" collapsed="false">
      <c r="A1382" s="13" t="s">
        <v>2811</v>
      </c>
      <c r="B1382" s="14" t="s">
        <v>2812</v>
      </c>
      <c r="C1382" s="15" t="n">
        <v>1799</v>
      </c>
      <c r="D1382" s="15" t="n">
        <v>360</v>
      </c>
      <c r="E1382" s="13" t="s">
        <v>82</v>
      </c>
      <c r="F1382" s="15" t="str">
        <f aca="false">IF(C1382&gt;=J1382,"ja","nein")</f>
        <v>ja</v>
      </c>
      <c r="G1382" s="15" t="str">
        <f aca="false">IF(C1382&gt;=K1382,"ja","nein")</f>
        <v>ja</v>
      </c>
      <c r="H1382" s="15" t="str">
        <f aca="false">IF(C1382&gt;=L1382,"ja","nein")</f>
        <v>ja</v>
      </c>
      <c r="I1382" s="15" t="str">
        <f aca="false">IF(C1382&gt;=M1382,"ja","nein")</f>
        <v>ja</v>
      </c>
      <c r="J1382" s="15" t="n">
        <f aca="false">ROUND(Annahmen!$K$35*(1+Annahmen!$B$20*D1382/1000),0)</f>
        <v>867</v>
      </c>
      <c r="K1382" s="15" t="n">
        <f aca="false">ROUND(Annahmen!$K$36*(1+Annahmen!$B$20*D1382/1000),0)</f>
        <v>1126</v>
      </c>
      <c r="L1382" s="15" t="n">
        <f aca="false">ROUND(Annahmen!$K$37*(1+Annahmen!$B$20*D1382/1000),0)</f>
        <v>1151</v>
      </c>
      <c r="M1382" s="15" t="n">
        <f aca="false">ROUND(Annahmen!$K$38*(1+Annahmen!$B$20*D1382/1000),0)</f>
        <v>1151</v>
      </c>
      <c r="N1382" s="16" t="s">
        <v>86</v>
      </c>
    </row>
    <row r="1383" customFormat="false" ht="15" hidden="false" customHeight="false" outlineLevel="0" collapsed="false">
      <c r="A1383" s="13" t="s">
        <v>2813</v>
      </c>
      <c r="B1383" s="14" t="s">
        <v>2814</v>
      </c>
      <c r="C1383" s="15" t="n">
        <v>1797</v>
      </c>
      <c r="D1383" s="15" t="n">
        <v>618</v>
      </c>
      <c r="E1383" s="13" t="s">
        <v>82</v>
      </c>
      <c r="F1383" s="15" t="str">
        <f aca="false">IF(C1383&gt;=J1383,"ja","nein")</f>
        <v>ja</v>
      </c>
      <c r="G1383" s="15" t="str">
        <f aca="false">IF(C1383&gt;=K1383,"ja","nein")</f>
        <v>ja</v>
      </c>
      <c r="H1383" s="15" t="str">
        <f aca="false">IF(C1383&gt;=L1383,"ja","nein")</f>
        <v>ja</v>
      </c>
      <c r="I1383" s="15" t="str">
        <f aca="false">IF(C1383&gt;=M1383,"ja","nein")</f>
        <v>ja</v>
      </c>
      <c r="J1383" s="15" t="n">
        <f aca="false">ROUND(Annahmen!$K$35*(1+Annahmen!$B$20*D1383/1000),0)</f>
        <v>887</v>
      </c>
      <c r="K1383" s="15" t="n">
        <f aca="false">ROUND(Annahmen!$K$36*(1+Annahmen!$B$20*D1383/1000),0)</f>
        <v>1152</v>
      </c>
      <c r="L1383" s="15" t="n">
        <f aca="false">ROUND(Annahmen!$K$37*(1+Annahmen!$B$20*D1383/1000),0)</f>
        <v>1177</v>
      </c>
      <c r="M1383" s="15" t="n">
        <f aca="false">ROUND(Annahmen!$K$38*(1+Annahmen!$B$20*D1383/1000),0)</f>
        <v>1177</v>
      </c>
      <c r="N1383" s="16" t="s">
        <v>86</v>
      </c>
    </row>
    <row r="1384" customFormat="false" ht="15" hidden="false" customHeight="false" outlineLevel="0" collapsed="false">
      <c r="A1384" s="13" t="s">
        <v>2815</v>
      </c>
      <c r="B1384" s="14" t="s">
        <v>2816</v>
      </c>
      <c r="C1384" s="15" t="n">
        <v>1764</v>
      </c>
      <c r="D1384" s="15" t="n">
        <v>43</v>
      </c>
      <c r="E1384" s="13" t="s">
        <v>82</v>
      </c>
      <c r="F1384" s="15" t="str">
        <f aca="false">IF(C1384&gt;=J1384,"ja","nein")</f>
        <v>ja</v>
      </c>
      <c r="G1384" s="15" t="str">
        <f aca="false">IF(C1384&gt;=K1384,"ja","nein")</f>
        <v>ja</v>
      </c>
      <c r="H1384" s="15" t="str">
        <f aca="false">IF(C1384&gt;=L1384,"ja","nein")</f>
        <v>ja</v>
      </c>
      <c r="I1384" s="15" t="str">
        <f aca="false">IF(C1384&gt;=M1384,"ja","nein")</f>
        <v>ja</v>
      </c>
      <c r="J1384" s="15" t="n">
        <f aca="false">ROUND(Annahmen!$K$35*(1+Annahmen!$B$20*D1384/1000),0)</f>
        <v>843</v>
      </c>
      <c r="K1384" s="15" t="n">
        <f aca="false">ROUND(Annahmen!$K$36*(1+Annahmen!$B$20*D1384/1000),0)</f>
        <v>1095</v>
      </c>
      <c r="L1384" s="15" t="n">
        <f aca="false">ROUND(Annahmen!$K$37*(1+Annahmen!$B$20*D1384/1000),0)</f>
        <v>1119</v>
      </c>
      <c r="M1384" s="15" t="n">
        <f aca="false">ROUND(Annahmen!$K$38*(1+Annahmen!$B$20*D1384/1000),0)</f>
        <v>1119</v>
      </c>
      <c r="N1384" s="16" t="s">
        <v>102</v>
      </c>
    </row>
    <row r="1385" customFormat="false" ht="15" hidden="false" customHeight="false" outlineLevel="0" collapsed="false">
      <c r="A1385" s="13" t="s">
        <v>2817</v>
      </c>
      <c r="B1385" s="14" t="s">
        <v>2818</v>
      </c>
      <c r="C1385" s="15" t="n">
        <v>1600</v>
      </c>
      <c r="D1385" s="15" t="n">
        <v>186</v>
      </c>
      <c r="E1385" s="13" t="s">
        <v>82</v>
      </c>
      <c r="F1385" s="15" t="str">
        <f aca="false">IF(C1385&gt;=J1385,"ja","nein")</f>
        <v>ja</v>
      </c>
      <c r="G1385" s="15" t="str">
        <f aca="false">IF(C1385&gt;=K1385,"ja","nein")</f>
        <v>ja</v>
      </c>
      <c r="H1385" s="15" t="str">
        <f aca="false">IF(C1385&gt;=L1385,"ja","nein")</f>
        <v>ja</v>
      </c>
      <c r="I1385" s="15" t="str">
        <f aca="false">IF(C1385&gt;=M1385,"ja","nein")</f>
        <v>ja</v>
      </c>
      <c r="J1385" s="15" t="n">
        <f aca="false">ROUND(Annahmen!$K$35*(1+Annahmen!$B$20*D1385/1000),0)</f>
        <v>854</v>
      </c>
      <c r="K1385" s="15" t="n">
        <f aca="false">ROUND(Annahmen!$K$36*(1+Annahmen!$B$20*D1385/1000),0)</f>
        <v>1109</v>
      </c>
      <c r="L1385" s="15" t="n">
        <f aca="false">ROUND(Annahmen!$K$37*(1+Annahmen!$B$20*D1385/1000),0)</f>
        <v>1134</v>
      </c>
      <c r="M1385" s="15" t="n">
        <f aca="false">ROUND(Annahmen!$K$38*(1+Annahmen!$B$20*D1385/1000),0)</f>
        <v>1134</v>
      </c>
      <c r="N1385" s="16" t="s">
        <v>102</v>
      </c>
    </row>
    <row r="1386" customFormat="false" ht="15" hidden="false" customHeight="false" outlineLevel="0" collapsed="false">
      <c r="A1386" s="13" t="s">
        <v>2819</v>
      </c>
      <c r="B1386" s="14" t="s">
        <v>2820</v>
      </c>
      <c r="C1386" s="15" t="n">
        <v>1554</v>
      </c>
      <c r="D1386" s="15" t="n">
        <v>56</v>
      </c>
      <c r="E1386" s="13" t="s">
        <v>82</v>
      </c>
      <c r="F1386" s="15" t="str">
        <f aca="false">IF(C1386&gt;=J1386,"ja","nein")</f>
        <v>ja</v>
      </c>
      <c r="G1386" s="15" t="str">
        <f aca="false">IF(C1386&gt;=K1386,"ja","nein")</f>
        <v>ja</v>
      </c>
      <c r="H1386" s="15" t="str">
        <f aca="false">IF(C1386&gt;=L1386,"ja","nein")</f>
        <v>ja</v>
      </c>
      <c r="I1386" s="15" t="str">
        <f aca="false">IF(C1386&gt;=M1386,"ja","nein")</f>
        <v>ja</v>
      </c>
      <c r="J1386" s="15" t="n">
        <f aca="false">ROUND(Annahmen!$K$35*(1+Annahmen!$B$20*D1386/1000),0)</f>
        <v>844</v>
      </c>
      <c r="K1386" s="15" t="n">
        <f aca="false">ROUND(Annahmen!$K$36*(1+Annahmen!$B$20*D1386/1000),0)</f>
        <v>1096</v>
      </c>
      <c r="L1386" s="15" t="n">
        <f aca="false">ROUND(Annahmen!$K$37*(1+Annahmen!$B$20*D1386/1000),0)</f>
        <v>1121</v>
      </c>
      <c r="M1386" s="15" t="n">
        <f aca="false">ROUND(Annahmen!$K$38*(1+Annahmen!$B$20*D1386/1000),0)</f>
        <v>1121</v>
      </c>
      <c r="N1386" s="16" t="s">
        <v>86</v>
      </c>
    </row>
    <row r="1387" customFormat="false" ht="15" hidden="false" customHeight="false" outlineLevel="0" collapsed="false">
      <c r="A1387" s="13" t="s">
        <v>2821</v>
      </c>
      <c r="B1387" s="14" t="s">
        <v>2822</v>
      </c>
      <c r="C1387" s="15" t="n">
        <v>1526</v>
      </c>
      <c r="D1387" s="15" t="n">
        <v>270</v>
      </c>
      <c r="E1387" s="13" t="s">
        <v>82</v>
      </c>
      <c r="F1387" s="15" t="str">
        <f aca="false">IF(C1387&gt;=J1387,"ja","nein")</f>
        <v>ja</v>
      </c>
      <c r="G1387" s="15" t="str">
        <f aca="false">IF(C1387&gt;=K1387,"ja","nein")</f>
        <v>ja</v>
      </c>
      <c r="H1387" s="15" t="str">
        <f aca="false">IF(C1387&gt;=L1387,"ja","nein")</f>
        <v>ja</v>
      </c>
      <c r="I1387" s="15" t="str">
        <f aca="false">IF(C1387&gt;=M1387,"ja","nein")</f>
        <v>ja</v>
      </c>
      <c r="J1387" s="15" t="n">
        <f aca="false">ROUND(Annahmen!$K$35*(1+Annahmen!$B$20*D1387/1000),0)</f>
        <v>860</v>
      </c>
      <c r="K1387" s="15" t="n">
        <f aca="false">ROUND(Annahmen!$K$36*(1+Annahmen!$B$20*D1387/1000),0)</f>
        <v>1118</v>
      </c>
      <c r="L1387" s="15" t="n">
        <f aca="false">ROUND(Annahmen!$K$37*(1+Annahmen!$B$20*D1387/1000),0)</f>
        <v>1142</v>
      </c>
      <c r="M1387" s="15" t="n">
        <f aca="false">ROUND(Annahmen!$K$38*(1+Annahmen!$B$20*D1387/1000),0)</f>
        <v>1142</v>
      </c>
      <c r="N1387" s="16" t="s">
        <v>86</v>
      </c>
    </row>
    <row r="1388" customFormat="false" ht="15" hidden="false" customHeight="false" outlineLevel="0" collapsed="false">
      <c r="A1388" s="13" t="s">
        <v>2823</v>
      </c>
      <c r="B1388" s="14" t="s">
        <v>2824</v>
      </c>
      <c r="C1388" s="15" t="n">
        <v>1524</v>
      </c>
      <c r="D1388" s="15" t="n">
        <v>159</v>
      </c>
      <c r="E1388" s="13" t="s">
        <v>82</v>
      </c>
      <c r="F1388" s="15" t="str">
        <f aca="false">IF(C1388&gt;=J1388,"ja","nein")</f>
        <v>ja</v>
      </c>
      <c r="G1388" s="15" t="str">
        <f aca="false">IF(C1388&gt;=K1388,"ja","nein")</f>
        <v>ja</v>
      </c>
      <c r="H1388" s="15" t="str">
        <f aca="false">IF(C1388&gt;=L1388,"ja","nein")</f>
        <v>ja</v>
      </c>
      <c r="I1388" s="15" t="str">
        <f aca="false">IF(C1388&gt;=M1388,"ja","nein")</f>
        <v>ja</v>
      </c>
      <c r="J1388" s="15" t="n">
        <f aca="false">ROUND(Annahmen!$K$35*(1+Annahmen!$B$20*D1388/1000),0)</f>
        <v>852</v>
      </c>
      <c r="K1388" s="15" t="n">
        <f aca="false">ROUND(Annahmen!$K$36*(1+Annahmen!$B$20*D1388/1000),0)</f>
        <v>1107</v>
      </c>
      <c r="L1388" s="15" t="n">
        <f aca="false">ROUND(Annahmen!$K$37*(1+Annahmen!$B$20*D1388/1000),0)</f>
        <v>1131</v>
      </c>
      <c r="M1388" s="15" t="n">
        <f aca="false">ROUND(Annahmen!$K$38*(1+Annahmen!$B$20*D1388/1000),0)</f>
        <v>1131</v>
      </c>
      <c r="N1388" s="16" t="s">
        <v>86</v>
      </c>
    </row>
    <row r="1389" customFormat="false" ht="15" hidden="false" customHeight="false" outlineLevel="0" collapsed="false">
      <c r="A1389" s="13" t="s">
        <v>2825</v>
      </c>
      <c r="B1389" s="14" t="s">
        <v>2826</v>
      </c>
      <c r="C1389" s="15" t="n">
        <v>1508</v>
      </c>
      <c r="D1389" s="15" t="n">
        <v>19</v>
      </c>
      <c r="E1389" s="13" t="s">
        <v>82</v>
      </c>
      <c r="F1389" s="15" t="str">
        <f aca="false">IF(C1389&gt;=J1389,"ja","nein")</f>
        <v>ja</v>
      </c>
      <c r="G1389" s="15" t="str">
        <f aca="false">IF(C1389&gt;=K1389,"ja","nein")</f>
        <v>ja</v>
      </c>
      <c r="H1389" s="15" t="str">
        <f aca="false">IF(C1389&gt;=L1389,"ja","nein")</f>
        <v>ja</v>
      </c>
      <c r="I1389" s="15" t="str">
        <f aca="false">IF(C1389&gt;=M1389,"ja","nein")</f>
        <v>ja</v>
      </c>
      <c r="J1389" s="15" t="n">
        <f aca="false">ROUND(Annahmen!$K$35*(1+Annahmen!$B$20*D1389/1000),0)</f>
        <v>841</v>
      </c>
      <c r="K1389" s="15" t="n">
        <f aca="false">ROUND(Annahmen!$K$36*(1+Annahmen!$B$20*D1389/1000),0)</f>
        <v>1093</v>
      </c>
      <c r="L1389" s="15" t="n">
        <f aca="false">ROUND(Annahmen!$K$37*(1+Annahmen!$B$20*D1389/1000),0)</f>
        <v>1117</v>
      </c>
      <c r="M1389" s="15" t="n">
        <f aca="false">ROUND(Annahmen!$K$38*(1+Annahmen!$B$20*D1389/1000),0)</f>
        <v>1117</v>
      </c>
      <c r="N1389" s="16" t="s">
        <v>86</v>
      </c>
    </row>
    <row r="1390" customFormat="false" ht="15" hidden="false" customHeight="false" outlineLevel="0" collapsed="false">
      <c r="A1390" s="13" t="s">
        <v>2827</v>
      </c>
      <c r="B1390" s="14" t="s">
        <v>2828</v>
      </c>
      <c r="C1390" s="15" t="n">
        <v>1505</v>
      </c>
      <c r="D1390" s="15" t="n">
        <v>13</v>
      </c>
      <c r="E1390" s="13" t="s">
        <v>82</v>
      </c>
      <c r="F1390" s="15" t="str">
        <f aca="false">IF(C1390&gt;=J1390,"ja","nein")</f>
        <v>ja</v>
      </c>
      <c r="G1390" s="15" t="str">
        <f aca="false">IF(C1390&gt;=K1390,"ja","nein")</f>
        <v>ja</v>
      </c>
      <c r="H1390" s="15" t="str">
        <f aca="false">IF(C1390&gt;=L1390,"ja","nein")</f>
        <v>ja</v>
      </c>
      <c r="I1390" s="15" t="str">
        <f aca="false">IF(C1390&gt;=M1390,"ja","nein")</f>
        <v>ja</v>
      </c>
      <c r="J1390" s="15" t="n">
        <f aca="false">ROUND(Annahmen!$K$35*(1+Annahmen!$B$20*D1390/1000),0)</f>
        <v>841</v>
      </c>
      <c r="K1390" s="15" t="n">
        <f aca="false">ROUND(Annahmen!$K$36*(1+Annahmen!$B$20*D1390/1000),0)</f>
        <v>1092</v>
      </c>
      <c r="L1390" s="15" t="n">
        <f aca="false">ROUND(Annahmen!$K$37*(1+Annahmen!$B$20*D1390/1000),0)</f>
        <v>1116</v>
      </c>
      <c r="M1390" s="15" t="n">
        <f aca="false">ROUND(Annahmen!$K$38*(1+Annahmen!$B$20*D1390/1000),0)</f>
        <v>1116</v>
      </c>
      <c r="N1390" s="16" t="s">
        <v>86</v>
      </c>
    </row>
    <row r="1391" customFormat="false" ht="15" hidden="false" customHeight="false" outlineLevel="0" collapsed="false">
      <c r="A1391" s="13" t="s">
        <v>2829</v>
      </c>
      <c r="B1391" s="14" t="s">
        <v>2830</v>
      </c>
      <c r="C1391" s="15" t="n">
        <v>1498</v>
      </c>
      <c r="D1391" s="15" t="n">
        <v>20</v>
      </c>
      <c r="E1391" s="13" t="s">
        <v>82</v>
      </c>
      <c r="F1391" s="15" t="str">
        <f aca="false">IF(C1391&gt;=J1391,"ja","nein")</f>
        <v>ja</v>
      </c>
      <c r="G1391" s="15" t="str">
        <f aca="false">IF(C1391&gt;=K1391,"ja","nein")</f>
        <v>ja</v>
      </c>
      <c r="H1391" s="15" t="str">
        <f aca="false">IF(C1391&gt;=L1391,"ja","nein")</f>
        <v>ja</v>
      </c>
      <c r="I1391" s="15" t="str">
        <f aca="false">IF(C1391&gt;=M1391,"ja","nein")</f>
        <v>ja</v>
      </c>
      <c r="J1391" s="15" t="n">
        <f aca="false">ROUND(Annahmen!$K$35*(1+Annahmen!$B$20*D1391/1000),0)</f>
        <v>842</v>
      </c>
      <c r="K1391" s="15" t="n">
        <f aca="false">ROUND(Annahmen!$K$36*(1+Annahmen!$B$20*D1391/1000),0)</f>
        <v>1093</v>
      </c>
      <c r="L1391" s="15" t="n">
        <f aca="false">ROUND(Annahmen!$K$37*(1+Annahmen!$B$20*D1391/1000),0)</f>
        <v>1117</v>
      </c>
      <c r="M1391" s="15" t="n">
        <f aca="false">ROUND(Annahmen!$K$38*(1+Annahmen!$B$20*D1391/1000),0)</f>
        <v>1117</v>
      </c>
      <c r="N1391" s="16" t="s">
        <v>86</v>
      </c>
    </row>
    <row r="1392" customFormat="false" ht="15" hidden="false" customHeight="false" outlineLevel="0" collapsed="false">
      <c r="A1392" s="13" t="s">
        <v>2831</v>
      </c>
      <c r="B1392" s="14" t="s">
        <v>2832</v>
      </c>
      <c r="C1392" s="15" t="n">
        <v>1448</v>
      </c>
      <c r="D1392" s="15" t="n">
        <v>125</v>
      </c>
      <c r="E1392" s="13" t="s">
        <v>82</v>
      </c>
      <c r="F1392" s="15" t="str">
        <f aca="false">IF(C1392&gt;=J1392,"ja","nein")</f>
        <v>ja</v>
      </c>
      <c r="G1392" s="15" t="str">
        <f aca="false">IF(C1392&gt;=K1392,"ja","nein")</f>
        <v>ja</v>
      </c>
      <c r="H1392" s="15" t="str">
        <f aca="false">IF(C1392&gt;=L1392,"ja","nein")</f>
        <v>ja</v>
      </c>
      <c r="I1392" s="15" t="str">
        <f aca="false">IF(C1392&gt;=M1392,"ja","nein")</f>
        <v>ja</v>
      </c>
      <c r="J1392" s="15" t="n">
        <f aca="false">ROUND(Annahmen!$K$35*(1+Annahmen!$B$20*D1392/1000),0)</f>
        <v>849</v>
      </c>
      <c r="K1392" s="15" t="n">
        <f aca="false">ROUND(Annahmen!$K$36*(1+Annahmen!$B$20*D1392/1000),0)</f>
        <v>1103</v>
      </c>
      <c r="L1392" s="15" t="n">
        <f aca="false">ROUND(Annahmen!$K$37*(1+Annahmen!$B$20*D1392/1000),0)</f>
        <v>1128</v>
      </c>
      <c r="M1392" s="15" t="n">
        <f aca="false">ROUND(Annahmen!$K$38*(1+Annahmen!$B$20*D1392/1000),0)</f>
        <v>1128</v>
      </c>
      <c r="N1392" s="16" t="s">
        <v>102</v>
      </c>
    </row>
    <row r="1393" customFormat="false" ht="15" hidden="false" customHeight="false" outlineLevel="0" collapsed="false">
      <c r="A1393" s="13" t="s">
        <v>2833</v>
      </c>
      <c r="B1393" s="14" t="s">
        <v>2834</v>
      </c>
      <c r="C1393" s="15" t="n">
        <v>1431</v>
      </c>
      <c r="D1393" s="15" t="n">
        <v>101</v>
      </c>
      <c r="E1393" s="13" t="s">
        <v>82</v>
      </c>
      <c r="F1393" s="15" t="str">
        <f aca="false">IF(C1393&gt;=J1393,"ja","nein")</f>
        <v>ja</v>
      </c>
      <c r="G1393" s="15" t="str">
        <f aca="false">IF(C1393&gt;=K1393,"ja","nein")</f>
        <v>ja</v>
      </c>
      <c r="H1393" s="15" t="str">
        <f aca="false">IF(C1393&gt;=L1393,"ja","nein")</f>
        <v>ja</v>
      </c>
      <c r="I1393" s="15" t="str">
        <f aca="false">IF(C1393&gt;=M1393,"ja","nein")</f>
        <v>ja</v>
      </c>
      <c r="J1393" s="15" t="n">
        <f aca="false">ROUND(Annahmen!$K$35*(1+Annahmen!$B$20*D1393/1000),0)</f>
        <v>848</v>
      </c>
      <c r="K1393" s="15" t="n">
        <f aca="false">ROUND(Annahmen!$K$36*(1+Annahmen!$B$20*D1393/1000),0)</f>
        <v>1101</v>
      </c>
      <c r="L1393" s="15" t="n">
        <f aca="false">ROUND(Annahmen!$K$37*(1+Annahmen!$B$20*D1393/1000),0)</f>
        <v>1125</v>
      </c>
      <c r="M1393" s="15" t="n">
        <f aca="false">ROUND(Annahmen!$K$38*(1+Annahmen!$B$20*D1393/1000),0)</f>
        <v>1125</v>
      </c>
      <c r="N1393" s="16" t="s">
        <v>86</v>
      </c>
    </row>
    <row r="1394" customFormat="false" ht="15" hidden="false" customHeight="false" outlineLevel="0" collapsed="false">
      <c r="A1394" s="13" t="s">
        <v>2835</v>
      </c>
      <c r="B1394" s="14" t="s">
        <v>2836</v>
      </c>
      <c r="C1394" s="15" t="n">
        <v>1430</v>
      </c>
      <c r="D1394" s="15" t="n">
        <v>50</v>
      </c>
      <c r="E1394" s="13" t="s">
        <v>82</v>
      </c>
      <c r="F1394" s="15" t="str">
        <f aca="false">IF(C1394&gt;=J1394,"ja","nein")</f>
        <v>ja</v>
      </c>
      <c r="G1394" s="15" t="str">
        <f aca="false">IF(C1394&gt;=K1394,"ja","nein")</f>
        <v>ja</v>
      </c>
      <c r="H1394" s="15" t="str">
        <f aca="false">IF(C1394&gt;=L1394,"ja","nein")</f>
        <v>ja</v>
      </c>
      <c r="I1394" s="15" t="str">
        <f aca="false">IF(C1394&gt;=M1394,"ja","nein")</f>
        <v>ja</v>
      </c>
      <c r="J1394" s="15" t="n">
        <f aca="false">ROUND(Annahmen!$K$35*(1+Annahmen!$B$20*D1394/1000),0)</f>
        <v>844</v>
      </c>
      <c r="K1394" s="15" t="n">
        <f aca="false">ROUND(Annahmen!$K$36*(1+Annahmen!$B$20*D1394/1000),0)</f>
        <v>1096</v>
      </c>
      <c r="L1394" s="15" t="n">
        <f aca="false">ROUND(Annahmen!$K$37*(1+Annahmen!$B$20*D1394/1000),0)</f>
        <v>1120</v>
      </c>
      <c r="M1394" s="15" t="n">
        <f aca="false">ROUND(Annahmen!$K$38*(1+Annahmen!$B$20*D1394/1000),0)</f>
        <v>1120</v>
      </c>
      <c r="N1394" s="16" t="s">
        <v>86</v>
      </c>
    </row>
    <row r="1395" customFormat="false" ht="15" hidden="false" customHeight="false" outlineLevel="0" collapsed="false">
      <c r="A1395" s="13" t="s">
        <v>2837</v>
      </c>
      <c r="B1395" s="14" t="s">
        <v>2838</v>
      </c>
      <c r="C1395" s="15" t="n">
        <v>1412</v>
      </c>
      <c r="D1395" s="15" t="n">
        <v>42</v>
      </c>
      <c r="E1395" s="13" t="s">
        <v>82</v>
      </c>
      <c r="F1395" s="15" t="str">
        <f aca="false">IF(C1395&gt;=J1395,"ja","nein")</f>
        <v>ja</v>
      </c>
      <c r="G1395" s="15" t="str">
        <f aca="false">IF(C1395&gt;=K1395,"ja","nein")</f>
        <v>ja</v>
      </c>
      <c r="H1395" s="15" t="str">
        <f aca="false">IF(C1395&gt;=L1395,"ja","nein")</f>
        <v>ja</v>
      </c>
      <c r="I1395" s="15" t="str">
        <f aca="false">IF(C1395&gt;=M1395,"ja","nein")</f>
        <v>ja</v>
      </c>
      <c r="J1395" s="15" t="n">
        <f aca="false">ROUND(Annahmen!$K$35*(1+Annahmen!$B$20*D1395/1000),0)</f>
        <v>843</v>
      </c>
      <c r="K1395" s="15" t="n">
        <f aca="false">ROUND(Annahmen!$K$36*(1+Annahmen!$B$20*D1395/1000),0)</f>
        <v>1095</v>
      </c>
      <c r="L1395" s="15" t="n">
        <f aca="false">ROUND(Annahmen!$K$37*(1+Annahmen!$B$20*D1395/1000),0)</f>
        <v>1119</v>
      </c>
      <c r="M1395" s="15" t="n">
        <f aca="false">ROUND(Annahmen!$K$38*(1+Annahmen!$B$20*D1395/1000),0)</f>
        <v>1119</v>
      </c>
      <c r="N1395" s="16" t="s">
        <v>86</v>
      </c>
    </row>
    <row r="1396" customFormat="false" ht="15" hidden="false" customHeight="false" outlineLevel="0" collapsed="false">
      <c r="A1396" s="13" t="s">
        <v>2839</v>
      </c>
      <c r="B1396" s="14" t="s">
        <v>2840</v>
      </c>
      <c r="C1396" s="15" t="n">
        <v>1402</v>
      </c>
      <c r="D1396" s="15" t="n">
        <v>38</v>
      </c>
      <c r="E1396" s="13" t="s">
        <v>82</v>
      </c>
      <c r="F1396" s="15" t="str">
        <f aca="false">IF(C1396&gt;=J1396,"ja","nein")</f>
        <v>ja</v>
      </c>
      <c r="G1396" s="15" t="str">
        <f aca="false">IF(C1396&gt;=K1396,"ja","nein")</f>
        <v>ja</v>
      </c>
      <c r="H1396" s="15" t="str">
        <f aca="false">IF(C1396&gt;=L1396,"ja","nein")</f>
        <v>ja</v>
      </c>
      <c r="I1396" s="15" t="str">
        <f aca="false">IF(C1396&gt;=M1396,"ja","nein")</f>
        <v>ja</v>
      </c>
      <c r="J1396" s="15" t="n">
        <f aca="false">ROUND(Annahmen!$K$35*(1+Annahmen!$B$20*D1396/1000),0)</f>
        <v>843</v>
      </c>
      <c r="K1396" s="15" t="n">
        <f aca="false">ROUND(Annahmen!$K$36*(1+Annahmen!$B$20*D1396/1000),0)</f>
        <v>1095</v>
      </c>
      <c r="L1396" s="15" t="n">
        <f aca="false">ROUND(Annahmen!$K$37*(1+Annahmen!$B$20*D1396/1000),0)</f>
        <v>1119</v>
      </c>
      <c r="M1396" s="15" t="n">
        <f aca="false">ROUND(Annahmen!$K$38*(1+Annahmen!$B$20*D1396/1000),0)</f>
        <v>1119</v>
      </c>
      <c r="N1396" s="16" t="s">
        <v>86</v>
      </c>
    </row>
    <row r="1397" customFormat="false" ht="15" hidden="false" customHeight="false" outlineLevel="0" collapsed="false">
      <c r="A1397" s="13" t="s">
        <v>2841</v>
      </c>
      <c r="B1397" s="14" t="s">
        <v>2842</v>
      </c>
      <c r="C1397" s="15" t="n">
        <v>1400</v>
      </c>
      <c r="D1397" s="15" t="n">
        <v>17</v>
      </c>
      <c r="E1397" s="13" t="s">
        <v>82</v>
      </c>
      <c r="F1397" s="15" t="str">
        <f aca="false">IF(C1397&gt;=J1397,"ja","nein")</f>
        <v>ja</v>
      </c>
      <c r="G1397" s="15" t="str">
        <f aca="false">IF(C1397&gt;=K1397,"ja","nein")</f>
        <v>ja</v>
      </c>
      <c r="H1397" s="15" t="str">
        <f aca="false">IF(C1397&gt;=L1397,"ja","nein")</f>
        <v>ja</v>
      </c>
      <c r="I1397" s="15" t="str">
        <f aca="false">IF(C1397&gt;=M1397,"ja","nein")</f>
        <v>ja</v>
      </c>
      <c r="J1397" s="15" t="n">
        <f aca="false">ROUND(Annahmen!$K$35*(1+Annahmen!$B$20*D1397/1000),0)</f>
        <v>841</v>
      </c>
      <c r="K1397" s="15" t="n">
        <f aca="false">ROUND(Annahmen!$K$36*(1+Annahmen!$B$20*D1397/1000),0)</f>
        <v>1093</v>
      </c>
      <c r="L1397" s="15" t="n">
        <f aca="false">ROUND(Annahmen!$K$37*(1+Annahmen!$B$20*D1397/1000),0)</f>
        <v>1117</v>
      </c>
      <c r="M1397" s="15" t="n">
        <f aca="false">ROUND(Annahmen!$K$38*(1+Annahmen!$B$20*D1397/1000),0)</f>
        <v>1117</v>
      </c>
      <c r="N1397" s="16" t="s">
        <v>86</v>
      </c>
    </row>
    <row r="1398" customFormat="false" ht="15" hidden="false" customHeight="false" outlineLevel="0" collapsed="false">
      <c r="A1398" s="13" t="s">
        <v>2843</v>
      </c>
      <c r="B1398" s="14" t="s">
        <v>2844</v>
      </c>
      <c r="C1398" s="15" t="n">
        <v>1350</v>
      </c>
      <c r="D1398" s="15" t="n">
        <v>299</v>
      </c>
      <c r="E1398" s="13" t="s">
        <v>82</v>
      </c>
      <c r="F1398" s="15" t="str">
        <f aca="false">IF(C1398&gt;=J1398,"ja","nein")</f>
        <v>ja</v>
      </c>
      <c r="G1398" s="15" t="str">
        <f aca="false">IF(C1398&gt;=K1398,"ja","nein")</f>
        <v>ja</v>
      </c>
      <c r="H1398" s="15" t="str">
        <f aca="false">IF(C1398&gt;=L1398,"ja","nein")</f>
        <v>ja</v>
      </c>
      <c r="I1398" s="15" t="str">
        <f aca="false">IF(C1398&gt;=M1398,"ja","nein")</f>
        <v>ja</v>
      </c>
      <c r="J1398" s="15" t="n">
        <f aca="false">ROUND(Annahmen!$K$35*(1+Annahmen!$B$20*D1398/1000),0)</f>
        <v>863</v>
      </c>
      <c r="K1398" s="15" t="n">
        <f aca="false">ROUND(Annahmen!$K$36*(1+Annahmen!$B$20*D1398/1000),0)</f>
        <v>1120</v>
      </c>
      <c r="L1398" s="15" t="n">
        <f aca="false">ROUND(Annahmen!$K$37*(1+Annahmen!$B$20*D1398/1000),0)</f>
        <v>1145</v>
      </c>
      <c r="M1398" s="15" t="n">
        <f aca="false">ROUND(Annahmen!$K$38*(1+Annahmen!$B$20*D1398/1000),0)</f>
        <v>1145</v>
      </c>
      <c r="N1398" s="16" t="s">
        <v>86</v>
      </c>
    </row>
    <row r="1399" customFormat="false" ht="15" hidden="false" customHeight="false" outlineLevel="0" collapsed="false">
      <c r="A1399" s="13" t="s">
        <v>2845</v>
      </c>
      <c r="B1399" s="14" t="s">
        <v>2846</v>
      </c>
      <c r="C1399" s="15" t="n">
        <v>1335</v>
      </c>
      <c r="D1399" s="15" t="n">
        <v>325</v>
      </c>
      <c r="E1399" s="13" t="s">
        <v>82</v>
      </c>
      <c r="F1399" s="15" t="str">
        <f aca="false">IF(C1399&gt;=J1399,"ja","nein")</f>
        <v>ja</v>
      </c>
      <c r="G1399" s="15" t="str">
        <f aca="false">IF(C1399&gt;=K1399,"ja","nein")</f>
        <v>ja</v>
      </c>
      <c r="H1399" s="15" t="str">
        <f aca="false">IF(C1399&gt;=L1399,"ja","nein")</f>
        <v>ja</v>
      </c>
      <c r="I1399" s="15" t="str">
        <f aca="false">IF(C1399&gt;=M1399,"ja","nein")</f>
        <v>ja</v>
      </c>
      <c r="J1399" s="15" t="n">
        <f aca="false">ROUND(Annahmen!$K$35*(1+Annahmen!$B$20*D1399/1000),0)</f>
        <v>865</v>
      </c>
      <c r="K1399" s="15" t="n">
        <f aca="false">ROUND(Annahmen!$K$36*(1+Annahmen!$B$20*D1399/1000),0)</f>
        <v>1123</v>
      </c>
      <c r="L1399" s="15" t="n">
        <f aca="false">ROUND(Annahmen!$K$37*(1+Annahmen!$B$20*D1399/1000),0)</f>
        <v>1148</v>
      </c>
      <c r="M1399" s="15" t="n">
        <f aca="false">ROUND(Annahmen!$K$38*(1+Annahmen!$B$20*D1399/1000),0)</f>
        <v>1148</v>
      </c>
      <c r="N1399" s="16" t="s">
        <v>86</v>
      </c>
    </row>
    <row r="1400" customFormat="false" ht="15" hidden="false" customHeight="false" outlineLevel="0" collapsed="false">
      <c r="A1400" s="13" t="s">
        <v>2847</v>
      </c>
      <c r="B1400" s="14" t="s">
        <v>2848</v>
      </c>
      <c r="C1400" s="15" t="n">
        <v>1268</v>
      </c>
      <c r="D1400" s="15" t="n">
        <v>429</v>
      </c>
      <c r="E1400" s="13" t="s">
        <v>82</v>
      </c>
      <c r="F1400" s="15" t="str">
        <f aca="false">IF(C1400&gt;=J1400,"ja","nein")</f>
        <v>ja</v>
      </c>
      <c r="G1400" s="15" t="str">
        <f aca="false">IF(C1400&gt;=K1400,"ja","nein")</f>
        <v>ja</v>
      </c>
      <c r="H1400" s="15" t="str">
        <f aca="false">IF(C1400&gt;=L1400,"ja","nein")</f>
        <v>ja</v>
      </c>
      <c r="I1400" s="15" t="str">
        <f aca="false">IF(C1400&gt;=M1400,"ja","nein")</f>
        <v>ja</v>
      </c>
      <c r="J1400" s="15" t="n">
        <f aca="false">ROUND(Annahmen!$K$35*(1+Annahmen!$B$20*D1400/1000),0)</f>
        <v>872</v>
      </c>
      <c r="K1400" s="15" t="n">
        <f aca="false">ROUND(Annahmen!$K$36*(1+Annahmen!$B$20*D1400/1000),0)</f>
        <v>1133</v>
      </c>
      <c r="L1400" s="15" t="n">
        <f aca="false">ROUND(Annahmen!$K$37*(1+Annahmen!$B$20*D1400/1000),0)</f>
        <v>1158</v>
      </c>
      <c r="M1400" s="15" t="n">
        <f aca="false">ROUND(Annahmen!$K$38*(1+Annahmen!$B$20*D1400/1000),0)</f>
        <v>1158</v>
      </c>
      <c r="N1400" s="16" t="s">
        <v>102</v>
      </c>
    </row>
    <row r="1401" customFormat="false" ht="15" hidden="false" customHeight="false" outlineLevel="0" collapsed="false">
      <c r="A1401" s="13" t="s">
        <v>2849</v>
      </c>
      <c r="B1401" s="14" t="s">
        <v>2850</v>
      </c>
      <c r="C1401" s="15" t="n">
        <v>1264</v>
      </c>
      <c r="D1401" s="15" t="n">
        <v>20</v>
      </c>
      <c r="E1401" s="13" t="s">
        <v>82</v>
      </c>
      <c r="F1401" s="15" t="str">
        <f aca="false">IF(C1401&gt;=J1401,"ja","nein")</f>
        <v>ja</v>
      </c>
      <c r="G1401" s="15" t="str">
        <f aca="false">IF(C1401&gt;=K1401,"ja","nein")</f>
        <v>ja</v>
      </c>
      <c r="H1401" s="15" t="str">
        <f aca="false">IF(C1401&gt;=L1401,"ja","nein")</f>
        <v>ja</v>
      </c>
      <c r="I1401" s="15" t="str">
        <f aca="false">IF(C1401&gt;=M1401,"ja","nein")</f>
        <v>ja</v>
      </c>
      <c r="J1401" s="15" t="n">
        <f aca="false">ROUND(Annahmen!$K$35*(1+Annahmen!$B$20*D1401/1000),0)</f>
        <v>842</v>
      </c>
      <c r="K1401" s="15" t="n">
        <f aca="false">ROUND(Annahmen!$K$36*(1+Annahmen!$B$20*D1401/1000),0)</f>
        <v>1093</v>
      </c>
      <c r="L1401" s="15" t="n">
        <f aca="false">ROUND(Annahmen!$K$37*(1+Annahmen!$B$20*D1401/1000),0)</f>
        <v>1117</v>
      </c>
      <c r="M1401" s="15" t="n">
        <f aca="false">ROUND(Annahmen!$K$38*(1+Annahmen!$B$20*D1401/1000),0)</f>
        <v>1117</v>
      </c>
      <c r="N1401" s="16" t="s">
        <v>102</v>
      </c>
    </row>
    <row r="1402" customFormat="false" ht="15" hidden="false" customHeight="false" outlineLevel="0" collapsed="false">
      <c r="A1402" s="13" t="s">
        <v>2851</v>
      </c>
      <c r="B1402" s="14" t="s">
        <v>2852</v>
      </c>
      <c r="C1402" s="15" t="n">
        <v>1262</v>
      </c>
      <c r="D1402" s="15" t="n">
        <v>52</v>
      </c>
      <c r="E1402" s="13" t="s">
        <v>82</v>
      </c>
      <c r="F1402" s="15" t="str">
        <f aca="false">IF(C1402&gt;=J1402,"ja","nein")</f>
        <v>ja</v>
      </c>
      <c r="G1402" s="15" t="str">
        <f aca="false">IF(C1402&gt;=K1402,"ja","nein")</f>
        <v>ja</v>
      </c>
      <c r="H1402" s="15" t="str">
        <f aca="false">IF(C1402&gt;=L1402,"ja","nein")</f>
        <v>ja</v>
      </c>
      <c r="I1402" s="15" t="str">
        <f aca="false">IF(C1402&gt;=M1402,"ja","nein")</f>
        <v>ja</v>
      </c>
      <c r="J1402" s="15" t="n">
        <f aca="false">ROUND(Annahmen!$K$35*(1+Annahmen!$B$20*D1402/1000),0)</f>
        <v>844</v>
      </c>
      <c r="K1402" s="15" t="n">
        <f aca="false">ROUND(Annahmen!$K$36*(1+Annahmen!$B$20*D1402/1000),0)</f>
        <v>1096</v>
      </c>
      <c r="L1402" s="15" t="n">
        <f aca="false">ROUND(Annahmen!$K$37*(1+Annahmen!$B$20*D1402/1000),0)</f>
        <v>1120</v>
      </c>
      <c r="M1402" s="15" t="n">
        <f aca="false">ROUND(Annahmen!$K$38*(1+Annahmen!$B$20*D1402/1000),0)</f>
        <v>1120</v>
      </c>
      <c r="N1402" s="16" t="s">
        <v>102</v>
      </c>
    </row>
    <row r="1403" customFormat="false" ht="15" hidden="false" customHeight="false" outlineLevel="0" collapsed="false">
      <c r="A1403" s="13" t="s">
        <v>2853</v>
      </c>
      <c r="B1403" s="14" t="s">
        <v>2854</v>
      </c>
      <c r="C1403" s="15" t="n">
        <v>1256</v>
      </c>
      <c r="D1403" s="15" t="n">
        <v>448</v>
      </c>
      <c r="E1403" s="13" t="s">
        <v>82</v>
      </c>
      <c r="F1403" s="15" t="str">
        <f aca="false">IF(C1403&gt;=J1403,"ja","nein")</f>
        <v>ja</v>
      </c>
      <c r="G1403" s="15" t="str">
        <f aca="false">IF(C1403&gt;=K1403,"ja","nein")</f>
        <v>ja</v>
      </c>
      <c r="H1403" s="15" t="str">
        <f aca="false">IF(C1403&gt;=L1403,"ja","nein")</f>
        <v>ja</v>
      </c>
      <c r="I1403" s="15" t="str">
        <f aca="false">IF(C1403&gt;=M1403,"ja","nein")</f>
        <v>ja</v>
      </c>
      <c r="J1403" s="15" t="n">
        <f aca="false">ROUND(Annahmen!$K$35*(1+Annahmen!$B$20*D1403/1000),0)</f>
        <v>874</v>
      </c>
      <c r="K1403" s="15" t="n">
        <f aca="false">ROUND(Annahmen!$K$36*(1+Annahmen!$B$20*D1403/1000),0)</f>
        <v>1135</v>
      </c>
      <c r="L1403" s="15" t="n">
        <f aca="false">ROUND(Annahmen!$K$37*(1+Annahmen!$B$20*D1403/1000),0)</f>
        <v>1160</v>
      </c>
      <c r="M1403" s="15" t="n">
        <f aca="false">ROUND(Annahmen!$K$38*(1+Annahmen!$B$20*D1403/1000),0)</f>
        <v>1160</v>
      </c>
      <c r="N1403" s="16" t="s">
        <v>102</v>
      </c>
    </row>
    <row r="1404" customFormat="false" ht="15" hidden="false" customHeight="false" outlineLevel="0" collapsed="false">
      <c r="A1404" s="13" t="s">
        <v>2855</v>
      </c>
      <c r="B1404" s="14" t="s">
        <v>2856</v>
      </c>
      <c r="C1404" s="15" t="n">
        <v>1218</v>
      </c>
      <c r="D1404" s="15" t="n">
        <v>155</v>
      </c>
      <c r="E1404" s="13" t="s">
        <v>82</v>
      </c>
      <c r="F1404" s="15" t="str">
        <f aca="false">IF(C1404&gt;=J1404,"ja","nein")</f>
        <v>ja</v>
      </c>
      <c r="G1404" s="15" t="str">
        <f aca="false">IF(C1404&gt;=K1404,"ja","nein")</f>
        <v>ja</v>
      </c>
      <c r="H1404" s="15" t="str">
        <f aca="false">IF(C1404&gt;=L1404,"ja","nein")</f>
        <v>ja</v>
      </c>
      <c r="I1404" s="15" t="str">
        <f aca="false">IF(C1404&gt;=M1404,"ja","nein")</f>
        <v>ja</v>
      </c>
      <c r="J1404" s="15" t="n">
        <f aca="false">ROUND(Annahmen!$K$35*(1+Annahmen!$B$20*D1404/1000),0)</f>
        <v>852</v>
      </c>
      <c r="K1404" s="15" t="n">
        <f aca="false">ROUND(Annahmen!$K$36*(1+Annahmen!$B$20*D1404/1000),0)</f>
        <v>1106</v>
      </c>
      <c r="L1404" s="15" t="n">
        <f aca="false">ROUND(Annahmen!$K$37*(1+Annahmen!$B$20*D1404/1000),0)</f>
        <v>1131</v>
      </c>
      <c r="M1404" s="15" t="n">
        <f aca="false">ROUND(Annahmen!$K$38*(1+Annahmen!$B$20*D1404/1000),0)</f>
        <v>1131</v>
      </c>
      <c r="N1404" s="16" t="s">
        <v>86</v>
      </c>
    </row>
    <row r="1405" customFormat="false" ht="15" hidden="false" customHeight="false" outlineLevel="0" collapsed="false">
      <c r="A1405" s="13" t="s">
        <v>2857</v>
      </c>
      <c r="B1405" s="14" t="s">
        <v>2858</v>
      </c>
      <c r="C1405" s="15" t="n">
        <v>1199</v>
      </c>
      <c r="D1405" s="15" t="n">
        <v>91</v>
      </c>
      <c r="E1405" s="13" t="s">
        <v>82</v>
      </c>
      <c r="F1405" s="15" t="str">
        <f aca="false">IF(C1405&gt;=J1405,"ja","nein")</f>
        <v>ja</v>
      </c>
      <c r="G1405" s="15" t="str">
        <f aca="false">IF(C1405&gt;=K1405,"ja","nein")</f>
        <v>ja</v>
      </c>
      <c r="H1405" s="15" t="str">
        <f aca="false">IF(C1405&gt;=L1405,"ja","nein")</f>
        <v>ja</v>
      </c>
      <c r="I1405" s="15" t="str">
        <f aca="false">IF(C1405&gt;=M1405,"ja","nein")</f>
        <v>ja</v>
      </c>
      <c r="J1405" s="15" t="n">
        <f aca="false">ROUND(Annahmen!$K$35*(1+Annahmen!$B$20*D1405/1000),0)</f>
        <v>847</v>
      </c>
      <c r="K1405" s="15" t="n">
        <f aca="false">ROUND(Annahmen!$K$36*(1+Annahmen!$B$20*D1405/1000),0)</f>
        <v>1100</v>
      </c>
      <c r="L1405" s="15" t="n">
        <f aca="false">ROUND(Annahmen!$K$37*(1+Annahmen!$B$20*D1405/1000),0)</f>
        <v>1124</v>
      </c>
      <c r="M1405" s="15" t="n">
        <f aca="false">ROUND(Annahmen!$K$38*(1+Annahmen!$B$20*D1405/1000),0)</f>
        <v>1124</v>
      </c>
      <c r="N1405" s="16" t="s">
        <v>102</v>
      </c>
    </row>
    <row r="1406" customFormat="false" ht="15" hidden="false" customHeight="false" outlineLevel="0" collapsed="false">
      <c r="A1406" s="13" t="s">
        <v>2859</v>
      </c>
      <c r="B1406" s="14" t="s">
        <v>2860</v>
      </c>
      <c r="C1406" s="15" t="n">
        <v>1190</v>
      </c>
      <c r="D1406" s="15" t="n">
        <v>439</v>
      </c>
      <c r="E1406" s="13" t="s">
        <v>82</v>
      </c>
      <c r="F1406" s="15" t="str">
        <f aca="false">IF(C1406&gt;=J1406,"ja","nein")</f>
        <v>ja</v>
      </c>
      <c r="G1406" s="15" t="str">
        <f aca="false">IF(C1406&gt;=K1406,"ja","nein")</f>
        <v>ja</v>
      </c>
      <c r="H1406" s="15" t="str">
        <f aca="false">IF(C1406&gt;=L1406,"ja","nein")</f>
        <v>ja</v>
      </c>
      <c r="I1406" s="15" t="str">
        <f aca="false">IF(C1406&gt;=M1406,"ja","nein")</f>
        <v>ja</v>
      </c>
      <c r="J1406" s="15" t="n">
        <f aca="false">ROUND(Annahmen!$K$35*(1+Annahmen!$B$20*D1406/1000),0)</f>
        <v>873</v>
      </c>
      <c r="K1406" s="15" t="n">
        <f aca="false">ROUND(Annahmen!$K$36*(1+Annahmen!$B$20*D1406/1000),0)</f>
        <v>1134</v>
      </c>
      <c r="L1406" s="15" t="n">
        <f aca="false">ROUND(Annahmen!$K$37*(1+Annahmen!$B$20*D1406/1000),0)</f>
        <v>1159</v>
      </c>
      <c r="M1406" s="15" t="n">
        <f aca="false">ROUND(Annahmen!$K$38*(1+Annahmen!$B$20*D1406/1000),0)</f>
        <v>1159</v>
      </c>
      <c r="N1406" s="16" t="s">
        <v>102</v>
      </c>
    </row>
    <row r="1407" customFormat="false" ht="15" hidden="false" customHeight="false" outlineLevel="0" collapsed="false">
      <c r="A1407" s="13" t="s">
        <v>2861</v>
      </c>
      <c r="B1407" s="14" t="s">
        <v>2862</v>
      </c>
      <c r="C1407" s="15" t="n">
        <v>1182</v>
      </c>
      <c r="D1407" s="15" t="n">
        <v>283</v>
      </c>
      <c r="E1407" s="13" t="s">
        <v>82</v>
      </c>
      <c r="F1407" s="15" t="str">
        <f aca="false">IF(C1407&gt;=J1407,"ja","nein")</f>
        <v>ja</v>
      </c>
      <c r="G1407" s="15" t="str">
        <f aca="false">IF(C1407&gt;=K1407,"ja","nein")</f>
        <v>ja</v>
      </c>
      <c r="H1407" s="15" t="str">
        <f aca="false">IF(C1407&gt;=L1407,"ja","nein")</f>
        <v>ja</v>
      </c>
      <c r="I1407" s="15" t="str">
        <f aca="false">IF(C1407&gt;=M1407,"ja","nein")</f>
        <v>ja</v>
      </c>
      <c r="J1407" s="15" t="n">
        <f aca="false">ROUND(Annahmen!$K$35*(1+Annahmen!$B$20*D1407/1000),0)</f>
        <v>861</v>
      </c>
      <c r="K1407" s="15" t="n">
        <f aca="false">ROUND(Annahmen!$K$36*(1+Annahmen!$B$20*D1407/1000),0)</f>
        <v>1119</v>
      </c>
      <c r="L1407" s="15" t="n">
        <f aca="false">ROUND(Annahmen!$K$37*(1+Annahmen!$B$20*D1407/1000),0)</f>
        <v>1143</v>
      </c>
      <c r="M1407" s="15" t="n">
        <f aca="false">ROUND(Annahmen!$K$38*(1+Annahmen!$B$20*D1407/1000),0)</f>
        <v>1143</v>
      </c>
      <c r="N1407" s="16" t="s">
        <v>102</v>
      </c>
    </row>
    <row r="1408" customFormat="false" ht="15" hidden="false" customHeight="false" outlineLevel="0" collapsed="false">
      <c r="A1408" s="13" t="s">
        <v>2863</v>
      </c>
      <c r="B1408" s="14" t="s">
        <v>2864</v>
      </c>
      <c r="C1408" s="15" t="n">
        <v>1128</v>
      </c>
      <c r="D1408" s="15" t="n">
        <v>125</v>
      </c>
      <c r="E1408" s="13" t="s">
        <v>82</v>
      </c>
      <c r="F1408" s="15" t="str">
        <f aca="false">IF(C1408&gt;=J1408,"ja","nein")</f>
        <v>ja</v>
      </c>
      <c r="G1408" s="15" t="str">
        <f aca="false">IF(C1408&gt;=K1408,"ja","nein")</f>
        <v>ja</v>
      </c>
      <c r="H1408" s="15" t="str">
        <f aca="false">IF(C1408&gt;=L1408,"ja","nein")</f>
        <v>ja</v>
      </c>
      <c r="I1408" s="15" t="str">
        <f aca="false">IF(C1408&gt;=M1408,"ja","nein")</f>
        <v>ja</v>
      </c>
      <c r="J1408" s="15" t="n">
        <f aca="false">ROUND(Annahmen!$K$35*(1+Annahmen!$B$20*D1408/1000),0)</f>
        <v>849</v>
      </c>
      <c r="K1408" s="15" t="n">
        <f aca="false">ROUND(Annahmen!$K$36*(1+Annahmen!$B$20*D1408/1000),0)</f>
        <v>1103</v>
      </c>
      <c r="L1408" s="15" t="n">
        <f aca="false">ROUND(Annahmen!$K$37*(1+Annahmen!$B$20*D1408/1000),0)</f>
        <v>1128</v>
      </c>
      <c r="M1408" s="15" t="n">
        <f aca="false">ROUND(Annahmen!$K$38*(1+Annahmen!$B$20*D1408/1000),0)</f>
        <v>1128</v>
      </c>
      <c r="N1408" s="16" t="s">
        <v>102</v>
      </c>
    </row>
    <row r="1409" customFormat="false" ht="15" hidden="false" customHeight="false" outlineLevel="0" collapsed="false">
      <c r="A1409" s="13" t="s">
        <v>2865</v>
      </c>
      <c r="B1409" s="14" t="s">
        <v>2866</v>
      </c>
      <c r="C1409" s="15" t="n">
        <v>1100</v>
      </c>
      <c r="D1409" s="15" t="n">
        <v>550</v>
      </c>
      <c r="E1409" s="13" t="s">
        <v>82</v>
      </c>
      <c r="F1409" s="15" t="str">
        <f aca="false">IF(C1409&gt;=J1409,"ja","nein")</f>
        <v>ja</v>
      </c>
      <c r="G1409" s="15" t="str">
        <f aca="false">IF(C1409&gt;=K1409,"ja","nein")</f>
        <v>nein</v>
      </c>
      <c r="H1409" s="15" t="str">
        <f aca="false">IF(C1409&gt;=L1409,"ja","nein")</f>
        <v>nein</v>
      </c>
      <c r="I1409" s="15" t="str">
        <f aca="false">IF(C1409&gt;=M1409,"ja","nein")</f>
        <v>nein</v>
      </c>
      <c r="J1409" s="15" t="n">
        <f aca="false">ROUND(Annahmen!$K$35*(1+Annahmen!$B$20*D1409/1000),0)</f>
        <v>882</v>
      </c>
      <c r="K1409" s="15" t="n">
        <f aca="false">ROUND(Annahmen!$K$36*(1+Annahmen!$B$20*D1409/1000),0)</f>
        <v>1145</v>
      </c>
      <c r="L1409" s="15" t="n">
        <f aca="false">ROUND(Annahmen!$K$37*(1+Annahmen!$B$20*D1409/1000),0)</f>
        <v>1170</v>
      </c>
      <c r="M1409" s="15" t="n">
        <f aca="false">ROUND(Annahmen!$K$38*(1+Annahmen!$B$20*D1409/1000),0)</f>
        <v>1170</v>
      </c>
      <c r="N1409" s="16" t="s">
        <v>102</v>
      </c>
    </row>
    <row r="1410" customFormat="false" ht="15" hidden="false" customHeight="false" outlineLevel="0" collapsed="false">
      <c r="A1410" s="13" t="s">
        <v>2867</v>
      </c>
      <c r="B1410" s="14" t="s">
        <v>2868</v>
      </c>
      <c r="C1410" s="15" t="n">
        <v>1095</v>
      </c>
      <c r="D1410" s="15" t="n">
        <v>270</v>
      </c>
      <c r="E1410" s="13" t="s">
        <v>82</v>
      </c>
      <c r="F1410" s="15" t="str">
        <f aca="false">IF(C1410&gt;=J1410,"ja","nein")</f>
        <v>ja</v>
      </c>
      <c r="G1410" s="15" t="str">
        <f aca="false">IF(C1410&gt;=K1410,"ja","nein")</f>
        <v>nein</v>
      </c>
      <c r="H1410" s="15" t="str">
        <f aca="false">IF(C1410&gt;=L1410,"ja","nein")</f>
        <v>nein</v>
      </c>
      <c r="I1410" s="15" t="str">
        <f aca="false">IF(C1410&gt;=M1410,"ja","nein")</f>
        <v>nein</v>
      </c>
      <c r="J1410" s="15" t="n">
        <f aca="false">ROUND(Annahmen!$K$35*(1+Annahmen!$B$20*D1410/1000),0)</f>
        <v>860</v>
      </c>
      <c r="K1410" s="15" t="n">
        <f aca="false">ROUND(Annahmen!$K$36*(1+Annahmen!$B$20*D1410/1000),0)</f>
        <v>1118</v>
      </c>
      <c r="L1410" s="15" t="n">
        <f aca="false">ROUND(Annahmen!$K$37*(1+Annahmen!$B$20*D1410/1000),0)</f>
        <v>1142</v>
      </c>
      <c r="M1410" s="15" t="n">
        <f aca="false">ROUND(Annahmen!$K$38*(1+Annahmen!$B$20*D1410/1000),0)</f>
        <v>1142</v>
      </c>
      <c r="N1410" s="16" t="s">
        <v>102</v>
      </c>
    </row>
    <row r="1411" customFormat="false" ht="15" hidden="false" customHeight="false" outlineLevel="0" collapsed="false">
      <c r="A1411" s="13" t="s">
        <v>2869</v>
      </c>
      <c r="B1411" s="14" t="s">
        <v>2870</v>
      </c>
      <c r="C1411" s="15" t="n">
        <v>1077</v>
      </c>
      <c r="D1411" s="15" t="n">
        <v>1</v>
      </c>
      <c r="E1411" s="13" t="s">
        <v>82</v>
      </c>
      <c r="F1411" s="15" t="str">
        <f aca="false">IF(C1411&gt;=J1411,"ja","nein")</f>
        <v>ja</v>
      </c>
      <c r="G1411" s="15" t="str">
        <f aca="false">IF(C1411&gt;=K1411,"ja","nein")</f>
        <v>nein</v>
      </c>
      <c r="H1411" s="15" t="str">
        <f aca="false">IF(C1411&gt;=L1411,"ja","nein")</f>
        <v>nein</v>
      </c>
      <c r="I1411" s="15" t="str">
        <f aca="false">IF(C1411&gt;=M1411,"ja","nein")</f>
        <v>nein</v>
      </c>
      <c r="J1411" s="15" t="n">
        <f aca="false">ROUND(Annahmen!$K$35*(1+Annahmen!$B$20*D1411/1000),0)</f>
        <v>840</v>
      </c>
      <c r="K1411" s="15" t="n">
        <f aca="false">ROUND(Annahmen!$K$36*(1+Annahmen!$B$20*D1411/1000),0)</f>
        <v>1091</v>
      </c>
      <c r="L1411" s="15" t="n">
        <f aca="false">ROUND(Annahmen!$K$37*(1+Annahmen!$B$20*D1411/1000),0)</f>
        <v>1115</v>
      </c>
      <c r="M1411" s="15" t="n">
        <f aca="false">ROUND(Annahmen!$K$38*(1+Annahmen!$B$20*D1411/1000),0)</f>
        <v>1115</v>
      </c>
      <c r="N1411" s="16" t="s">
        <v>102</v>
      </c>
    </row>
    <row r="1412" customFormat="false" ht="15" hidden="false" customHeight="false" outlineLevel="0" collapsed="false">
      <c r="A1412" s="13" t="s">
        <v>2871</v>
      </c>
      <c r="B1412" s="14" t="s">
        <v>2872</v>
      </c>
      <c r="C1412" s="15" t="n">
        <v>1050</v>
      </c>
      <c r="D1412" s="15" t="n">
        <v>138</v>
      </c>
      <c r="E1412" s="13" t="s">
        <v>82</v>
      </c>
      <c r="F1412" s="15" t="str">
        <f aca="false">IF(C1412&gt;=J1412,"ja","nein")</f>
        <v>ja</v>
      </c>
      <c r="G1412" s="15" t="str">
        <f aca="false">IF(C1412&gt;=K1412,"ja","nein")</f>
        <v>nein</v>
      </c>
      <c r="H1412" s="15" t="str">
        <f aca="false">IF(C1412&gt;=L1412,"ja","nein")</f>
        <v>nein</v>
      </c>
      <c r="I1412" s="15" t="str">
        <f aca="false">IF(C1412&gt;=M1412,"ja","nein")</f>
        <v>nein</v>
      </c>
      <c r="J1412" s="15" t="n">
        <f aca="false">ROUND(Annahmen!$K$35*(1+Annahmen!$B$20*D1412/1000),0)</f>
        <v>850</v>
      </c>
      <c r="K1412" s="15" t="n">
        <f aca="false">ROUND(Annahmen!$K$36*(1+Annahmen!$B$20*D1412/1000),0)</f>
        <v>1105</v>
      </c>
      <c r="L1412" s="15" t="n">
        <f aca="false">ROUND(Annahmen!$K$37*(1+Annahmen!$B$20*D1412/1000),0)</f>
        <v>1129</v>
      </c>
      <c r="M1412" s="15" t="n">
        <f aca="false">ROUND(Annahmen!$K$38*(1+Annahmen!$B$20*D1412/1000),0)</f>
        <v>1129</v>
      </c>
      <c r="N1412" s="16" t="s">
        <v>86</v>
      </c>
    </row>
    <row r="1413" customFormat="false" ht="15" hidden="false" customHeight="false" outlineLevel="0" collapsed="false">
      <c r="A1413" s="13" t="s">
        <v>2873</v>
      </c>
      <c r="B1413" s="14" t="s">
        <v>2874</v>
      </c>
      <c r="C1413" s="15" t="n">
        <v>1048</v>
      </c>
      <c r="D1413" s="15" t="n">
        <v>173</v>
      </c>
      <c r="E1413" s="13" t="s">
        <v>82</v>
      </c>
      <c r="F1413" s="15" t="str">
        <f aca="false">IF(C1413&gt;=J1413,"ja","nein")</f>
        <v>ja</v>
      </c>
      <c r="G1413" s="15" t="str">
        <f aca="false">IF(C1413&gt;=K1413,"ja","nein")</f>
        <v>nein</v>
      </c>
      <c r="H1413" s="15" t="str">
        <f aca="false">IF(C1413&gt;=L1413,"ja","nein")</f>
        <v>nein</v>
      </c>
      <c r="I1413" s="15" t="str">
        <f aca="false">IF(C1413&gt;=M1413,"ja","nein")</f>
        <v>nein</v>
      </c>
      <c r="J1413" s="15" t="n">
        <f aca="false">ROUND(Annahmen!$K$35*(1+Annahmen!$B$20*D1413/1000),0)</f>
        <v>853</v>
      </c>
      <c r="K1413" s="15" t="n">
        <f aca="false">ROUND(Annahmen!$K$36*(1+Annahmen!$B$20*D1413/1000),0)</f>
        <v>1108</v>
      </c>
      <c r="L1413" s="15" t="n">
        <f aca="false">ROUND(Annahmen!$K$37*(1+Annahmen!$B$20*D1413/1000),0)</f>
        <v>1132</v>
      </c>
      <c r="M1413" s="15" t="n">
        <f aca="false">ROUND(Annahmen!$K$38*(1+Annahmen!$B$20*D1413/1000),0)</f>
        <v>1132</v>
      </c>
      <c r="N1413" s="16" t="s">
        <v>86</v>
      </c>
    </row>
    <row r="1414" customFormat="false" ht="15" hidden="false" customHeight="false" outlineLevel="0" collapsed="false">
      <c r="A1414" s="13" t="s">
        <v>2875</v>
      </c>
      <c r="B1414" s="14" t="s">
        <v>2876</v>
      </c>
      <c r="C1414" s="15" t="n">
        <v>1032</v>
      </c>
      <c r="D1414" s="15" t="n">
        <v>7</v>
      </c>
      <c r="E1414" s="13" t="s">
        <v>82</v>
      </c>
      <c r="F1414" s="15" t="str">
        <f aca="false">IF(C1414&gt;=J1414,"ja","nein")</f>
        <v>ja</v>
      </c>
      <c r="G1414" s="15" t="str">
        <f aca="false">IF(C1414&gt;=K1414,"ja","nein")</f>
        <v>nein</v>
      </c>
      <c r="H1414" s="15" t="str">
        <f aca="false">IF(C1414&gt;=L1414,"ja","nein")</f>
        <v>nein</v>
      </c>
      <c r="I1414" s="15" t="str">
        <f aca="false">IF(C1414&gt;=M1414,"ja","nein")</f>
        <v>nein</v>
      </c>
      <c r="J1414" s="15" t="n">
        <f aca="false">ROUND(Annahmen!$K$35*(1+Annahmen!$B$20*D1414/1000),0)</f>
        <v>841</v>
      </c>
      <c r="K1414" s="15" t="n">
        <f aca="false">ROUND(Annahmen!$K$36*(1+Annahmen!$B$20*D1414/1000),0)</f>
        <v>1092</v>
      </c>
      <c r="L1414" s="15" t="n">
        <f aca="false">ROUND(Annahmen!$K$37*(1+Annahmen!$B$20*D1414/1000),0)</f>
        <v>1116</v>
      </c>
      <c r="M1414" s="15" t="n">
        <f aca="false">ROUND(Annahmen!$K$38*(1+Annahmen!$B$20*D1414/1000),0)</f>
        <v>1116</v>
      </c>
      <c r="N1414" s="16" t="s">
        <v>86</v>
      </c>
    </row>
    <row r="1415" customFormat="false" ht="15" hidden="false" customHeight="false" outlineLevel="0" collapsed="false">
      <c r="A1415" s="13" t="s">
        <v>2877</v>
      </c>
      <c r="B1415" s="14" t="s">
        <v>2878</v>
      </c>
      <c r="C1415" s="15" t="n">
        <v>1029</v>
      </c>
      <c r="D1415" s="15" t="n">
        <v>32</v>
      </c>
      <c r="E1415" s="13" t="s">
        <v>82</v>
      </c>
      <c r="F1415" s="15" t="str">
        <f aca="false">IF(C1415&gt;=J1415,"ja","nein")</f>
        <v>ja</v>
      </c>
      <c r="G1415" s="15" t="str">
        <f aca="false">IF(C1415&gt;=K1415,"ja","nein")</f>
        <v>nein</v>
      </c>
      <c r="H1415" s="15" t="str">
        <f aca="false">IF(C1415&gt;=L1415,"ja","nein")</f>
        <v>nein</v>
      </c>
      <c r="I1415" s="15" t="str">
        <f aca="false">IF(C1415&gt;=M1415,"ja","nein")</f>
        <v>nein</v>
      </c>
      <c r="J1415" s="15" t="n">
        <f aca="false">ROUND(Annahmen!$K$35*(1+Annahmen!$B$20*D1415/1000),0)</f>
        <v>842</v>
      </c>
      <c r="K1415" s="15" t="n">
        <f aca="false">ROUND(Annahmen!$K$36*(1+Annahmen!$B$20*D1415/1000),0)</f>
        <v>1094</v>
      </c>
      <c r="L1415" s="15" t="n">
        <f aca="false">ROUND(Annahmen!$K$37*(1+Annahmen!$B$20*D1415/1000),0)</f>
        <v>1118</v>
      </c>
      <c r="M1415" s="15" t="n">
        <f aca="false">ROUND(Annahmen!$K$38*(1+Annahmen!$B$20*D1415/1000),0)</f>
        <v>1118</v>
      </c>
      <c r="N1415" s="16" t="s">
        <v>102</v>
      </c>
    </row>
    <row r="1416" customFormat="false" ht="15" hidden="false" customHeight="false" outlineLevel="0" collapsed="false">
      <c r="A1416" s="13" t="s">
        <v>2879</v>
      </c>
      <c r="B1416" s="14" t="s">
        <v>2880</v>
      </c>
      <c r="C1416" s="15" t="n">
        <v>1020</v>
      </c>
      <c r="D1416" s="15" t="n">
        <v>9</v>
      </c>
      <c r="E1416" s="13" t="s">
        <v>82</v>
      </c>
      <c r="F1416" s="15" t="str">
        <f aca="false">IF(C1416&gt;=J1416,"ja","nein")</f>
        <v>ja</v>
      </c>
      <c r="G1416" s="15" t="str">
        <f aca="false">IF(C1416&gt;=K1416,"ja","nein")</f>
        <v>nein</v>
      </c>
      <c r="H1416" s="15" t="str">
        <f aca="false">IF(C1416&gt;=L1416,"ja","nein")</f>
        <v>nein</v>
      </c>
      <c r="I1416" s="15" t="str">
        <f aca="false">IF(C1416&gt;=M1416,"ja","nein")</f>
        <v>nein</v>
      </c>
      <c r="J1416" s="15" t="n">
        <f aca="false">ROUND(Annahmen!$K$35*(1+Annahmen!$B$20*D1416/1000),0)</f>
        <v>841</v>
      </c>
      <c r="K1416" s="15" t="n">
        <f aca="false">ROUND(Annahmen!$K$36*(1+Annahmen!$B$20*D1416/1000),0)</f>
        <v>1092</v>
      </c>
      <c r="L1416" s="15" t="n">
        <f aca="false">ROUND(Annahmen!$K$37*(1+Annahmen!$B$20*D1416/1000),0)</f>
        <v>1116</v>
      </c>
      <c r="M1416" s="15" t="n">
        <f aca="false">ROUND(Annahmen!$K$38*(1+Annahmen!$B$20*D1416/1000),0)</f>
        <v>1116</v>
      </c>
      <c r="N1416" s="16" t="s">
        <v>102</v>
      </c>
    </row>
    <row r="1417" customFormat="false" ht="15" hidden="false" customHeight="false" outlineLevel="0" collapsed="false">
      <c r="A1417" s="13" t="s">
        <v>2881</v>
      </c>
      <c r="B1417" s="14" t="s">
        <v>2882</v>
      </c>
      <c r="C1417" s="15" t="n">
        <v>1020</v>
      </c>
      <c r="D1417" s="15" t="n">
        <v>233</v>
      </c>
      <c r="E1417" s="13" t="s">
        <v>82</v>
      </c>
      <c r="F1417" s="15" t="str">
        <f aca="false">IF(C1417&gt;=J1417,"ja","nein")</f>
        <v>ja</v>
      </c>
      <c r="G1417" s="15" t="str">
        <f aca="false">IF(C1417&gt;=K1417,"ja","nein")</f>
        <v>nein</v>
      </c>
      <c r="H1417" s="15" t="str">
        <f aca="false">IF(C1417&gt;=L1417,"ja","nein")</f>
        <v>nein</v>
      </c>
      <c r="I1417" s="15" t="str">
        <f aca="false">IF(C1417&gt;=M1417,"ja","nein")</f>
        <v>nein</v>
      </c>
      <c r="J1417" s="15" t="n">
        <f aca="false">ROUND(Annahmen!$K$35*(1+Annahmen!$B$20*D1417/1000),0)</f>
        <v>858</v>
      </c>
      <c r="K1417" s="15" t="n">
        <f aca="false">ROUND(Annahmen!$K$36*(1+Annahmen!$B$20*D1417/1000),0)</f>
        <v>1114</v>
      </c>
      <c r="L1417" s="15" t="n">
        <f aca="false">ROUND(Annahmen!$K$37*(1+Annahmen!$B$20*D1417/1000),0)</f>
        <v>1138</v>
      </c>
      <c r="M1417" s="15" t="n">
        <f aca="false">ROUND(Annahmen!$K$38*(1+Annahmen!$B$20*D1417/1000),0)</f>
        <v>1138</v>
      </c>
      <c r="N1417" s="16" t="s">
        <v>102</v>
      </c>
    </row>
    <row r="1418" customFormat="false" ht="15" hidden="false" customHeight="false" outlineLevel="0" collapsed="false">
      <c r="A1418" s="13" t="s">
        <v>2883</v>
      </c>
      <c r="B1418" s="14" t="s">
        <v>2884</v>
      </c>
      <c r="C1418" s="15" t="n">
        <v>987</v>
      </c>
      <c r="D1418" s="15" t="n">
        <v>26</v>
      </c>
      <c r="E1418" s="13" t="s">
        <v>82</v>
      </c>
      <c r="F1418" s="15" t="str">
        <f aca="false">IF(C1418&gt;=J1418,"ja","nein")</f>
        <v>ja</v>
      </c>
      <c r="G1418" s="15" t="str">
        <f aca="false">IF(C1418&gt;=K1418,"ja","nein")</f>
        <v>nein</v>
      </c>
      <c r="H1418" s="15" t="str">
        <f aca="false">IF(C1418&gt;=L1418,"ja","nein")</f>
        <v>nein</v>
      </c>
      <c r="I1418" s="15" t="str">
        <f aca="false">IF(C1418&gt;=M1418,"ja","nein")</f>
        <v>nein</v>
      </c>
      <c r="J1418" s="15" t="n">
        <f aca="false">ROUND(Annahmen!$K$35*(1+Annahmen!$B$20*D1418/1000),0)</f>
        <v>842</v>
      </c>
      <c r="K1418" s="15" t="n">
        <f aca="false">ROUND(Annahmen!$K$36*(1+Annahmen!$B$20*D1418/1000),0)</f>
        <v>1094</v>
      </c>
      <c r="L1418" s="15" t="n">
        <f aca="false">ROUND(Annahmen!$K$37*(1+Annahmen!$B$20*D1418/1000),0)</f>
        <v>1118</v>
      </c>
      <c r="M1418" s="15" t="n">
        <f aca="false">ROUND(Annahmen!$K$38*(1+Annahmen!$B$20*D1418/1000),0)</f>
        <v>1118</v>
      </c>
      <c r="N1418" s="16" t="s">
        <v>102</v>
      </c>
    </row>
    <row r="1419" customFormat="false" ht="15" hidden="false" customHeight="false" outlineLevel="0" collapsed="false">
      <c r="A1419" s="13" t="s">
        <v>2885</v>
      </c>
      <c r="B1419" s="14" t="s">
        <v>2886</v>
      </c>
      <c r="C1419" s="15" t="n">
        <v>980</v>
      </c>
      <c r="D1419" s="15" t="n">
        <v>272</v>
      </c>
      <c r="E1419" s="13" t="s">
        <v>82</v>
      </c>
      <c r="F1419" s="15" t="str">
        <f aca="false">IF(C1419&gt;=J1419,"ja","nein")</f>
        <v>ja</v>
      </c>
      <c r="G1419" s="15" t="str">
        <f aca="false">IF(C1419&gt;=K1419,"ja","nein")</f>
        <v>nein</v>
      </c>
      <c r="H1419" s="15" t="str">
        <f aca="false">IF(C1419&gt;=L1419,"ja","nein")</f>
        <v>nein</v>
      </c>
      <c r="I1419" s="15" t="str">
        <f aca="false">IF(C1419&gt;=M1419,"ja","nein")</f>
        <v>nein</v>
      </c>
      <c r="J1419" s="15" t="n">
        <f aca="false">ROUND(Annahmen!$K$35*(1+Annahmen!$B$20*D1419/1000),0)</f>
        <v>861</v>
      </c>
      <c r="K1419" s="15" t="n">
        <f aca="false">ROUND(Annahmen!$K$36*(1+Annahmen!$B$20*D1419/1000),0)</f>
        <v>1118</v>
      </c>
      <c r="L1419" s="15" t="n">
        <f aca="false">ROUND(Annahmen!$K$37*(1+Annahmen!$B$20*D1419/1000),0)</f>
        <v>1142</v>
      </c>
      <c r="M1419" s="15" t="n">
        <f aca="false">ROUND(Annahmen!$K$38*(1+Annahmen!$B$20*D1419/1000),0)</f>
        <v>1142</v>
      </c>
      <c r="N1419" s="16" t="s">
        <v>102</v>
      </c>
    </row>
    <row r="1420" customFormat="false" ht="15" hidden="false" customHeight="false" outlineLevel="0" collapsed="false">
      <c r="A1420" s="13" t="s">
        <v>2887</v>
      </c>
      <c r="B1420" s="14" t="s">
        <v>2888</v>
      </c>
      <c r="C1420" s="15" t="n">
        <v>969</v>
      </c>
      <c r="D1420" s="15" t="n">
        <v>319</v>
      </c>
      <c r="E1420" s="13" t="s">
        <v>82</v>
      </c>
      <c r="F1420" s="15" t="str">
        <f aca="false">IF(C1420&gt;=J1420,"ja","nein")</f>
        <v>ja</v>
      </c>
      <c r="G1420" s="15" t="str">
        <f aca="false">IF(C1420&gt;=K1420,"ja","nein")</f>
        <v>nein</v>
      </c>
      <c r="H1420" s="15" t="str">
        <f aca="false">IF(C1420&gt;=L1420,"ja","nein")</f>
        <v>nein</v>
      </c>
      <c r="I1420" s="15" t="str">
        <f aca="false">IF(C1420&gt;=M1420,"ja","nein")</f>
        <v>nein</v>
      </c>
      <c r="J1420" s="15" t="n">
        <f aca="false">ROUND(Annahmen!$K$35*(1+Annahmen!$B$20*D1420/1000),0)</f>
        <v>864</v>
      </c>
      <c r="K1420" s="15" t="n">
        <f aca="false">ROUND(Annahmen!$K$36*(1+Annahmen!$B$20*D1420/1000),0)</f>
        <v>1122</v>
      </c>
      <c r="L1420" s="15" t="n">
        <f aca="false">ROUND(Annahmen!$K$37*(1+Annahmen!$B$20*D1420/1000),0)</f>
        <v>1147</v>
      </c>
      <c r="M1420" s="15" t="n">
        <f aca="false">ROUND(Annahmen!$K$38*(1+Annahmen!$B$20*D1420/1000),0)</f>
        <v>1147</v>
      </c>
      <c r="N1420" s="16" t="s">
        <v>102</v>
      </c>
    </row>
    <row r="1421" customFormat="false" ht="15" hidden="false" customHeight="false" outlineLevel="0" collapsed="false">
      <c r="A1421" s="13" t="s">
        <v>2889</v>
      </c>
      <c r="B1421" s="14" t="s">
        <v>2890</v>
      </c>
      <c r="C1421" s="15" t="n">
        <v>968</v>
      </c>
      <c r="D1421" s="15" t="n">
        <v>839</v>
      </c>
      <c r="E1421" s="13" t="s">
        <v>82</v>
      </c>
      <c r="F1421" s="15" t="str">
        <f aca="false">IF(C1421&gt;=J1421,"ja","nein")</f>
        <v>ja</v>
      </c>
      <c r="G1421" s="15" t="str">
        <f aca="false">IF(C1421&gt;=K1421,"ja","nein")</f>
        <v>nein</v>
      </c>
      <c r="H1421" s="15" t="str">
        <f aca="false">IF(C1421&gt;=L1421,"ja","nein")</f>
        <v>nein</v>
      </c>
      <c r="I1421" s="15" t="str">
        <f aca="false">IF(C1421&gt;=M1421,"ja","nein")</f>
        <v>nein</v>
      </c>
      <c r="J1421" s="15" t="n">
        <f aca="false">ROUND(Annahmen!$K$35*(1+Annahmen!$B$20*D1421/1000),0)</f>
        <v>903</v>
      </c>
      <c r="K1421" s="15" t="n">
        <f aca="false">ROUND(Annahmen!$K$36*(1+Annahmen!$B$20*D1421/1000),0)</f>
        <v>1173</v>
      </c>
      <c r="L1421" s="15" t="n">
        <f aca="false">ROUND(Annahmen!$K$37*(1+Annahmen!$B$20*D1421/1000),0)</f>
        <v>1199</v>
      </c>
      <c r="M1421" s="15" t="n">
        <f aca="false">ROUND(Annahmen!$K$38*(1+Annahmen!$B$20*D1421/1000),0)</f>
        <v>1199</v>
      </c>
      <c r="N1421" s="16" t="s">
        <v>102</v>
      </c>
    </row>
    <row r="1422" customFormat="false" ht="15" hidden="false" customHeight="false" outlineLevel="0" collapsed="false">
      <c r="A1422" s="13" t="s">
        <v>2891</v>
      </c>
      <c r="B1422" s="14" t="s">
        <v>2892</v>
      </c>
      <c r="C1422" s="15" t="n">
        <v>940</v>
      </c>
      <c r="D1422" s="15" t="n">
        <v>469</v>
      </c>
      <c r="E1422" s="13" t="s">
        <v>82</v>
      </c>
      <c r="F1422" s="15" t="str">
        <f aca="false">IF(C1422&gt;=J1422,"ja","nein")</f>
        <v>ja</v>
      </c>
      <c r="G1422" s="15" t="str">
        <f aca="false">IF(C1422&gt;=K1422,"ja","nein")</f>
        <v>nein</v>
      </c>
      <c r="H1422" s="15" t="str">
        <f aca="false">IF(C1422&gt;=L1422,"ja","nein")</f>
        <v>nein</v>
      </c>
      <c r="I1422" s="15" t="str">
        <f aca="false">IF(C1422&gt;=M1422,"ja","nein")</f>
        <v>nein</v>
      </c>
      <c r="J1422" s="15" t="n">
        <f aca="false">ROUND(Annahmen!$K$35*(1+Annahmen!$B$20*D1422/1000),0)</f>
        <v>875</v>
      </c>
      <c r="K1422" s="15" t="n">
        <f aca="false">ROUND(Annahmen!$K$36*(1+Annahmen!$B$20*D1422/1000),0)</f>
        <v>1137</v>
      </c>
      <c r="L1422" s="15" t="n">
        <f aca="false">ROUND(Annahmen!$K$37*(1+Annahmen!$B$20*D1422/1000),0)</f>
        <v>1162</v>
      </c>
      <c r="M1422" s="15" t="n">
        <f aca="false">ROUND(Annahmen!$K$38*(1+Annahmen!$B$20*D1422/1000),0)</f>
        <v>1162</v>
      </c>
      <c r="N1422" s="16" t="s">
        <v>102</v>
      </c>
    </row>
    <row r="1423" customFormat="false" ht="15" hidden="false" customHeight="false" outlineLevel="0" collapsed="false">
      <c r="A1423" s="13" t="s">
        <v>2893</v>
      </c>
      <c r="B1423" s="14" t="s">
        <v>2894</v>
      </c>
      <c r="C1423" s="15" t="n">
        <v>940</v>
      </c>
      <c r="D1423" s="15" t="n">
        <v>330</v>
      </c>
      <c r="E1423" s="13" t="s">
        <v>82</v>
      </c>
      <c r="F1423" s="15" t="str">
        <f aca="false">IF(C1423&gt;=J1423,"ja","nein")</f>
        <v>ja</v>
      </c>
      <c r="G1423" s="15" t="str">
        <f aca="false">IF(C1423&gt;=K1423,"ja","nein")</f>
        <v>nein</v>
      </c>
      <c r="H1423" s="15" t="str">
        <f aca="false">IF(C1423&gt;=L1423,"ja","nein")</f>
        <v>nein</v>
      </c>
      <c r="I1423" s="15" t="str">
        <f aca="false">IF(C1423&gt;=M1423,"ja","nein")</f>
        <v>nein</v>
      </c>
      <c r="J1423" s="15" t="n">
        <f aca="false">ROUND(Annahmen!$K$35*(1+Annahmen!$B$20*D1423/1000),0)</f>
        <v>865</v>
      </c>
      <c r="K1423" s="15" t="n">
        <f aca="false">ROUND(Annahmen!$K$36*(1+Annahmen!$B$20*D1423/1000),0)</f>
        <v>1123</v>
      </c>
      <c r="L1423" s="15" t="n">
        <f aca="false">ROUND(Annahmen!$K$37*(1+Annahmen!$B$20*D1423/1000),0)</f>
        <v>1148</v>
      </c>
      <c r="M1423" s="15" t="n">
        <f aca="false">ROUND(Annahmen!$K$38*(1+Annahmen!$B$20*D1423/1000),0)</f>
        <v>1148</v>
      </c>
      <c r="N1423" s="16" t="s">
        <v>102</v>
      </c>
    </row>
    <row r="1424" customFormat="false" ht="15" hidden="false" customHeight="false" outlineLevel="0" collapsed="false">
      <c r="A1424" s="13" t="s">
        <v>2895</v>
      </c>
      <c r="B1424" s="14" t="s">
        <v>2896</v>
      </c>
      <c r="C1424" s="15" t="n">
        <v>924</v>
      </c>
      <c r="D1424" s="15" t="n">
        <v>428</v>
      </c>
      <c r="E1424" s="13" t="s">
        <v>82</v>
      </c>
      <c r="F1424" s="15" t="str">
        <f aca="false">IF(C1424&gt;=J1424,"ja","nein")</f>
        <v>ja</v>
      </c>
      <c r="G1424" s="15" t="str">
        <f aca="false">IF(C1424&gt;=K1424,"ja","nein")</f>
        <v>nein</v>
      </c>
      <c r="H1424" s="15" t="str">
        <f aca="false">IF(C1424&gt;=L1424,"ja","nein")</f>
        <v>nein</v>
      </c>
      <c r="I1424" s="15" t="str">
        <f aca="false">IF(C1424&gt;=M1424,"ja","nein")</f>
        <v>nein</v>
      </c>
      <c r="J1424" s="15" t="n">
        <f aca="false">ROUND(Annahmen!$K$35*(1+Annahmen!$B$20*D1424/1000),0)</f>
        <v>872</v>
      </c>
      <c r="K1424" s="15" t="n">
        <f aca="false">ROUND(Annahmen!$K$36*(1+Annahmen!$B$20*D1424/1000),0)</f>
        <v>1133</v>
      </c>
      <c r="L1424" s="15" t="n">
        <f aca="false">ROUND(Annahmen!$K$37*(1+Annahmen!$B$20*D1424/1000),0)</f>
        <v>1158</v>
      </c>
      <c r="M1424" s="15" t="n">
        <f aca="false">ROUND(Annahmen!$K$38*(1+Annahmen!$B$20*D1424/1000),0)</f>
        <v>1158</v>
      </c>
      <c r="N1424" s="16" t="s">
        <v>102</v>
      </c>
    </row>
    <row r="1425" customFormat="false" ht="15" hidden="false" customHeight="false" outlineLevel="0" collapsed="false">
      <c r="A1425" s="13" t="s">
        <v>2897</v>
      </c>
      <c r="B1425" s="14" t="s">
        <v>2898</v>
      </c>
      <c r="C1425" s="15" t="n">
        <v>917</v>
      </c>
      <c r="D1425" s="15" t="n">
        <v>159</v>
      </c>
      <c r="E1425" s="13" t="s">
        <v>82</v>
      </c>
      <c r="F1425" s="15" t="str">
        <f aca="false">IF(C1425&gt;=J1425,"ja","nein")</f>
        <v>ja</v>
      </c>
      <c r="G1425" s="15" t="str">
        <f aca="false">IF(C1425&gt;=K1425,"ja","nein")</f>
        <v>nein</v>
      </c>
      <c r="H1425" s="15" t="str">
        <f aca="false">IF(C1425&gt;=L1425,"ja","nein")</f>
        <v>nein</v>
      </c>
      <c r="I1425" s="15" t="str">
        <f aca="false">IF(C1425&gt;=M1425,"ja","nein")</f>
        <v>nein</v>
      </c>
      <c r="J1425" s="15" t="n">
        <f aca="false">ROUND(Annahmen!$K$35*(1+Annahmen!$B$20*D1425/1000),0)</f>
        <v>852</v>
      </c>
      <c r="K1425" s="15" t="n">
        <f aca="false">ROUND(Annahmen!$K$36*(1+Annahmen!$B$20*D1425/1000),0)</f>
        <v>1107</v>
      </c>
      <c r="L1425" s="15" t="n">
        <f aca="false">ROUND(Annahmen!$K$37*(1+Annahmen!$B$20*D1425/1000),0)</f>
        <v>1131</v>
      </c>
      <c r="M1425" s="15" t="n">
        <f aca="false">ROUND(Annahmen!$K$38*(1+Annahmen!$B$20*D1425/1000),0)</f>
        <v>1131</v>
      </c>
      <c r="N1425" s="16" t="s">
        <v>102</v>
      </c>
    </row>
    <row r="1426" customFormat="false" ht="15" hidden="false" customHeight="false" outlineLevel="0" collapsed="false">
      <c r="A1426" s="13" t="s">
        <v>2899</v>
      </c>
      <c r="B1426" s="14" t="s">
        <v>2900</v>
      </c>
      <c r="C1426" s="15" t="n">
        <v>914</v>
      </c>
      <c r="D1426" s="15" t="n">
        <v>121</v>
      </c>
      <c r="E1426" s="13" t="s">
        <v>82</v>
      </c>
      <c r="F1426" s="15" t="str">
        <f aca="false">IF(C1426&gt;=J1426,"ja","nein")</f>
        <v>ja</v>
      </c>
      <c r="G1426" s="15" t="str">
        <f aca="false">IF(C1426&gt;=K1426,"ja","nein")</f>
        <v>nein</v>
      </c>
      <c r="H1426" s="15" t="str">
        <f aca="false">IF(C1426&gt;=L1426,"ja","nein")</f>
        <v>nein</v>
      </c>
      <c r="I1426" s="15" t="str">
        <f aca="false">IF(C1426&gt;=M1426,"ja","nein")</f>
        <v>nein</v>
      </c>
      <c r="J1426" s="15" t="n">
        <f aca="false">ROUND(Annahmen!$K$35*(1+Annahmen!$B$20*D1426/1000),0)</f>
        <v>849</v>
      </c>
      <c r="K1426" s="15" t="n">
        <f aca="false">ROUND(Annahmen!$K$36*(1+Annahmen!$B$20*D1426/1000),0)</f>
        <v>1103</v>
      </c>
      <c r="L1426" s="15" t="n">
        <f aca="false">ROUND(Annahmen!$K$37*(1+Annahmen!$B$20*D1426/1000),0)</f>
        <v>1127</v>
      </c>
      <c r="M1426" s="15" t="n">
        <f aca="false">ROUND(Annahmen!$K$38*(1+Annahmen!$B$20*D1426/1000),0)</f>
        <v>1127</v>
      </c>
      <c r="N1426" s="16" t="s">
        <v>102</v>
      </c>
    </row>
    <row r="1427" customFormat="false" ht="15" hidden="false" customHeight="false" outlineLevel="0" collapsed="false">
      <c r="A1427" s="13" t="s">
        <v>2901</v>
      </c>
      <c r="B1427" s="14" t="s">
        <v>2902</v>
      </c>
      <c r="C1427" s="15" t="n">
        <v>900</v>
      </c>
      <c r="D1427" s="15" t="n">
        <v>276</v>
      </c>
      <c r="E1427" s="13" t="s">
        <v>82</v>
      </c>
      <c r="F1427" s="15" t="str">
        <f aca="false">IF(C1427&gt;=J1427,"ja","nein")</f>
        <v>ja</v>
      </c>
      <c r="G1427" s="15" t="str">
        <f aca="false">IF(C1427&gt;=K1427,"ja","nein")</f>
        <v>nein</v>
      </c>
      <c r="H1427" s="15" t="str">
        <f aca="false">IF(C1427&gt;=L1427,"ja","nein")</f>
        <v>nein</v>
      </c>
      <c r="I1427" s="15" t="str">
        <f aca="false">IF(C1427&gt;=M1427,"ja","nein")</f>
        <v>nein</v>
      </c>
      <c r="J1427" s="15" t="n">
        <f aca="false">ROUND(Annahmen!$K$35*(1+Annahmen!$B$20*D1427/1000),0)</f>
        <v>861</v>
      </c>
      <c r="K1427" s="15" t="n">
        <f aca="false">ROUND(Annahmen!$K$36*(1+Annahmen!$B$20*D1427/1000),0)</f>
        <v>1118</v>
      </c>
      <c r="L1427" s="15" t="n">
        <f aca="false">ROUND(Annahmen!$K$37*(1+Annahmen!$B$20*D1427/1000),0)</f>
        <v>1143</v>
      </c>
      <c r="M1427" s="15" t="n">
        <f aca="false">ROUND(Annahmen!$K$38*(1+Annahmen!$B$20*D1427/1000),0)</f>
        <v>1143</v>
      </c>
      <c r="N1427" s="16" t="s">
        <v>102</v>
      </c>
    </row>
    <row r="1428" customFormat="false" ht="15" hidden="false" customHeight="false" outlineLevel="0" collapsed="false">
      <c r="A1428" s="13" t="s">
        <v>2903</v>
      </c>
      <c r="B1428" s="14" t="s">
        <v>2904</v>
      </c>
      <c r="C1428" s="15" t="n">
        <v>853</v>
      </c>
      <c r="D1428" s="15" t="n">
        <v>397</v>
      </c>
      <c r="E1428" s="13" t="s">
        <v>82</v>
      </c>
      <c r="F1428" s="15" t="str">
        <f aca="false">IF(C1428&gt;=J1428,"ja","nein")</f>
        <v>nein</v>
      </c>
      <c r="G1428" s="15" t="str">
        <f aca="false">IF(C1428&gt;=K1428,"ja","nein")</f>
        <v>nein</v>
      </c>
      <c r="H1428" s="15" t="str">
        <f aca="false">IF(C1428&gt;=L1428,"ja","nein")</f>
        <v>nein</v>
      </c>
      <c r="I1428" s="15" t="str">
        <f aca="false">IF(C1428&gt;=M1428,"ja","nein")</f>
        <v>nein</v>
      </c>
      <c r="J1428" s="15" t="n">
        <f aca="false">ROUND(Annahmen!$K$35*(1+Annahmen!$B$20*D1428/1000),0)</f>
        <v>870</v>
      </c>
      <c r="K1428" s="15" t="n">
        <f aca="false">ROUND(Annahmen!$K$36*(1+Annahmen!$B$20*D1428/1000),0)</f>
        <v>1130</v>
      </c>
      <c r="L1428" s="15" t="n">
        <f aca="false">ROUND(Annahmen!$K$37*(1+Annahmen!$B$20*D1428/1000),0)</f>
        <v>1155</v>
      </c>
      <c r="M1428" s="15" t="n">
        <f aca="false">ROUND(Annahmen!$K$38*(1+Annahmen!$B$20*D1428/1000),0)</f>
        <v>1155</v>
      </c>
      <c r="N1428" s="16" t="s">
        <v>102</v>
      </c>
    </row>
    <row r="1429" customFormat="false" ht="15" hidden="false" customHeight="false" outlineLevel="0" collapsed="false">
      <c r="A1429" s="13" t="s">
        <v>2905</v>
      </c>
      <c r="B1429" s="14" t="s">
        <v>2906</v>
      </c>
      <c r="C1429" s="15" t="n">
        <v>836</v>
      </c>
      <c r="D1429" s="15" t="n">
        <v>318</v>
      </c>
      <c r="E1429" s="13" t="s">
        <v>82</v>
      </c>
      <c r="F1429" s="15" t="str">
        <f aca="false">IF(C1429&gt;=J1429,"ja","nein")</f>
        <v>nein</v>
      </c>
      <c r="G1429" s="15" t="str">
        <f aca="false">IF(C1429&gt;=K1429,"ja","nein")</f>
        <v>nein</v>
      </c>
      <c r="H1429" s="15" t="str">
        <f aca="false">IF(C1429&gt;=L1429,"ja","nein")</f>
        <v>nein</v>
      </c>
      <c r="I1429" s="15" t="str">
        <f aca="false">IF(C1429&gt;=M1429,"ja","nein")</f>
        <v>nein</v>
      </c>
      <c r="J1429" s="15" t="n">
        <f aca="false">ROUND(Annahmen!$K$35*(1+Annahmen!$B$20*D1429/1000),0)</f>
        <v>864</v>
      </c>
      <c r="K1429" s="15" t="n">
        <f aca="false">ROUND(Annahmen!$K$36*(1+Annahmen!$B$20*D1429/1000),0)</f>
        <v>1122</v>
      </c>
      <c r="L1429" s="15" t="n">
        <f aca="false">ROUND(Annahmen!$K$37*(1+Annahmen!$B$20*D1429/1000),0)</f>
        <v>1147</v>
      </c>
      <c r="M1429" s="15" t="n">
        <f aca="false">ROUND(Annahmen!$K$38*(1+Annahmen!$B$20*D1429/1000),0)</f>
        <v>1147</v>
      </c>
      <c r="N1429" s="16" t="s">
        <v>102</v>
      </c>
    </row>
    <row r="1430" customFormat="false" ht="15" hidden="false" customHeight="false" outlineLevel="0" collapsed="false">
      <c r="A1430" s="13" t="s">
        <v>2907</v>
      </c>
      <c r="B1430" s="14" t="s">
        <v>2908</v>
      </c>
      <c r="C1430" s="15" t="n">
        <v>827</v>
      </c>
      <c r="D1430" s="15" t="n">
        <v>53</v>
      </c>
      <c r="E1430" s="13" t="s">
        <v>82</v>
      </c>
      <c r="F1430" s="15" t="str">
        <f aca="false">IF(C1430&gt;=J1430,"ja","nein")</f>
        <v>nein</v>
      </c>
      <c r="G1430" s="15" t="str">
        <f aca="false">IF(C1430&gt;=K1430,"ja","nein")</f>
        <v>nein</v>
      </c>
      <c r="H1430" s="15" t="str">
        <f aca="false">IF(C1430&gt;=L1430,"ja","nein")</f>
        <v>nein</v>
      </c>
      <c r="I1430" s="15" t="str">
        <f aca="false">IF(C1430&gt;=M1430,"ja","nein")</f>
        <v>nein</v>
      </c>
      <c r="J1430" s="15" t="n">
        <f aca="false">ROUND(Annahmen!$K$35*(1+Annahmen!$B$20*D1430/1000),0)</f>
        <v>844</v>
      </c>
      <c r="K1430" s="15" t="n">
        <f aca="false">ROUND(Annahmen!$K$36*(1+Annahmen!$B$20*D1430/1000),0)</f>
        <v>1096</v>
      </c>
      <c r="L1430" s="15" t="n">
        <f aca="false">ROUND(Annahmen!$K$37*(1+Annahmen!$B$20*D1430/1000),0)</f>
        <v>1120</v>
      </c>
      <c r="M1430" s="15" t="n">
        <f aca="false">ROUND(Annahmen!$K$38*(1+Annahmen!$B$20*D1430/1000),0)</f>
        <v>1120</v>
      </c>
      <c r="N1430" s="16" t="s">
        <v>102</v>
      </c>
    </row>
    <row r="1431" customFormat="false" ht="15" hidden="false" customHeight="false" outlineLevel="0" collapsed="false">
      <c r="A1431" s="13" t="s">
        <v>2909</v>
      </c>
      <c r="B1431" s="14" t="s">
        <v>2910</v>
      </c>
      <c r="C1431" s="15" t="n">
        <v>821</v>
      </c>
      <c r="D1431" s="15" t="n">
        <v>45</v>
      </c>
      <c r="E1431" s="13" t="s">
        <v>82</v>
      </c>
      <c r="F1431" s="15" t="str">
        <f aca="false">IF(C1431&gt;=J1431,"ja","nein")</f>
        <v>nein</v>
      </c>
      <c r="G1431" s="15" t="str">
        <f aca="false">IF(C1431&gt;=K1431,"ja","nein")</f>
        <v>nein</v>
      </c>
      <c r="H1431" s="15" t="str">
        <f aca="false">IF(C1431&gt;=L1431,"ja","nein")</f>
        <v>nein</v>
      </c>
      <c r="I1431" s="15" t="str">
        <f aca="false">IF(C1431&gt;=M1431,"ja","nein")</f>
        <v>nein</v>
      </c>
      <c r="J1431" s="15" t="n">
        <f aca="false">ROUND(Annahmen!$K$35*(1+Annahmen!$B$20*D1431/1000),0)</f>
        <v>843</v>
      </c>
      <c r="K1431" s="15" t="n">
        <f aca="false">ROUND(Annahmen!$K$36*(1+Annahmen!$B$20*D1431/1000),0)</f>
        <v>1095</v>
      </c>
      <c r="L1431" s="15" t="n">
        <f aca="false">ROUND(Annahmen!$K$37*(1+Annahmen!$B$20*D1431/1000),0)</f>
        <v>1120</v>
      </c>
      <c r="M1431" s="15" t="n">
        <f aca="false">ROUND(Annahmen!$K$38*(1+Annahmen!$B$20*D1431/1000),0)</f>
        <v>1120</v>
      </c>
      <c r="N1431" s="16" t="s">
        <v>102</v>
      </c>
    </row>
    <row r="1432" customFormat="false" ht="15" hidden="false" customHeight="false" outlineLevel="0" collapsed="false">
      <c r="A1432" s="13" t="s">
        <v>2911</v>
      </c>
      <c r="B1432" s="14" t="s">
        <v>2912</v>
      </c>
      <c r="C1432" s="15" t="n">
        <v>820</v>
      </c>
      <c r="D1432" s="15" t="n">
        <v>58</v>
      </c>
      <c r="E1432" s="13" t="s">
        <v>82</v>
      </c>
      <c r="F1432" s="15" t="str">
        <f aca="false">IF(C1432&gt;=J1432,"ja","nein")</f>
        <v>nein</v>
      </c>
      <c r="G1432" s="15" t="str">
        <f aca="false">IF(C1432&gt;=K1432,"ja","nein")</f>
        <v>nein</v>
      </c>
      <c r="H1432" s="15" t="str">
        <f aca="false">IF(C1432&gt;=L1432,"ja","nein")</f>
        <v>nein</v>
      </c>
      <c r="I1432" s="15" t="str">
        <f aca="false">IF(C1432&gt;=M1432,"ja","nein")</f>
        <v>nein</v>
      </c>
      <c r="J1432" s="15" t="n">
        <f aca="false">ROUND(Annahmen!$K$35*(1+Annahmen!$B$20*D1432/1000),0)</f>
        <v>844</v>
      </c>
      <c r="K1432" s="15" t="n">
        <f aca="false">ROUND(Annahmen!$K$36*(1+Annahmen!$B$20*D1432/1000),0)</f>
        <v>1097</v>
      </c>
      <c r="L1432" s="15" t="n">
        <f aca="false">ROUND(Annahmen!$K$37*(1+Annahmen!$B$20*D1432/1000),0)</f>
        <v>1121</v>
      </c>
      <c r="M1432" s="15" t="n">
        <f aca="false">ROUND(Annahmen!$K$38*(1+Annahmen!$B$20*D1432/1000),0)</f>
        <v>1121</v>
      </c>
      <c r="N1432" s="16" t="s">
        <v>102</v>
      </c>
    </row>
    <row r="1433" customFormat="false" ht="15" hidden="false" customHeight="false" outlineLevel="0" collapsed="false">
      <c r="A1433" s="13" t="s">
        <v>2913</v>
      </c>
      <c r="B1433" s="14" t="s">
        <v>2914</v>
      </c>
      <c r="C1433" s="15" t="n">
        <v>820</v>
      </c>
      <c r="D1433" s="15" t="n">
        <v>350</v>
      </c>
      <c r="E1433" s="13" t="s">
        <v>82</v>
      </c>
      <c r="F1433" s="15" t="str">
        <f aca="false">IF(C1433&gt;=J1433,"ja","nein")</f>
        <v>nein</v>
      </c>
      <c r="G1433" s="15" t="str">
        <f aca="false">IF(C1433&gt;=K1433,"ja","nein")</f>
        <v>nein</v>
      </c>
      <c r="H1433" s="15" t="str">
        <f aca="false">IF(C1433&gt;=L1433,"ja","nein")</f>
        <v>nein</v>
      </c>
      <c r="I1433" s="15" t="str">
        <f aca="false">IF(C1433&gt;=M1433,"ja","nein")</f>
        <v>nein</v>
      </c>
      <c r="J1433" s="15" t="n">
        <f aca="false">ROUND(Annahmen!$K$35*(1+Annahmen!$B$20*D1433/1000),0)</f>
        <v>866</v>
      </c>
      <c r="K1433" s="15" t="n">
        <f aca="false">ROUND(Annahmen!$K$36*(1+Annahmen!$B$20*D1433/1000),0)</f>
        <v>1125</v>
      </c>
      <c r="L1433" s="15" t="n">
        <f aca="false">ROUND(Annahmen!$K$37*(1+Annahmen!$B$20*D1433/1000),0)</f>
        <v>1150</v>
      </c>
      <c r="M1433" s="15" t="n">
        <f aca="false">ROUND(Annahmen!$K$38*(1+Annahmen!$B$20*D1433/1000),0)</f>
        <v>1150</v>
      </c>
      <c r="N1433" s="16" t="s">
        <v>102</v>
      </c>
    </row>
    <row r="1434" customFormat="false" ht="15" hidden="false" customHeight="false" outlineLevel="0" collapsed="false">
      <c r="A1434" s="13" t="s">
        <v>2915</v>
      </c>
      <c r="B1434" s="14" t="s">
        <v>2916</v>
      </c>
      <c r="C1434" s="15" t="n">
        <v>813</v>
      </c>
      <c r="D1434" s="15" t="n">
        <v>80</v>
      </c>
      <c r="E1434" s="13" t="s">
        <v>82</v>
      </c>
      <c r="F1434" s="15" t="str">
        <f aca="false">IF(C1434&gt;=J1434,"ja","nein")</f>
        <v>nein</v>
      </c>
      <c r="G1434" s="15" t="str">
        <f aca="false">IF(C1434&gt;=K1434,"ja","nein")</f>
        <v>nein</v>
      </c>
      <c r="H1434" s="15" t="str">
        <f aca="false">IF(C1434&gt;=L1434,"ja","nein")</f>
        <v>nein</v>
      </c>
      <c r="I1434" s="15" t="str">
        <f aca="false">IF(C1434&gt;=M1434,"ja","nein")</f>
        <v>nein</v>
      </c>
      <c r="J1434" s="15" t="n">
        <f aca="false">ROUND(Annahmen!$K$35*(1+Annahmen!$B$20*D1434/1000),0)</f>
        <v>846</v>
      </c>
      <c r="K1434" s="15" t="n">
        <f aca="false">ROUND(Annahmen!$K$36*(1+Annahmen!$B$20*D1434/1000),0)</f>
        <v>1099</v>
      </c>
      <c r="L1434" s="15" t="n">
        <f aca="false">ROUND(Annahmen!$K$37*(1+Annahmen!$B$20*D1434/1000),0)</f>
        <v>1123</v>
      </c>
      <c r="M1434" s="15" t="n">
        <f aca="false">ROUND(Annahmen!$K$38*(1+Annahmen!$B$20*D1434/1000),0)</f>
        <v>1123</v>
      </c>
      <c r="N1434" s="16" t="s">
        <v>102</v>
      </c>
    </row>
    <row r="1435" customFormat="false" ht="15" hidden="false" customHeight="false" outlineLevel="0" collapsed="false">
      <c r="A1435" s="13" t="s">
        <v>2917</v>
      </c>
      <c r="B1435" s="14" t="s">
        <v>2918</v>
      </c>
      <c r="C1435" s="15" t="n">
        <v>799</v>
      </c>
      <c r="D1435" s="15" t="n">
        <v>275</v>
      </c>
      <c r="E1435" s="13" t="s">
        <v>82</v>
      </c>
      <c r="F1435" s="15" t="str">
        <f aca="false">IF(C1435&gt;=J1435,"ja","nein")</f>
        <v>nein</v>
      </c>
      <c r="G1435" s="15" t="str">
        <f aca="false">IF(C1435&gt;=K1435,"ja","nein")</f>
        <v>nein</v>
      </c>
      <c r="H1435" s="15" t="str">
        <f aca="false">IF(C1435&gt;=L1435,"ja","nein")</f>
        <v>nein</v>
      </c>
      <c r="I1435" s="15" t="str">
        <f aca="false">IF(C1435&gt;=M1435,"ja","nein")</f>
        <v>nein</v>
      </c>
      <c r="J1435" s="15" t="n">
        <f aca="false">ROUND(Annahmen!$K$35*(1+Annahmen!$B$20*D1435/1000),0)</f>
        <v>861</v>
      </c>
      <c r="K1435" s="15" t="n">
        <f aca="false">ROUND(Annahmen!$K$36*(1+Annahmen!$B$20*D1435/1000),0)</f>
        <v>1118</v>
      </c>
      <c r="L1435" s="15" t="n">
        <f aca="false">ROUND(Annahmen!$K$37*(1+Annahmen!$B$20*D1435/1000),0)</f>
        <v>1143</v>
      </c>
      <c r="M1435" s="15" t="n">
        <f aca="false">ROUND(Annahmen!$K$38*(1+Annahmen!$B$20*D1435/1000),0)</f>
        <v>1143</v>
      </c>
      <c r="N1435" s="16" t="s">
        <v>102</v>
      </c>
    </row>
    <row r="1436" customFormat="false" ht="15" hidden="false" customHeight="false" outlineLevel="0" collapsed="false">
      <c r="A1436" s="13" t="s">
        <v>2919</v>
      </c>
      <c r="B1436" s="14" t="s">
        <v>2920</v>
      </c>
      <c r="C1436" s="15" t="n">
        <v>798</v>
      </c>
      <c r="D1436" s="15" t="n">
        <v>194</v>
      </c>
      <c r="E1436" s="13" t="s">
        <v>82</v>
      </c>
      <c r="F1436" s="15" t="str">
        <f aca="false">IF(C1436&gt;=J1436,"ja","nein")</f>
        <v>nein</v>
      </c>
      <c r="G1436" s="15" t="str">
        <f aca="false">IF(C1436&gt;=K1436,"ja","nein")</f>
        <v>nein</v>
      </c>
      <c r="H1436" s="15" t="str">
        <f aca="false">IF(C1436&gt;=L1436,"ja","nein")</f>
        <v>nein</v>
      </c>
      <c r="I1436" s="15" t="str">
        <f aca="false">IF(C1436&gt;=M1436,"ja","nein")</f>
        <v>nein</v>
      </c>
      <c r="J1436" s="15" t="n">
        <f aca="false">ROUND(Annahmen!$K$35*(1+Annahmen!$B$20*D1436/1000),0)</f>
        <v>855</v>
      </c>
      <c r="K1436" s="15" t="n">
        <f aca="false">ROUND(Annahmen!$K$36*(1+Annahmen!$B$20*D1436/1000),0)</f>
        <v>1110</v>
      </c>
      <c r="L1436" s="15" t="n">
        <f aca="false">ROUND(Annahmen!$K$37*(1+Annahmen!$B$20*D1436/1000),0)</f>
        <v>1134</v>
      </c>
      <c r="M1436" s="15" t="n">
        <f aca="false">ROUND(Annahmen!$K$38*(1+Annahmen!$B$20*D1436/1000),0)</f>
        <v>1134</v>
      </c>
      <c r="N1436" s="16" t="s">
        <v>102</v>
      </c>
    </row>
    <row r="1437" customFormat="false" ht="15" hidden="false" customHeight="false" outlineLevel="0" collapsed="false">
      <c r="A1437" s="13" t="s">
        <v>2921</v>
      </c>
      <c r="B1437" s="14" t="s">
        <v>2922</v>
      </c>
      <c r="C1437" s="15" t="n">
        <v>797</v>
      </c>
      <c r="D1437" s="15" t="n">
        <v>15</v>
      </c>
      <c r="E1437" s="13" t="s">
        <v>82</v>
      </c>
      <c r="F1437" s="15" t="str">
        <f aca="false">IF(C1437&gt;=J1437,"ja","nein")</f>
        <v>nein</v>
      </c>
      <c r="G1437" s="15" t="str">
        <f aca="false">IF(C1437&gt;=K1437,"ja","nein")</f>
        <v>nein</v>
      </c>
      <c r="H1437" s="15" t="str">
        <f aca="false">IF(C1437&gt;=L1437,"ja","nein")</f>
        <v>nein</v>
      </c>
      <c r="I1437" s="15" t="str">
        <f aca="false">IF(C1437&gt;=M1437,"ja","nein")</f>
        <v>nein</v>
      </c>
      <c r="J1437" s="15" t="n">
        <f aca="false">ROUND(Annahmen!$K$35*(1+Annahmen!$B$20*D1437/1000),0)</f>
        <v>841</v>
      </c>
      <c r="K1437" s="15" t="n">
        <f aca="false">ROUND(Annahmen!$K$36*(1+Annahmen!$B$20*D1437/1000),0)</f>
        <v>1092</v>
      </c>
      <c r="L1437" s="15" t="n">
        <f aca="false">ROUND(Annahmen!$K$37*(1+Annahmen!$B$20*D1437/1000),0)</f>
        <v>1117</v>
      </c>
      <c r="M1437" s="15" t="n">
        <f aca="false">ROUND(Annahmen!$K$38*(1+Annahmen!$B$20*D1437/1000),0)</f>
        <v>1117</v>
      </c>
      <c r="N1437" s="16" t="s">
        <v>102</v>
      </c>
    </row>
    <row r="1438" customFormat="false" ht="15" hidden="false" customHeight="false" outlineLevel="0" collapsed="false">
      <c r="A1438" s="13" t="s">
        <v>2923</v>
      </c>
      <c r="B1438" s="14" t="s">
        <v>2924</v>
      </c>
      <c r="C1438" s="15" t="n">
        <v>784</v>
      </c>
      <c r="D1438" s="15" t="n">
        <v>398</v>
      </c>
      <c r="E1438" s="13" t="s">
        <v>82</v>
      </c>
      <c r="F1438" s="15" t="str">
        <f aca="false">IF(C1438&gt;=J1438,"ja","nein")</f>
        <v>nein</v>
      </c>
      <c r="G1438" s="15" t="str">
        <f aca="false">IF(C1438&gt;=K1438,"ja","nein")</f>
        <v>nein</v>
      </c>
      <c r="H1438" s="15" t="str">
        <f aca="false">IF(C1438&gt;=L1438,"ja","nein")</f>
        <v>nein</v>
      </c>
      <c r="I1438" s="15" t="str">
        <f aca="false">IF(C1438&gt;=M1438,"ja","nein")</f>
        <v>nein</v>
      </c>
      <c r="J1438" s="15" t="n">
        <f aca="false">ROUND(Annahmen!$K$35*(1+Annahmen!$B$20*D1438/1000),0)</f>
        <v>870</v>
      </c>
      <c r="K1438" s="15" t="n">
        <f aca="false">ROUND(Annahmen!$K$36*(1+Annahmen!$B$20*D1438/1000),0)</f>
        <v>1130</v>
      </c>
      <c r="L1438" s="15" t="n">
        <f aca="false">ROUND(Annahmen!$K$37*(1+Annahmen!$B$20*D1438/1000),0)</f>
        <v>1155</v>
      </c>
      <c r="M1438" s="15" t="n">
        <f aca="false">ROUND(Annahmen!$K$38*(1+Annahmen!$B$20*D1438/1000),0)</f>
        <v>1155</v>
      </c>
      <c r="N1438" s="16" t="s">
        <v>102</v>
      </c>
    </row>
    <row r="1439" customFormat="false" ht="15" hidden="false" customHeight="false" outlineLevel="0" collapsed="false">
      <c r="A1439" s="13" t="s">
        <v>2925</v>
      </c>
      <c r="B1439" s="14" t="s">
        <v>2926</v>
      </c>
      <c r="C1439" s="15" t="n">
        <v>778</v>
      </c>
      <c r="D1439" s="15" t="n">
        <v>226</v>
      </c>
      <c r="E1439" s="13" t="s">
        <v>82</v>
      </c>
      <c r="F1439" s="15" t="str">
        <f aca="false">IF(C1439&gt;=J1439,"ja","nein")</f>
        <v>nein</v>
      </c>
      <c r="G1439" s="15" t="str">
        <f aca="false">IF(C1439&gt;=K1439,"ja","nein")</f>
        <v>nein</v>
      </c>
      <c r="H1439" s="15" t="str">
        <f aca="false">IF(C1439&gt;=L1439,"ja","nein")</f>
        <v>nein</v>
      </c>
      <c r="I1439" s="15" t="str">
        <f aca="false">IF(C1439&gt;=M1439,"ja","nein")</f>
        <v>nein</v>
      </c>
      <c r="J1439" s="15" t="n">
        <f aca="false">ROUND(Annahmen!$K$35*(1+Annahmen!$B$20*D1439/1000),0)</f>
        <v>857</v>
      </c>
      <c r="K1439" s="15" t="n">
        <f aca="false">ROUND(Annahmen!$K$36*(1+Annahmen!$B$20*D1439/1000),0)</f>
        <v>1113</v>
      </c>
      <c r="L1439" s="15" t="n">
        <f aca="false">ROUND(Annahmen!$K$37*(1+Annahmen!$B$20*D1439/1000),0)</f>
        <v>1138</v>
      </c>
      <c r="M1439" s="15" t="n">
        <f aca="false">ROUND(Annahmen!$K$38*(1+Annahmen!$B$20*D1439/1000),0)</f>
        <v>1138</v>
      </c>
      <c r="N1439" s="16" t="s">
        <v>102</v>
      </c>
    </row>
    <row r="1440" customFormat="false" ht="15" hidden="false" customHeight="false" outlineLevel="0" collapsed="false">
      <c r="A1440" s="13" t="s">
        <v>2927</v>
      </c>
      <c r="B1440" s="14" t="s">
        <v>2928</v>
      </c>
      <c r="C1440" s="15" t="n">
        <v>775</v>
      </c>
      <c r="D1440" s="15" t="n">
        <v>249</v>
      </c>
      <c r="E1440" s="13" t="s">
        <v>82</v>
      </c>
      <c r="F1440" s="15" t="str">
        <f aca="false">IF(C1440&gt;=J1440,"ja","nein")</f>
        <v>nein</v>
      </c>
      <c r="G1440" s="15" t="str">
        <f aca="false">IF(C1440&gt;=K1440,"ja","nein")</f>
        <v>nein</v>
      </c>
      <c r="H1440" s="15" t="str">
        <f aca="false">IF(C1440&gt;=L1440,"ja","nein")</f>
        <v>nein</v>
      </c>
      <c r="I1440" s="15" t="str">
        <f aca="false">IF(C1440&gt;=M1440,"ja","nein")</f>
        <v>nein</v>
      </c>
      <c r="J1440" s="15" t="n">
        <f aca="false">ROUND(Annahmen!$K$35*(1+Annahmen!$B$20*D1440/1000),0)</f>
        <v>859</v>
      </c>
      <c r="K1440" s="15" t="n">
        <f aca="false">ROUND(Annahmen!$K$36*(1+Annahmen!$B$20*D1440/1000),0)</f>
        <v>1115</v>
      </c>
      <c r="L1440" s="15" t="n">
        <f aca="false">ROUND(Annahmen!$K$37*(1+Annahmen!$B$20*D1440/1000),0)</f>
        <v>1140</v>
      </c>
      <c r="M1440" s="15" t="n">
        <f aca="false">ROUND(Annahmen!$K$38*(1+Annahmen!$B$20*D1440/1000),0)</f>
        <v>1140</v>
      </c>
      <c r="N1440" s="16" t="s">
        <v>102</v>
      </c>
    </row>
    <row r="1441" customFormat="false" ht="15" hidden="false" customHeight="false" outlineLevel="0" collapsed="false">
      <c r="A1441" s="13" t="s">
        <v>2929</v>
      </c>
      <c r="B1441" s="14" t="s">
        <v>2930</v>
      </c>
      <c r="C1441" s="15" t="n">
        <v>771</v>
      </c>
      <c r="D1441" s="15" t="n">
        <v>24</v>
      </c>
      <c r="E1441" s="13" t="s">
        <v>82</v>
      </c>
      <c r="F1441" s="15" t="str">
        <f aca="false">IF(C1441&gt;=J1441,"ja","nein")</f>
        <v>nein</v>
      </c>
      <c r="G1441" s="15" t="str">
        <f aca="false">IF(C1441&gt;=K1441,"ja","nein")</f>
        <v>nein</v>
      </c>
      <c r="H1441" s="15" t="str">
        <f aca="false">IF(C1441&gt;=L1441,"ja","nein")</f>
        <v>nein</v>
      </c>
      <c r="I1441" s="15" t="str">
        <f aca="false">IF(C1441&gt;=M1441,"ja","nein")</f>
        <v>nein</v>
      </c>
      <c r="J1441" s="15" t="n">
        <f aca="false">ROUND(Annahmen!$K$35*(1+Annahmen!$B$20*D1441/1000),0)</f>
        <v>842</v>
      </c>
      <c r="K1441" s="15" t="n">
        <f aca="false">ROUND(Annahmen!$K$36*(1+Annahmen!$B$20*D1441/1000),0)</f>
        <v>1093</v>
      </c>
      <c r="L1441" s="15" t="n">
        <f aca="false">ROUND(Annahmen!$K$37*(1+Annahmen!$B$20*D1441/1000),0)</f>
        <v>1117</v>
      </c>
      <c r="M1441" s="15" t="n">
        <f aca="false">ROUND(Annahmen!$K$38*(1+Annahmen!$B$20*D1441/1000),0)</f>
        <v>1117</v>
      </c>
      <c r="N1441" s="16" t="s">
        <v>102</v>
      </c>
    </row>
    <row r="1442" customFormat="false" ht="15" hidden="false" customHeight="false" outlineLevel="0" collapsed="false">
      <c r="A1442" s="13" t="s">
        <v>2931</v>
      </c>
      <c r="B1442" s="14" t="s">
        <v>2932</v>
      </c>
      <c r="C1442" s="15" t="n">
        <v>735</v>
      </c>
      <c r="D1442" s="15" t="n">
        <v>515</v>
      </c>
      <c r="E1442" s="13" t="s">
        <v>82</v>
      </c>
      <c r="F1442" s="15" t="str">
        <f aca="false">IF(C1442&gt;=J1442,"ja","nein")</f>
        <v>nein</v>
      </c>
      <c r="G1442" s="15" t="str">
        <f aca="false">IF(C1442&gt;=K1442,"ja","nein")</f>
        <v>nein</v>
      </c>
      <c r="H1442" s="15" t="str">
        <f aca="false">IF(C1442&gt;=L1442,"ja","nein")</f>
        <v>nein</v>
      </c>
      <c r="I1442" s="15" t="str">
        <f aca="false">IF(C1442&gt;=M1442,"ja","nein")</f>
        <v>nein</v>
      </c>
      <c r="J1442" s="15" t="n">
        <f aca="false">ROUND(Annahmen!$K$35*(1+Annahmen!$B$20*D1442/1000),0)</f>
        <v>879</v>
      </c>
      <c r="K1442" s="15" t="n">
        <f aca="false">ROUND(Annahmen!$K$36*(1+Annahmen!$B$20*D1442/1000),0)</f>
        <v>1142</v>
      </c>
      <c r="L1442" s="15" t="n">
        <f aca="false">ROUND(Annahmen!$K$37*(1+Annahmen!$B$20*D1442/1000),0)</f>
        <v>1167</v>
      </c>
      <c r="M1442" s="15" t="n">
        <f aca="false">ROUND(Annahmen!$K$38*(1+Annahmen!$B$20*D1442/1000),0)</f>
        <v>1167</v>
      </c>
      <c r="N1442" s="16" t="s">
        <v>102</v>
      </c>
    </row>
    <row r="1443" customFormat="false" ht="15" hidden="false" customHeight="false" outlineLevel="0" collapsed="false">
      <c r="A1443" s="13" t="s">
        <v>2933</v>
      </c>
      <c r="B1443" s="14" t="s">
        <v>2934</v>
      </c>
      <c r="C1443" s="15" t="n">
        <v>725</v>
      </c>
      <c r="D1443" s="15" t="n">
        <v>184</v>
      </c>
      <c r="E1443" s="13" t="s">
        <v>82</v>
      </c>
      <c r="F1443" s="15" t="str">
        <f aca="false">IF(C1443&gt;=J1443,"ja","nein")</f>
        <v>nein</v>
      </c>
      <c r="G1443" s="15" t="str">
        <f aca="false">IF(C1443&gt;=K1443,"ja","nein")</f>
        <v>nein</v>
      </c>
      <c r="H1443" s="15" t="str">
        <f aca="false">IF(C1443&gt;=L1443,"ja","nein")</f>
        <v>nein</v>
      </c>
      <c r="I1443" s="15" t="str">
        <f aca="false">IF(C1443&gt;=M1443,"ja","nein")</f>
        <v>nein</v>
      </c>
      <c r="J1443" s="15" t="n">
        <f aca="false">ROUND(Annahmen!$K$35*(1+Annahmen!$B$20*D1443/1000),0)</f>
        <v>854</v>
      </c>
      <c r="K1443" s="15" t="n">
        <f aca="false">ROUND(Annahmen!$K$36*(1+Annahmen!$B$20*D1443/1000),0)</f>
        <v>1109</v>
      </c>
      <c r="L1443" s="15" t="n">
        <f aca="false">ROUND(Annahmen!$K$37*(1+Annahmen!$B$20*D1443/1000),0)</f>
        <v>1133</v>
      </c>
      <c r="M1443" s="15" t="n">
        <f aca="false">ROUND(Annahmen!$K$38*(1+Annahmen!$B$20*D1443/1000),0)</f>
        <v>1133</v>
      </c>
      <c r="N1443" s="16" t="s">
        <v>102</v>
      </c>
    </row>
    <row r="1444" customFormat="false" ht="15" hidden="false" customHeight="false" outlineLevel="0" collapsed="false">
      <c r="A1444" s="13" t="s">
        <v>2935</v>
      </c>
      <c r="B1444" s="14" t="s">
        <v>2936</v>
      </c>
      <c r="C1444" s="15" t="n">
        <v>700</v>
      </c>
      <c r="D1444" s="15" t="n">
        <v>399</v>
      </c>
      <c r="E1444" s="13" t="s">
        <v>82</v>
      </c>
      <c r="F1444" s="15" t="str">
        <f aca="false">IF(C1444&gt;=J1444,"ja","nein")</f>
        <v>nein</v>
      </c>
      <c r="G1444" s="15" t="str">
        <f aca="false">IF(C1444&gt;=K1444,"ja","nein")</f>
        <v>nein</v>
      </c>
      <c r="H1444" s="15" t="str">
        <f aca="false">IF(C1444&gt;=L1444,"ja","nein")</f>
        <v>nein</v>
      </c>
      <c r="I1444" s="15" t="str">
        <f aca="false">IF(C1444&gt;=M1444,"ja","nein")</f>
        <v>nein</v>
      </c>
      <c r="J1444" s="15" t="n">
        <f aca="false">ROUND(Annahmen!$K$35*(1+Annahmen!$B$20*D1444/1000),0)</f>
        <v>870</v>
      </c>
      <c r="K1444" s="15" t="n">
        <f aca="false">ROUND(Annahmen!$K$36*(1+Annahmen!$B$20*D1444/1000),0)</f>
        <v>1130</v>
      </c>
      <c r="L1444" s="15" t="n">
        <f aca="false">ROUND(Annahmen!$K$37*(1+Annahmen!$B$20*D1444/1000),0)</f>
        <v>1155</v>
      </c>
      <c r="M1444" s="15" t="n">
        <f aca="false">ROUND(Annahmen!$K$38*(1+Annahmen!$B$20*D1444/1000),0)</f>
        <v>1155</v>
      </c>
      <c r="N1444" s="16" t="s">
        <v>102</v>
      </c>
    </row>
    <row r="1445" customFormat="false" ht="15" hidden="false" customHeight="false" outlineLevel="0" collapsed="false">
      <c r="A1445" s="13" t="s">
        <v>2937</v>
      </c>
      <c r="B1445" s="14" t="s">
        <v>2938</v>
      </c>
      <c r="C1445" s="15" t="n">
        <v>700</v>
      </c>
      <c r="D1445" s="15" t="n">
        <v>505</v>
      </c>
      <c r="E1445" s="13" t="s">
        <v>82</v>
      </c>
      <c r="F1445" s="15" t="str">
        <f aca="false">IF(C1445&gt;=J1445,"ja","nein")</f>
        <v>nein</v>
      </c>
      <c r="G1445" s="15" t="str">
        <f aca="false">IF(C1445&gt;=K1445,"ja","nein")</f>
        <v>nein</v>
      </c>
      <c r="H1445" s="15" t="str">
        <f aca="false">IF(C1445&gt;=L1445,"ja","nein")</f>
        <v>nein</v>
      </c>
      <c r="I1445" s="15" t="str">
        <f aca="false">IF(C1445&gt;=M1445,"ja","nein")</f>
        <v>nein</v>
      </c>
      <c r="J1445" s="15" t="n">
        <f aca="false">ROUND(Annahmen!$K$35*(1+Annahmen!$B$20*D1445/1000),0)</f>
        <v>878</v>
      </c>
      <c r="K1445" s="15" t="n">
        <f aca="false">ROUND(Annahmen!$K$36*(1+Annahmen!$B$20*D1445/1000),0)</f>
        <v>1141</v>
      </c>
      <c r="L1445" s="15" t="n">
        <f aca="false">ROUND(Annahmen!$K$37*(1+Annahmen!$B$20*D1445/1000),0)</f>
        <v>1166</v>
      </c>
      <c r="M1445" s="15" t="n">
        <f aca="false">ROUND(Annahmen!$K$38*(1+Annahmen!$B$20*D1445/1000),0)</f>
        <v>1166</v>
      </c>
      <c r="N1445" s="16" t="s">
        <v>102</v>
      </c>
    </row>
    <row r="1446" customFormat="false" ht="15" hidden="false" customHeight="false" outlineLevel="0" collapsed="false">
      <c r="A1446" s="13" t="s">
        <v>2939</v>
      </c>
      <c r="B1446" s="14" t="s">
        <v>2940</v>
      </c>
      <c r="C1446" s="15" t="n">
        <v>694</v>
      </c>
      <c r="D1446" s="15" t="n">
        <v>116</v>
      </c>
      <c r="E1446" s="13" t="s">
        <v>82</v>
      </c>
      <c r="F1446" s="15" t="str">
        <f aca="false">IF(C1446&gt;=J1446,"ja","nein")</f>
        <v>nein</v>
      </c>
      <c r="G1446" s="15" t="str">
        <f aca="false">IF(C1446&gt;=K1446,"ja","nein")</f>
        <v>nein</v>
      </c>
      <c r="H1446" s="15" t="str">
        <f aca="false">IF(C1446&gt;=L1446,"ja","nein")</f>
        <v>nein</v>
      </c>
      <c r="I1446" s="15" t="str">
        <f aca="false">IF(C1446&gt;=M1446,"ja","nein")</f>
        <v>nein</v>
      </c>
      <c r="J1446" s="15" t="n">
        <f aca="false">ROUND(Annahmen!$K$35*(1+Annahmen!$B$20*D1446/1000),0)</f>
        <v>849</v>
      </c>
      <c r="K1446" s="15" t="n">
        <f aca="false">ROUND(Annahmen!$K$36*(1+Annahmen!$B$20*D1446/1000),0)</f>
        <v>1102</v>
      </c>
      <c r="L1446" s="15" t="n">
        <f aca="false">ROUND(Annahmen!$K$37*(1+Annahmen!$B$20*D1446/1000),0)</f>
        <v>1127</v>
      </c>
      <c r="M1446" s="15" t="n">
        <f aca="false">ROUND(Annahmen!$K$38*(1+Annahmen!$B$20*D1446/1000),0)</f>
        <v>1127</v>
      </c>
      <c r="N1446" s="16" t="s">
        <v>102</v>
      </c>
    </row>
    <row r="1447" customFormat="false" ht="15" hidden="false" customHeight="false" outlineLevel="0" collapsed="false">
      <c r="A1447" s="13" t="s">
        <v>2941</v>
      </c>
      <c r="B1447" s="14" t="s">
        <v>2942</v>
      </c>
      <c r="C1447" s="15" t="n">
        <v>651</v>
      </c>
      <c r="D1447" s="15" t="n">
        <v>332</v>
      </c>
      <c r="E1447" s="13" t="s">
        <v>82</v>
      </c>
      <c r="F1447" s="15" t="str">
        <f aca="false">IF(C1447&gt;=J1447,"ja","nein")</f>
        <v>nein</v>
      </c>
      <c r="G1447" s="15" t="str">
        <f aca="false">IF(C1447&gt;=K1447,"ja","nein")</f>
        <v>nein</v>
      </c>
      <c r="H1447" s="15" t="str">
        <f aca="false">IF(C1447&gt;=L1447,"ja","nein")</f>
        <v>nein</v>
      </c>
      <c r="I1447" s="15" t="str">
        <f aca="false">IF(C1447&gt;=M1447,"ja","nein")</f>
        <v>nein</v>
      </c>
      <c r="J1447" s="15" t="n">
        <f aca="false">ROUND(Annahmen!$K$35*(1+Annahmen!$B$20*D1447/1000),0)</f>
        <v>865</v>
      </c>
      <c r="K1447" s="15" t="n">
        <f aca="false">ROUND(Annahmen!$K$36*(1+Annahmen!$B$20*D1447/1000),0)</f>
        <v>1124</v>
      </c>
      <c r="L1447" s="15" t="n">
        <f aca="false">ROUND(Annahmen!$K$37*(1+Annahmen!$B$20*D1447/1000),0)</f>
        <v>1148</v>
      </c>
      <c r="M1447" s="15" t="n">
        <f aca="false">ROUND(Annahmen!$K$38*(1+Annahmen!$B$20*D1447/1000),0)</f>
        <v>1148</v>
      </c>
      <c r="N1447" s="16" t="s">
        <v>102</v>
      </c>
    </row>
    <row r="1448" customFormat="false" ht="15" hidden="false" customHeight="false" outlineLevel="0" collapsed="false">
      <c r="A1448" s="13" t="s">
        <v>2943</v>
      </c>
      <c r="B1448" s="14" t="s">
        <v>2944</v>
      </c>
      <c r="C1448" s="15" t="n">
        <v>640</v>
      </c>
      <c r="D1448" s="15" t="n">
        <v>52</v>
      </c>
      <c r="E1448" s="13" t="s">
        <v>82</v>
      </c>
      <c r="F1448" s="15" t="str">
        <f aca="false">IF(C1448&gt;=J1448,"ja","nein")</f>
        <v>nein</v>
      </c>
      <c r="G1448" s="15" t="str">
        <f aca="false">IF(C1448&gt;=K1448,"ja","nein")</f>
        <v>nein</v>
      </c>
      <c r="H1448" s="15" t="str">
        <f aca="false">IF(C1448&gt;=L1448,"ja","nein")</f>
        <v>nein</v>
      </c>
      <c r="I1448" s="15" t="str">
        <f aca="false">IF(C1448&gt;=M1448,"ja","nein")</f>
        <v>nein</v>
      </c>
      <c r="J1448" s="15" t="n">
        <f aca="false">ROUND(Annahmen!$K$35*(1+Annahmen!$B$20*D1448/1000),0)</f>
        <v>844</v>
      </c>
      <c r="K1448" s="15" t="n">
        <f aca="false">ROUND(Annahmen!$K$36*(1+Annahmen!$B$20*D1448/1000),0)</f>
        <v>1096</v>
      </c>
      <c r="L1448" s="15" t="n">
        <f aca="false">ROUND(Annahmen!$K$37*(1+Annahmen!$B$20*D1448/1000),0)</f>
        <v>1120</v>
      </c>
      <c r="M1448" s="15" t="n">
        <f aca="false">ROUND(Annahmen!$K$38*(1+Annahmen!$B$20*D1448/1000),0)</f>
        <v>1120</v>
      </c>
      <c r="N1448" s="16" t="s">
        <v>102</v>
      </c>
    </row>
    <row r="1449" customFormat="false" ht="15" hidden="false" customHeight="false" outlineLevel="0" collapsed="false">
      <c r="A1449" s="13" t="s">
        <v>2945</v>
      </c>
      <c r="B1449" s="14" t="s">
        <v>2946</v>
      </c>
      <c r="C1449" s="15" t="n">
        <v>611</v>
      </c>
      <c r="D1449" s="15" t="n">
        <v>150</v>
      </c>
      <c r="E1449" s="13" t="s">
        <v>82</v>
      </c>
      <c r="F1449" s="15" t="str">
        <f aca="false">IF(C1449&gt;=J1449,"ja","nein")</f>
        <v>nein</v>
      </c>
      <c r="G1449" s="15" t="str">
        <f aca="false">IF(C1449&gt;=K1449,"ja","nein")</f>
        <v>nein</v>
      </c>
      <c r="H1449" s="15" t="str">
        <f aca="false">IF(C1449&gt;=L1449,"ja","nein")</f>
        <v>nein</v>
      </c>
      <c r="I1449" s="15" t="str">
        <f aca="false">IF(C1449&gt;=M1449,"ja","nein")</f>
        <v>nein</v>
      </c>
      <c r="J1449" s="15" t="n">
        <f aca="false">ROUND(Annahmen!$K$35*(1+Annahmen!$B$20*D1449/1000),0)</f>
        <v>851</v>
      </c>
      <c r="K1449" s="15" t="n">
        <f aca="false">ROUND(Annahmen!$K$36*(1+Annahmen!$B$20*D1449/1000),0)</f>
        <v>1106</v>
      </c>
      <c r="L1449" s="15" t="n">
        <f aca="false">ROUND(Annahmen!$K$37*(1+Annahmen!$B$20*D1449/1000),0)</f>
        <v>1130</v>
      </c>
      <c r="M1449" s="15" t="n">
        <f aca="false">ROUND(Annahmen!$K$38*(1+Annahmen!$B$20*D1449/1000),0)</f>
        <v>1130</v>
      </c>
      <c r="N1449" s="16" t="s">
        <v>102</v>
      </c>
    </row>
    <row r="1450" customFormat="false" ht="15" hidden="false" customHeight="false" outlineLevel="0" collapsed="false">
      <c r="A1450" s="13" t="s">
        <v>2947</v>
      </c>
      <c r="B1450" s="14" t="s">
        <v>2948</v>
      </c>
      <c r="C1450" s="15" t="n">
        <v>610</v>
      </c>
      <c r="D1450" s="15" t="n">
        <v>197</v>
      </c>
      <c r="E1450" s="13" t="s">
        <v>82</v>
      </c>
      <c r="F1450" s="15" t="str">
        <f aca="false">IF(C1450&gt;=J1450,"ja","nein")</f>
        <v>nein</v>
      </c>
      <c r="G1450" s="15" t="str">
        <f aca="false">IF(C1450&gt;=K1450,"ja","nein")</f>
        <v>nein</v>
      </c>
      <c r="H1450" s="15" t="str">
        <f aca="false">IF(C1450&gt;=L1450,"ja","nein")</f>
        <v>nein</v>
      </c>
      <c r="I1450" s="15" t="str">
        <f aca="false">IF(C1450&gt;=M1450,"ja","nein")</f>
        <v>nein</v>
      </c>
      <c r="J1450" s="15" t="n">
        <f aca="false">ROUND(Annahmen!$K$35*(1+Annahmen!$B$20*D1450/1000),0)</f>
        <v>855</v>
      </c>
      <c r="K1450" s="15" t="n">
        <f aca="false">ROUND(Annahmen!$K$36*(1+Annahmen!$B$20*D1450/1000),0)</f>
        <v>1110</v>
      </c>
      <c r="L1450" s="15" t="n">
        <f aca="false">ROUND(Annahmen!$K$37*(1+Annahmen!$B$20*D1450/1000),0)</f>
        <v>1135</v>
      </c>
      <c r="M1450" s="15" t="n">
        <f aca="false">ROUND(Annahmen!$K$38*(1+Annahmen!$B$20*D1450/1000),0)</f>
        <v>1135</v>
      </c>
      <c r="N1450" s="16" t="s">
        <v>102</v>
      </c>
    </row>
    <row r="1451" customFormat="false" ht="15" hidden="false" customHeight="false" outlineLevel="0" collapsed="false">
      <c r="A1451" s="13" t="s">
        <v>2949</v>
      </c>
      <c r="B1451" s="14" t="s">
        <v>2950</v>
      </c>
      <c r="C1451" s="15" t="n">
        <v>608</v>
      </c>
      <c r="D1451" s="15" t="n">
        <v>1</v>
      </c>
      <c r="E1451" s="13" t="s">
        <v>82</v>
      </c>
      <c r="F1451" s="15" t="str">
        <f aca="false">IF(C1451&gt;=J1451,"ja","nein")</f>
        <v>nein</v>
      </c>
      <c r="G1451" s="15" t="str">
        <f aca="false">IF(C1451&gt;=K1451,"ja","nein")</f>
        <v>nein</v>
      </c>
      <c r="H1451" s="15" t="str">
        <f aca="false">IF(C1451&gt;=L1451,"ja","nein")</f>
        <v>nein</v>
      </c>
      <c r="I1451" s="15" t="str">
        <f aca="false">IF(C1451&gt;=M1451,"ja","nein")</f>
        <v>nein</v>
      </c>
      <c r="J1451" s="15" t="n">
        <f aca="false">ROUND(Annahmen!$K$35*(1+Annahmen!$B$20*D1451/1000),0)</f>
        <v>840</v>
      </c>
      <c r="K1451" s="15" t="n">
        <f aca="false">ROUND(Annahmen!$K$36*(1+Annahmen!$B$20*D1451/1000),0)</f>
        <v>1091</v>
      </c>
      <c r="L1451" s="15" t="n">
        <f aca="false">ROUND(Annahmen!$K$37*(1+Annahmen!$B$20*D1451/1000),0)</f>
        <v>1115</v>
      </c>
      <c r="M1451" s="15" t="n">
        <f aca="false">ROUND(Annahmen!$K$38*(1+Annahmen!$B$20*D1451/1000),0)</f>
        <v>1115</v>
      </c>
      <c r="N1451" s="16" t="s">
        <v>102</v>
      </c>
    </row>
    <row r="1452" customFormat="false" ht="15" hidden="false" customHeight="false" outlineLevel="0" collapsed="false">
      <c r="A1452" s="13" t="s">
        <v>2951</v>
      </c>
      <c r="B1452" s="14" t="s">
        <v>2952</v>
      </c>
      <c r="C1452" s="15" t="n">
        <v>600</v>
      </c>
      <c r="D1452" s="15" t="n">
        <v>350</v>
      </c>
      <c r="E1452" s="13" t="s">
        <v>82</v>
      </c>
      <c r="F1452" s="15" t="str">
        <f aca="false">IF(C1452&gt;=J1452,"ja","nein")</f>
        <v>nein</v>
      </c>
      <c r="G1452" s="15" t="str">
        <f aca="false">IF(C1452&gt;=K1452,"ja","nein")</f>
        <v>nein</v>
      </c>
      <c r="H1452" s="15" t="str">
        <f aca="false">IF(C1452&gt;=L1452,"ja","nein")</f>
        <v>nein</v>
      </c>
      <c r="I1452" s="15" t="str">
        <f aca="false">IF(C1452&gt;=M1452,"ja","nein")</f>
        <v>nein</v>
      </c>
      <c r="J1452" s="15" t="n">
        <f aca="false">ROUND(Annahmen!$K$35*(1+Annahmen!$B$20*D1452/1000),0)</f>
        <v>866</v>
      </c>
      <c r="K1452" s="15" t="n">
        <f aca="false">ROUND(Annahmen!$K$36*(1+Annahmen!$B$20*D1452/1000),0)</f>
        <v>1125</v>
      </c>
      <c r="L1452" s="15" t="n">
        <f aca="false">ROUND(Annahmen!$K$37*(1+Annahmen!$B$20*D1452/1000),0)</f>
        <v>1150</v>
      </c>
      <c r="M1452" s="15" t="n">
        <f aca="false">ROUND(Annahmen!$K$38*(1+Annahmen!$B$20*D1452/1000),0)</f>
        <v>1150</v>
      </c>
      <c r="N1452" s="16" t="s">
        <v>102</v>
      </c>
    </row>
    <row r="1453" customFormat="false" ht="15" hidden="false" customHeight="false" outlineLevel="0" collapsed="false">
      <c r="A1453" s="13" t="s">
        <v>2953</v>
      </c>
      <c r="B1453" s="14" t="s">
        <v>2954</v>
      </c>
      <c r="C1453" s="15" t="n">
        <v>597</v>
      </c>
      <c r="D1453" s="15" t="n">
        <v>226</v>
      </c>
      <c r="E1453" s="13" t="s">
        <v>82</v>
      </c>
      <c r="F1453" s="15" t="str">
        <f aca="false">IF(C1453&gt;=J1453,"ja","nein")</f>
        <v>nein</v>
      </c>
      <c r="G1453" s="15" t="str">
        <f aca="false">IF(C1453&gt;=K1453,"ja","nein")</f>
        <v>nein</v>
      </c>
      <c r="H1453" s="15" t="str">
        <f aca="false">IF(C1453&gt;=L1453,"ja","nein")</f>
        <v>nein</v>
      </c>
      <c r="I1453" s="15" t="str">
        <f aca="false">IF(C1453&gt;=M1453,"ja","nein")</f>
        <v>nein</v>
      </c>
      <c r="J1453" s="15" t="n">
        <f aca="false">ROUND(Annahmen!$K$35*(1+Annahmen!$B$20*D1453/1000),0)</f>
        <v>857</v>
      </c>
      <c r="K1453" s="15" t="n">
        <f aca="false">ROUND(Annahmen!$K$36*(1+Annahmen!$B$20*D1453/1000),0)</f>
        <v>1113</v>
      </c>
      <c r="L1453" s="15" t="n">
        <f aca="false">ROUND(Annahmen!$K$37*(1+Annahmen!$B$20*D1453/1000),0)</f>
        <v>1138</v>
      </c>
      <c r="M1453" s="15" t="n">
        <f aca="false">ROUND(Annahmen!$K$38*(1+Annahmen!$B$20*D1453/1000),0)</f>
        <v>1138</v>
      </c>
      <c r="N1453" s="16" t="s">
        <v>102</v>
      </c>
    </row>
    <row r="1454" customFormat="false" ht="15" hidden="false" customHeight="false" outlineLevel="0" collapsed="false">
      <c r="A1454" s="13" t="s">
        <v>2955</v>
      </c>
      <c r="B1454" s="14" t="s">
        <v>2956</v>
      </c>
      <c r="C1454" s="15" t="n">
        <v>530</v>
      </c>
      <c r="D1454" s="15" t="n">
        <v>63</v>
      </c>
      <c r="E1454" s="13" t="s">
        <v>82</v>
      </c>
      <c r="F1454" s="15" t="str">
        <f aca="false">IF(C1454&gt;=J1454,"ja","nein")</f>
        <v>nein</v>
      </c>
      <c r="G1454" s="15" t="str">
        <f aca="false">IF(C1454&gt;=K1454,"ja","nein")</f>
        <v>nein</v>
      </c>
      <c r="H1454" s="15" t="str">
        <f aca="false">IF(C1454&gt;=L1454,"ja","nein")</f>
        <v>nein</v>
      </c>
      <c r="I1454" s="15" t="str">
        <f aca="false">IF(C1454&gt;=M1454,"ja","nein")</f>
        <v>nein</v>
      </c>
      <c r="J1454" s="15" t="n">
        <f aca="false">ROUND(Annahmen!$K$35*(1+Annahmen!$B$20*D1454/1000),0)</f>
        <v>845</v>
      </c>
      <c r="K1454" s="15" t="n">
        <f aca="false">ROUND(Annahmen!$K$36*(1+Annahmen!$B$20*D1454/1000),0)</f>
        <v>1097</v>
      </c>
      <c r="L1454" s="15" t="n">
        <f aca="false">ROUND(Annahmen!$K$37*(1+Annahmen!$B$20*D1454/1000),0)</f>
        <v>1121</v>
      </c>
      <c r="M1454" s="15" t="n">
        <f aca="false">ROUND(Annahmen!$K$38*(1+Annahmen!$B$20*D1454/1000),0)</f>
        <v>1121</v>
      </c>
      <c r="N1454" s="16" t="s">
        <v>102</v>
      </c>
    </row>
    <row r="1455" customFormat="false" ht="15" hidden="false" customHeight="false" outlineLevel="0" collapsed="false">
      <c r="A1455" s="13" t="s">
        <v>2957</v>
      </c>
      <c r="B1455" s="14" t="s">
        <v>2958</v>
      </c>
      <c r="C1455" s="15" t="n">
        <v>527</v>
      </c>
      <c r="D1455" s="15" t="n">
        <v>10</v>
      </c>
      <c r="E1455" s="13" t="s">
        <v>82</v>
      </c>
      <c r="F1455" s="15" t="str">
        <f aca="false">IF(C1455&gt;=J1455,"ja","nein")</f>
        <v>nein</v>
      </c>
      <c r="G1455" s="15" t="str">
        <f aca="false">IF(C1455&gt;=K1455,"ja","nein")</f>
        <v>nein</v>
      </c>
      <c r="H1455" s="15" t="str">
        <f aca="false">IF(C1455&gt;=L1455,"ja","nein")</f>
        <v>nein</v>
      </c>
      <c r="I1455" s="15" t="str">
        <f aca="false">IF(C1455&gt;=M1455,"ja","nein")</f>
        <v>nein</v>
      </c>
      <c r="J1455" s="15" t="n">
        <f aca="false">ROUND(Annahmen!$K$35*(1+Annahmen!$B$20*D1455/1000),0)</f>
        <v>841</v>
      </c>
      <c r="K1455" s="15" t="n">
        <f aca="false">ROUND(Annahmen!$K$36*(1+Annahmen!$B$20*D1455/1000),0)</f>
        <v>1092</v>
      </c>
      <c r="L1455" s="15" t="n">
        <f aca="false">ROUND(Annahmen!$K$37*(1+Annahmen!$B$20*D1455/1000),0)</f>
        <v>1116</v>
      </c>
      <c r="M1455" s="15" t="n">
        <f aca="false">ROUND(Annahmen!$K$38*(1+Annahmen!$B$20*D1455/1000),0)</f>
        <v>1116</v>
      </c>
      <c r="N1455" s="16" t="s">
        <v>86</v>
      </c>
    </row>
    <row r="1456" customFormat="false" ht="15" hidden="false" customHeight="false" outlineLevel="0" collapsed="false">
      <c r="A1456" s="13" t="s">
        <v>2959</v>
      </c>
      <c r="B1456" s="14" t="s">
        <v>2960</v>
      </c>
      <c r="C1456" s="15" t="n">
        <v>527</v>
      </c>
      <c r="D1456" s="15" t="n">
        <v>40</v>
      </c>
      <c r="E1456" s="13" t="s">
        <v>82</v>
      </c>
      <c r="F1456" s="15" t="str">
        <f aca="false">IF(C1456&gt;=J1456,"ja","nein")</f>
        <v>nein</v>
      </c>
      <c r="G1456" s="15" t="str">
        <f aca="false">IF(C1456&gt;=K1456,"ja","nein")</f>
        <v>nein</v>
      </c>
      <c r="H1456" s="15" t="str">
        <f aca="false">IF(C1456&gt;=L1456,"ja","nein")</f>
        <v>nein</v>
      </c>
      <c r="I1456" s="15" t="str">
        <f aca="false">IF(C1456&gt;=M1456,"ja","nein")</f>
        <v>nein</v>
      </c>
      <c r="J1456" s="15" t="n">
        <f aca="false">ROUND(Annahmen!$K$35*(1+Annahmen!$B$20*D1456/1000),0)</f>
        <v>843</v>
      </c>
      <c r="K1456" s="15" t="n">
        <f aca="false">ROUND(Annahmen!$K$36*(1+Annahmen!$B$20*D1456/1000),0)</f>
        <v>1095</v>
      </c>
      <c r="L1456" s="15" t="n">
        <f aca="false">ROUND(Annahmen!$K$37*(1+Annahmen!$B$20*D1456/1000),0)</f>
        <v>1119</v>
      </c>
      <c r="M1456" s="15" t="n">
        <f aca="false">ROUND(Annahmen!$K$38*(1+Annahmen!$B$20*D1456/1000),0)</f>
        <v>1119</v>
      </c>
      <c r="N1456" s="16" t="s">
        <v>102</v>
      </c>
    </row>
    <row r="1457" customFormat="false" ht="15" hidden="false" customHeight="false" outlineLevel="0" collapsed="false">
      <c r="A1457" s="13" t="s">
        <v>2961</v>
      </c>
      <c r="B1457" s="14" t="s">
        <v>2962</v>
      </c>
      <c r="C1457" s="15" t="n">
        <v>527</v>
      </c>
      <c r="D1457" s="15" t="n">
        <v>91</v>
      </c>
      <c r="E1457" s="13" t="s">
        <v>82</v>
      </c>
      <c r="F1457" s="15" t="str">
        <f aca="false">IF(C1457&gt;=J1457,"ja","nein")</f>
        <v>nein</v>
      </c>
      <c r="G1457" s="15" t="str">
        <f aca="false">IF(C1457&gt;=K1457,"ja","nein")</f>
        <v>nein</v>
      </c>
      <c r="H1457" s="15" t="str">
        <f aca="false">IF(C1457&gt;=L1457,"ja","nein")</f>
        <v>nein</v>
      </c>
      <c r="I1457" s="15" t="str">
        <f aca="false">IF(C1457&gt;=M1457,"ja","nein")</f>
        <v>nein</v>
      </c>
      <c r="J1457" s="15" t="n">
        <f aca="false">ROUND(Annahmen!$K$35*(1+Annahmen!$B$20*D1457/1000),0)</f>
        <v>847</v>
      </c>
      <c r="K1457" s="15" t="n">
        <f aca="false">ROUND(Annahmen!$K$36*(1+Annahmen!$B$20*D1457/1000),0)</f>
        <v>1100</v>
      </c>
      <c r="L1457" s="15" t="n">
        <f aca="false">ROUND(Annahmen!$K$37*(1+Annahmen!$B$20*D1457/1000),0)</f>
        <v>1124</v>
      </c>
      <c r="M1457" s="15" t="n">
        <f aca="false">ROUND(Annahmen!$K$38*(1+Annahmen!$B$20*D1457/1000),0)</f>
        <v>1124</v>
      </c>
      <c r="N1457" s="16" t="s">
        <v>102</v>
      </c>
    </row>
    <row r="1458" customFormat="false" ht="15" hidden="false" customHeight="false" outlineLevel="0" collapsed="false">
      <c r="A1458" s="13" t="s">
        <v>2963</v>
      </c>
      <c r="B1458" s="14" t="s">
        <v>2964</v>
      </c>
      <c r="C1458" s="15" t="n">
        <v>527</v>
      </c>
      <c r="D1458" s="15" t="n">
        <v>29</v>
      </c>
      <c r="E1458" s="13" t="s">
        <v>82</v>
      </c>
      <c r="F1458" s="15" t="str">
        <f aca="false">IF(C1458&gt;=J1458,"ja","nein")</f>
        <v>nein</v>
      </c>
      <c r="G1458" s="15" t="str">
        <f aca="false">IF(C1458&gt;=K1458,"ja","nein")</f>
        <v>nein</v>
      </c>
      <c r="H1458" s="15" t="str">
        <f aca="false">IF(C1458&gt;=L1458,"ja","nein")</f>
        <v>nein</v>
      </c>
      <c r="I1458" s="15" t="str">
        <f aca="false">IF(C1458&gt;=M1458,"ja","nein")</f>
        <v>nein</v>
      </c>
      <c r="J1458" s="15" t="n">
        <f aca="false">ROUND(Annahmen!$K$35*(1+Annahmen!$B$20*D1458/1000),0)</f>
        <v>842</v>
      </c>
      <c r="K1458" s="15" t="n">
        <f aca="false">ROUND(Annahmen!$K$36*(1+Annahmen!$B$20*D1458/1000),0)</f>
        <v>1094</v>
      </c>
      <c r="L1458" s="15" t="n">
        <f aca="false">ROUND(Annahmen!$K$37*(1+Annahmen!$B$20*D1458/1000),0)</f>
        <v>1118</v>
      </c>
      <c r="M1458" s="15" t="n">
        <f aca="false">ROUND(Annahmen!$K$38*(1+Annahmen!$B$20*D1458/1000),0)</f>
        <v>1118</v>
      </c>
      <c r="N1458" s="16" t="s">
        <v>102</v>
      </c>
    </row>
    <row r="1459" customFormat="false" ht="15" hidden="false" customHeight="false" outlineLevel="0" collapsed="false">
      <c r="A1459" s="13" t="s">
        <v>2965</v>
      </c>
      <c r="B1459" s="14" t="s">
        <v>2966</v>
      </c>
      <c r="C1459" s="15" t="n">
        <v>515</v>
      </c>
      <c r="D1459" s="15" t="n">
        <v>39</v>
      </c>
      <c r="E1459" s="13" t="s">
        <v>82</v>
      </c>
      <c r="F1459" s="15" t="str">
        <f aca="false">IF(C1459&gt;=J1459,"ja","nein")</f>
        <v>nein</v>
      </c>
      <c r="G1459" s="15" t="str">
        <f aca="false">IF(C1459&gt;=K1459,"ja","nein")</f>
        <v>nein</v>
      </c>
      <c r="H1459" s="15" t="str">
        <f aca="false">IF(C1459&gt;=L1459,"ja","nein")</f>
        <v>nein</v>
      </c>
      <c r="I1459" s="15" t="str">
        <f aca="false">IF(C1459&gt;=M1459,"ja","nein")</f>
        <v>nein</v>
      </c>
      <c r="J1459" s="15" t="n">
        <f aca="false">ROUND(Annahmen!$K$35*(1+Annahmen!$B$20*D1459/1000),0)</f>
        <v>843</v>
      </c>
      <c r="K1459" s="15" t="n">
        <f aca="false">ROUND(Annahmen!$K$36*(1+Annahmen!$B$20*D1459/1000),0)</f>
        <v>1095</v>
      </c>
      <c r="L1459" s="15" t="n">
        <f aca="false">ROUND(Annahmen!$K$37*(1+Annahmen!$B$20*D1459/1000),0)</f>
        <v>1119</v>
      </c>
      <c r="M1459" s="15" t="n">
        <f aca="false">ROUND(Annahmen!$K$38*(1+Annahmen!$B$20*D1459/1000),0)</f>
        <v>1119</v>
      </c>
      <c r="N1459" s="16" t="s">
        <v>102</v>
      </c>
    </row>
    <row r="1460" customFormat="false" ht="15" hidden="false" customHeight="false" outlineLevel="0" collapsed="false">
      <c r="A1460" s="13" t="s">
        <v>2967</v>
      </c>
      <c r="B1460" s="14" t="s">
        <v>2968</v>
      </c>
      <c r="C1460" s="15" t="n">
        <v>501</v>
      </c>
      <c r="D1460" s="15" t="n">
        <v>44</v>
      </c>
      <c r="E1460" s="13" t="s">
        <v>82</v>
      </c>
      <c r="F1460" s="15" t="str">
        <f aca="false">IF(C1460&gt;=J1460,"ja","nein")</f>
        <v>nein</v>
      </c>
      <c r="G1460" s="15" t="str">
        <f aca="false">IF(C1460&gt;=K1460,"ja","nein")</f>
        <v>nein</v>
      </c>
      <c r="H1460" s="15" t="str">
        <f aca="false">IF(C1460&gt;=L1460,"ja","nein")</f>
        <v>nein</v>
      </c>
      <c r="I1460" s="15" t="str">
        <f aca="false">IF(C1460&gt;=M1460,"ja","nein")</f>
        <v>nein</v>
      </c>
      <c r="J1460" s="15" t="n">
        <f aca="false">ROUND(Annahmen!$K$35*(1+Annahmen!$B$20*D1460/1000),0)</f>
        <v>843</v>
      </c>
      <c r="K1460" s="15" t="n">
        <f aca="false">ROUND(Annahmen!$K$36*(1+Annahmen!$B$20*D1460/1000),0)</f>
        <v>1095</v>
      </c>
      <c r="L1460" s="15" t="n">
        <f aca="false">ROUND(Annahmen!$K$37*(1+Annahmen!$B$20*D1460/1000),0)</f>
        <v>1119</v>
      </c>
      <c r="M1460" s="15" t="n">
        <f aca="false">ROUND(Annahmen!$K$38*(1+Annahmen!$B$20*D1460/1000),0)</f>
        <v>1119</v>
      </c>
      <c r="N1460" s="16" t="s">
        <v>102</v>
      </c>
    </row>
    <row r="1461" customFormat="false" ht="15" hidden="false" customHeight="false" outlineLevel="0" collapsed="false">
      <c r="A1461" s="11" t="s">
        <v>2969</v>
      </c>
      <c r="B1461" s="12"/>
      <c r="C1461" s="12"/>
      <c r="D1461" s="12"/>
      <c r="E1461" s="12"/>
      <c r="F1461" s="12"/>
      <c r="G1461" s="12"/>
      <c r="H1461" s="12"/>
      <c r="I1461" s="12"/>
      <c r="J1461" s="12"/>
      <c r="K1461" s="12"/>
      <c r="L1461" s="12"/>
      <c r="M1461" s="12"/>
      <c r="N1461" s="12"/>
    </row>
    <row r="1462" customFormat="false" ht="15" hidden="false" customHeight="false" outlineLevel="0" collapsed="false">
      <c r="A1462" s="13" t="s">
        <v>2970</v>
      </c>
      <c r="B1462" s="14" t="s">
        <v>2971</v>
      </c>
      <c r="C1462" s="15" t="n">
        <v>2994</v>
      </c>
      <c r="D1462" s="15" t="n">
        <v>8</v>
      </c>
      <c r="E1462" s="13" t="s">
        <v>82</v>
      </c>
      <c r="F1462" s="15" t="str">
        <f aca="false">IF(C1462&gt;=J1462,"ja","nein")</f>
        <v>ja</v>
      </c>
      <c r="G1462" s="15" t="str">
        <f aca="false">IF(C1462&gt;=K1462,"ja","nein")</f>
        <v>ja</v>
      </c>
      <c r="H1462" s="15" t="str">
        <f aca="false">IF(C1462&gt;=L1462,"ja","nein")</f>
        <v>ja</v>
      </c>
      <c r="I1462" s="15" t="str">
        <f aca="false">IF(C1462&gt;=M1462,"ja","nein")</f>
        <v>ja</v>
      </c>
      <c r="J1462" s="15" t="n">
        <f aca="false">ROUND(Annahmen!$K$35*(1+Annahmen!$B$20*D1462/1000),0)</f>
        <v>841</v>
      </c>
      <c r="K1462" s="15" t="n">
        <f aca="false">ROUND(Annahmen!$K$36*(1+Annahmen!$B$20*D1462/1000),0)</f>
        <v>1092</v>
      </c>
      <c r="L1462" s="15" t="n">
        <f aca="false">ROUND(Annahmen!$K$37*(1+Annahmen!$B$20*D1462/1000),0)</f>
        <v>1116</v>
      </c>
      <c r="M1462" s="15" t="n">
        <f aca="false">ROUND(Annahmen!$K$38*(1+Annahmen!$B$20*D1462/1000),0)</f>
        <v>1116</v>
      </c>
      <c r="N1462" s="16" t="s">
        <v>83</v>
      </c>
    </row>
    <row r="1463" customFormat="false" ht="15" hidden="false" customHeight="false" outlineLevel="0" collapsed="false">
      <c r="A1463" s="13" t="s">
        <v>2972</v>
      </c>
      <c r="B1463" s="14" t="s">
        <v>2973</v>
      </c>
      <c r="C1463" s="15" t="n">
        <v>2755</v>
      </c>
      <c r="D1463" s="15" t="n">
        <v>404</v>
      </c>
      <c r="E1463" s="13" t="s">
        <v>82</v>
      </c>
      <c r="F1463" s="15" t="str">
        <f aca="false">IF(C1463&gt;=J1463,"ja","nein")</f>
        <v>ja</v>
      </c>
      <c r="G1463" s="15" t="str">
        <f aca="false">IF(C1463&gt;=K1463,"ja","nein")</f>
        <v>ja</v>
      </c>
      <c r="H1463" s="15" t="str">
        <f aca="false">IF(C1463&gt;=L1463,"ja","nein")</f>
        <v>ja</v>
      </c>
      <c r="I1463" s="15" t="str">
        <f aca="false">IF(C1463&gt;=M1463,"ja","nein")</f>
        <v>ja</v>
      </c>
      <c r="J1463" s="15" t="n">
        <f aca="false">ROUND(Annahmen!$K$35*(1+Annahmen!$B$20*D1463/1000),0)</f>
        <v>871</v>
      </c>
      <c r="K1463" s="15" t="n">
        <f aca="false">ROUND(Annahmen!$K$36*(1+Annahmen!$B$20*D1463/1000),0)</f>
        <v>1131</v>
      </c>
      <c r="L1463" s="15" t="n">
        <f aca="false">ROUND(Annahmen!$K$37*(1+Annahmen!$B$20*D1463/1000),0)</f>
        <v>1156</v>
      </c>
      <c r="M1463" s="15" t="n">
        <f aca="false">ROUND(Annahmen!$K$38*(1+Annahmen!$B$20*D1463/1000),0)</f>
        <v>1156</v>
      </c>
      <c r="N1463" s="16" t="s">
        <v>83</v>
      </c>
    </row>
    <row r="1464" customFormat="false" ht="15" hidden="false" customHeight="false" outlineLevel="0" collapsed="false">
      <c r="A1464" s="13" t="s">
        <v>2974</v>
      </c>
      <c r="B1464" s="14" t="s">
        <v>2975</v>
      </c>
      <c r="C1464" s="15" t="n">
        <v>2700</v>
      </c>
      <c r="D1464" s="15" t="n">
        <v>41</v>
      </c>
      <c r="E1464" s="13" t="s">
        <v>82</v>
      </c>
      <c r="F1464" s="15" t="str">
        <f aca="false">IF(C1464&gt;=J1464,"ja","nein")</f>
        <v>ja</v>
      </c>
      <c r="G1464" s="15" t="str">
        <f aca="false">IF(C1464&gt;=K1464,"ja","nein")</f>
        <v>ja</v>
      </c>
      <c r="H1464" s="15" t="str">
        <f aca="false">IF(C1464&gt;=L1464,"ja","nein")</f>
        <v>ja</v>
      </c>
      <c r="I1464" s="15" t="str">
        <f aca="false">IF(C1464&gt;=M1464,"ja","nein")</f>
        <v>ja</v>
      </c>
      <c r="J1464" s="15" t="n">
        <f aca="false">ROUND(Annahmen!$K$35*(1+Annahmen!$B$20*D1464/1000),0)</f>
        <v>843</v>
      </c>
      <c r="K1464" s="15" t="n">
        <f aca="false">ROUND(Annahmen!$K$36*(1+Annahmen!$B$20*D1464/1000),0)</f>
        <v>1095</v>
      </c>
      <c r="L1464" s="15" t="n">
        <f aca="false">ROUND(Annahmen!$K$37*(1+Annahmen!$B$20*D1464/1000),0)</f>
        <v>1119</v>
      </c>
      <c r="M1464" s="15" t="n">
        <f aca="false">ROUND(Annahmen!$K$38*(1+Annahmen!$B$20*D1464/1000),0)</f>
        <v>1119</v>
      </c>
      <c r="N1464" s="16" t="s">
        <v>83</v>
      </c>
    </row>
    <row r="1465" customFormat="false" ht="15" hidden="false" customHeight="false" outlineLevel="0" collapsed="false">
      <c r="A1465" s="13" t="s">
        <v>2976</v>
      </c>
      <c r="B1465" s="14" t="s">
        <v>2977</v>
      </c>
      <c r="C1465" s="15" t="n">
        <v>1201</v>
      </c>
      <c r="D1465" s="15" t="n">
        <v>0</v>
      </c>
      <c r="E1465" s="13" t="s">
        <v>82</v>
      </c>
      <c r="F1465" s="15" t="str">
        <f aca="false">IF(C1465&gt;=J1465,"ja","nein")</f>
        <v>ja</v>
      </c>
      <c r="G1465" s="15" t="str">
        <f aca="false">IF(C1465&gt;=K1465,"ja","nein")</f>
        <v>ja</v>
      </c>
      <c r="H1465" s="15" t="str">
        <f aca="false">IF(C1465&gt;=L1465,"ja","nein")</f>
        <v>ja</v>
      </c>
      <c r="I1465" s="15" t="str">
        <f aca="false">IF(C1465&gt;=M1465,"ja","nein")</f>
        <v>ja</v>
      </c>
      <c r="J1465" s="15" t="n">
        <f aca="false">ROUND(Annahmen!$K$35*(1+Annahmen!$B$20*D1465/1000),0)</f>
        <v>840</v>
      </c>
      <c r="K1465" s="15" t="n">
        <f aca="false">ROUND(Annahmen!$K$36*(1+Annahmen!$B$20*D1465/1000),0)</f>
        <v>1091</v>
      </c>
      <c r="L1465" s="15" t="n">
        <f aca="false">ROUND(Annahmen!$K$37*(1+Annahmen!$B$20*D1465/1000),0)</f>
        <v>1115</v>
      </c>
      <c r="M1465" s="15" t="n">
        <f aca="false">ROUND(Annahmen!$K$38*(1+Annahmen!$B$20*D1465/1000),0)</f>
        <v>1115</v>
      </c>
      <c r="N1465" s="16" t="s">
        <v>102</v>
      </c>
    </row>
    <row r="1466" customFormat="false" ht="15" hidden="false" customHeight="false" outlineLevel="0" collapsed="false">
      <c r="A1466" s="11" t="s">
        <v>2978</v>
      </c>
      <c r="B1466" s="12"/>
      <c r="C1466" s="12"/>
      <c r="D1466" s="12"/>
      <c r="E1466" s="12"/>
      <c r="F1466" s="12"/>
      <c r="G1466" s="12"/>
      <c r="H1466" s="12"/>
      <c r="I1466" s="12"/>
      <c r="J1466" s="12"/>
      <c r="K1466" s="12"/>
      <c r="L1466" s="12"/>
      <c r="M1466" s="12"/>
      <c r="N1466" s="12"/>
    </row>
    <row r="1467" customFormat="false" ht="15" hidden="false" customHeight="false" outlineLevel="0" collapsed="false">
      <c r="A1467" s="13" t="s">
        <v>2979</v>
      </c>
      <c r="B1467" s="14" t="s">
        <v>2980</v>
      </c>
      <c r="C1467" s="15" t="n">
        <v>3600</v>
      </c>
      <c r="D1467" s="15" t="n">
        <v>600</v>
      </c>
      <c r="E1467" s="13" t="s">
        <v>82</v>
      </c>
      <c r="F1467" s="15" t="str">
        <f aca="false">IF(C1467&gt;=J1467,"ja","nein")</f>
        <v>ja</v>
      </c>
      <c r="G1467" s="15" t="str">
        <f aca="false">IF(C1467&gt;=K1467,"ja","nein")</f>
        <v>ja</v>
      </c>
      <c r="H1467" s="15" t="str">
        <f aca="false">IF(C1467&gt;=L1467,"ja","nein")</f>
        <v>ja</v>
      </c>
      <c r="I1467" s="15" t="str">
        <f aca="false">IF(C1467&gt;=M1467,"ja","nein")</f>
        <v>ja</v>
      </c>
      <c r="J1467" s="15" t="n">
        <f aca="false">ROUND(Annahmen!$K$35*(1+Annahmen!$B$20*D1467/1000),0)</f>
        <v>885</v>
      </c>
      <c r="K1467" s="15" t="n">
        <f aca="false">ROUND(Annahmen!$K$36*(1+Annahmen!$B$20*D1467/1000),0)</f>
        <v>1150</v>
      </c>
      <c r="L1467" s="15" t="n">
        <f aca="false">ROUND(Annahmen!$K$37*(1+Annahmen!$B$20*D1467/1000),0)</f>
        <v>1175</v>
      </c>
      <c r="M1467" s="15" t="n">
        <f aca="false">ROUND(Annahmen!$K$38*(1+Annahmen!$B$20*D1467/1000),0)</f>
        <v>1175</v>
      </c>
      <c r="N1467" s="16" t="s">
        <v>83</v>
      </c>
    </row>
    <row r="1468" customFormat="false" ht="15" hidden="false" customHeight="false" outlineLevel="0" collapsed="false">
      <c r="A1468" s="13" t="s">
        <v>2981</v>
      </c>
      <c r="B1468" s="14" t="s">
        <v>2982</v>
      </c>
      <c r="C1468" s="15" t="n">
        <v>3000</v>
      </c>
      <c r="D1468" s="15" t="n">
        <v>1115</v>
      </c>
      <c r="E1468" s="13" t="s">
        <v>82</v>
      </c>
      <c r="F1468" s="15" t="str">
        <f aca="false">IF(C1468&gt;=J1468,"ja","nein")</f>
        <v>ja</v>
      </c>
      <c r="G1468" s="15" t="str">
        <f aca="false">IF(C1468&gt;=K1468,"ja","nein")</f>
        <v>ja</v>
      </c>
      <c r="H1468" s="15" t="str">
        <f aca="false">IF(C1468&gt;=L1468,"ja","nein")</f>
        <v>ja</v>
      </c>
      <c r="I1468" s="15" t="str">
        <f aca="false">IF(C1468&gt;=M1468,"ja","nein")</f>
        <v>ja</v>
      </c>
      <c r="J1468" s="15" t="n">
        <f aca="false">ROUND(Annahmen!$K$35*(1+Annahmen!$B$20*D1468/1000),0)</f>
        <v>924</v>
      </c>
      <c r="K1468" s="15" t="n">
        <f aca="false">ROUND(Annahmen!$K$36*(1+Annahmen!$B$20*D1468/1000),0)</f>
        <v>1200</v>
      </c>
      <c r="L1468" s="15" t="n">
        <f aca="false">ROUND(Annahmen!$K$37*(1+Annahmen!$B$20*D1468/1000),0)</f>
        <v>1227</v>
      </c>
      <c r="M1468" s="15" t="n">
        <f aca="false">ROUND(Annahmen!$K$38*(1+Annahmen!$B$20*D1468/1000),0)</f>
        <v>1227</v>
      </c>
      <c r="N1468" s="16" t="s">
        <v>83</v>
      </c>
    </row>
    <row r="1469" customFormat="false" ht="15" hidden="false" customHeight="false" outlineLevel="0" collapsed="false">
      <c r="A1469" s="13" t="s">
        <v>2983</v>
      </c>
      <c r="B1469" s="14" t="s">
        <v>2984</v>
      </c>
      <c r="C1469" s="15" t="n">
        <v>3000</v>
      </c>
      <c r="D1469" s="15" t="n">
        <v>980</v>
      </c>
      <c r="E1469" s="13" t="s">
        <v>82</v>
      </c>
      <c r="F1469" s="15" t="str">
        <f aca="false">IF(C1469&gt;=J1469,"ja","nein")</f>
        <v>ja</v>
      </c>
      <c r="G1469" s="15" t="str">
        <f aca="false">IF(C1469&gt;=K1469,"ja","nein")</f>
        <v>ja</v>
      </c>
      <c r="H1469" s="15" t="str">
        <f aca="false">IF(C1469&gt;=L1469,"ja","nein")</f>
        <v>ja</v>
      </c>
      <c r="I1469" s="15" t="str">
        <f aca="false">IF(C1469&gt;=M1469,"ja","nein")</f>
        <v>ja</v>
      </c>
      <c r="J1469" s="15" t="n">
        <f aca="false">ROUND(Annahmen!$K$35*(1+Annahmen!$B$20*D1469/1000),0)</f>
        <v>914</v>
      </c>
      <c r="K1469" s="15" t="n">
        <f aca="false">ROUND(Annahmen!$K$36*(1+Annahmen!$B$20*D1469/1000),0)</f>
        <v>1187</v>
      </c>
      <c r="L1469" s="15" t="n">
        <f aca="false">ROUND(Annahmen!$K$37*(1+Annahmen!$B$20*D1469/1000),0)</f>
        <v>1213</v>
      </c>
      <c r="M1469" s="15" t="n">
        <f aca="false">ROUND(Annahmen!$K$38*(1+Annahmen!$B$20*D1469/1000),0)</f>
        <v>1213</v>
      </c>
      <c r="N1469" s="16" t="s">
        <v>83</v>
      </c>
    </row>
    <row r="1470" customFormat="false" ht="15" hidden="false" customHeight="false" outlineLevel="0" collapsed="false">
      <c r="A1470" s="13" t="s">
        <v>2985</v>
      </c>
      <c r="B1470" s="14" t="s">
        <v>2986</v>
      </c>
      <c r="C1470" s="15" t="n">
        <v>2750</v>
      </c>
      <c r="D1470" s="15" t="n">
        <v>1411</v>
      </c>
      <c r="E1470" s="13" t="s">
        <v>82</v>
      </c>
      <c r="F1470" s="15" t="str">
        <f aca="false">IF(C1470&gt;=J1470,"ja","nein")</f>
        <v>ja</v>
      </c>
      <c r="G1470" s="15" t="str">
        <f aca="false">IF(C1470&gt;=K1470,"ja","nein")</f>
        <v>ja</v>
      </c>
      <c r="H1470" s="15" t="str">
        <f aca="false">IF(C1470&gt;=L1470,"ja","nein")</f>
        <v>ja</v>
      </c>
      <c r="I1470" s="15" t="str">
        <f aca="false">IF(C1470&gt;=M1470,"ja","nein")</f>
        <v>ja</v>
      </c>
      <c r="J1470" s="15" t="n">
        <f aca="false">ROUND(Annahmen!$K$35*(1+Annahmen!$B$20*D1470/1000),0)</f>
        <v>947</v>
      </c>
      <c r="K1470" s="15" t="n">
        <f aca="false">ROUND(Annahmen!$K$36*(1+Annahmen!$B$20*D1470/1000),0)</f>
        <v>1230</v>
      </c>
      <c r="L1470" s="15" t="n">
        <f aca="false">ROUND(Annahmen!$K$37*(1+Annahmen!$B$20*D1470/1000),0)</f>
        <v>1257</v>
      </c>
      <c r="M1470" s="15" t="n">
        <f aca="false">ROUND(Annahmen!$K$38*(1+Annahmen!$B$20*D1470/1000),0)</f>
        <v>1257</v>
      </c>
      <c r="N1470" s="16" t="s">
        <v>83</v>
      </c>
    </row>
    <row r="1471" customFormat="false" ht="15" hidden="false" customHeight="false" outlineLevel="0" collapsed="false">
      <c r="A1471" s="13" t="s">
        <v>2987</v>
      </c>
      <c r="B1471" s="14" t="s">
        <v>2988</v>
      </c>
      <c r="C1471" s="15" t="n">
        <v>2720</v>
      </c>
      <c r="D1471" s="15" t="n">
        <v>1472</v>
      </c>
      <c r="E1471" s="13" t="s">
        <v>82</v>
      </c>
      <c r="F1471" s="15" t="str">
        <f aca="false">IF(C1471&gt;=J1471,"ja","nein")</f>
        <v>ja</v>
      </c>
      <c r="G1471" s="15" t="str">
        <f aca="false">IF(C1471&gt;=K1471,"ja","nein")</f>
        <v>ja</v>
      </c>
      <c r="H1471" s="15" t="str">
        <f aca="false">IF(C1471&gt;=L1471,"ja","nein")</f>
        <v>ja</v>
      </c>
      <c r="I1471" s="15" t="str">
        <f aca="false">IF(C1471&gt;=M1471,"ja","nein")</f>
        <v>ja</v>
      </c>
      <c r="J1471" s="15" t="n">
        <f aca="false">ROUND(Annahmen!$K$35*(1+Annahmen!$B$20*D1471/1000),0)</f>
        <v>951</v>
      </c>
      <c r="K1471" s="15" t="n">
        <f aca="false">ROUND(Annahmen!$K$36*(1+Annahmen!$B$20*D1471/1000),0)</f>
        <v>1236</v>
      </c>
      <c r="L1471" s="15" t="n">
        <f aca="false">ROUND(Annahmen!$K$37*(1+Annahmen!$B$20*D1471/1000),0)</f>
        <v>1263</v>
      </c>
      <c r="M1471" s="15" t="n">
        <f aca="false">ROUND(Annahmen!$K$38*(1+Annahmen!$B$20*D1471/1000),0)</f>
        <v>1263</v>
      </c>
      <c r="N1471" s="16" t="s">
        <v>83</v>
      </c>
    </row>
    <row r="1472" customFormat="false" ht="15" hidden="false" customHeight="false" outlineLevel="0" collapsed="false">
      <c r="A1472" s="13" t="s">
        <v>2989</v>
      </c>
      <c r="B1472" s="14" t="s">
        <v>2990</v>
      </c>
      <c r="C1472" s="15" t="n">
        <v>2000</v>
      </c>
      <c r="D1472" s="15" t="n">
        <v>1907</v>
      </c>
      <c r="E1472" s="13" t="s">
        <v>82</v>
      </c>
      <c r="F1472" s="15" t="str">
        <f aca="false">IF(C1472&gt;=J1472,"ja","nein")</f>
        <v>ja</v>
      </c>
      <c r="G1472" s="15" t="str">
        <f aca="false">IF(C1472&gt;=K1472,"ja","nein")</f>
        <v>ja</v>
      </c>
      <c r="H1472" s="15" t="str">
        <f aca="false">IF(C1472&gt;=L1472,"ja","nein")</f>
        <v>ja</v>
      </c>
      <c r="I1472" s="15" t="str">
        <f aca="false">IF(C1472&gt;=M1472,"ja","nein")</f>
        <v>ja</v>
      </c>
      <c r="J1472" s="15" t="n">
        <f aca="false">ROUND(Annahmen!$K$35*(1+Annahmen!$B$20*D1472/1000),0)</f>
        <v>984</v>
      </c>
      <c r="K1472" s="15" t="n">
        <f aca="false">ROUND(Annahmen!$K$36*(1+Annahmen!$B$20*D1472/1000),0)</f>
        <v>1278</v>
      </c>
      <c r="L1472" s="15" t="n">
        <f aca="false">ROUND(Annahmen!$K$37*(1+Annahmen!$B$20*D1472/1000),0)</f>
        <v>1306</v>
      </c>
      <c r="M1472" s="15" t="n">
        <f aca="false">ROUND(Annahmen!$K$38*(1+Annahmen!$B$20*D1472/1000),0)</f>
        <v>1306</v>
      </c>
      <c r="N1472" s="16" t="s">
        <v>83</v>
      </c>
    </row>
    <row r="1473" customFormat="false" ht="15" hidden="false" customHeight="false" outlineLevel="0" collapsed="false">
      <c r="A1473" s="13" t="s">
        <v>2991</v>
      </c>
      <c r="B1473" s="14" t="s">
        <v>2992</v>
      </c>
      <c r="C1473" s="15" t="n">
        <v>1390</v>
      </c>
      <c r="D1473" s="15" t="n">
        <v>1043</v>
      </c>
      <c r="E1473" s="13" t="s">
        <v>82</v>
      </c>
      <c r="F1473" s="15" t="str">
        <f aca="false">IF(C1473&gt;=J1473,"ja","nein")</f>
        <v>ja</v>
      </c>
      <c r="G1473" s="15" t="str">
        <f aca="false">IF(C1473&gt;=K1473,"ja","nein")</f>
        <v>ja</v>
      </c>
      <c r="H1473" s="15" t="str">
        <f aca="false">IF(C1473&gt;=L1473,"ja","nein")</f>
        <v>ja</v>
      </c>
      <c r="I1473" s="15" t="str">
        <f aca="false">IF(C1473&gt;=M1473,"ja","nein")</f>
        <v>ja</v>
      </c>
      <c r="J1473" s="15" t="n">
        <f aca="false">ROUND(Annahmen!$K$35*(1+Annahmen!$B$20*D1473/1000),0)</f>
        <v>919</v>
      </c>
      <c r="K1473" s="15" t="n">
        <f aca="false">ROUND(Annahmen!$K$36*(1+Annahmen!$B$20*D1473/1000),0)</f>
        <v>1193</v>
      </c>
      <c r="L1473" s="15" t="n">
        <f aca="false">ROUND(Annahmen!$K$37*(1+Annahmen!$B$20*D1473/1000),0)</f>
        <v>1220</v>
      </c>
      <c r="M1473" s="15" t="n">
        <f aca="false">ROUND(Annahmen!$K$38*(1+Annahmen!$B$20*D1473/1000),0)</f>
        <v>1220</v>
      </c>
      <c r="N1473" s="16" t="s">
        <v>102</v>
      </c>
    </row>
    <row r="1474" customFormat="false" ht="15" hidden="false" customHeight="false" outlineLevel="0" collapsed="false">
      <c r="A1474" s="13" t="s">
        <v>2993</v>
      </c>
      <c r="B1474" s="14" t="s">
        <v>2994</v>
      </c>
      <c r="C1474" s="15" t="n">
        <v>1067</v>
      </c>
      <c r="D1474" s="15" t="n">
        <v>896</v>
      </c>
      <c r="E1474" s="13" t="s">
        <v>82</v>
      </c>
      <c r="F1474" s="15" t="str">
        <f aca="false">IF(C1474&gt;=J1474,"ja","nein")</f>
        <v>ja</v>
      </c>
      <c r="G1474" s="15" t="str">
        <f aca="false">IF(C1474&gt;=K1474,"ja","nein")</f>
        <v>nein</v>
      </c>
      <c r="H1474" s="15" t="str">
        <f aca="false">IF(C1474&gt;=L1474,"ja","nein")</f>
        <v>nein</v>
      </c>
      <c r="I1474" s="15" t="str">
        <f aca="false">IF(C1474&gt;=M1474,"ja","nein")</f>
        <v>nein</v>
      </c>
      <c r="J1474" s="15" t="n">
        <f aca="false">ROUND(Annahmen!$K$35*(1+Annahmen!$B$20*D1474/1000),0)</f>
        <v>908</v>
      </c>
      <c r="K1474" s="15" t="n">
        <f aca="false">ROUND(Annahmen!$K$36*(1+Annahmen!$B$20*D1474/1000),0)</f>
        <v>1179</v>
      </c>
      <c r="L1474" s="15" t="n">
        <f aca="false">ROUND(Annahmen!$K$37*(1+Annahmen!$B$20*D1474/1000),0)</f>
        <v>1205</v>
      </c>
      <c r="M1474" s="15" t="n">
        <f aca="false">ROUND(Annahmen!$K$38*(1+Annahmen!$B$20*D1474/1000),0)</f>
        <v>1205</v>
      </c>
      <c r="N1474" s="16" t="s">
        <v>86</v>
      </c>
    </row>
    <row r="1475" customFormat="false" ht="15" hidden="false" customHeight="false" outlineLevel="0" collapsed="false">
      <c r="A1475" s="13" t="s">
        <v>2995</v>
      </c>
      <c r="B1475" s="14" t="s">
        <v>2996</v>
      </c>
      <c r="C1475" s="15" t="n">
        <v>950</v>
      </c>
      <c r="D1475" s="15" t="n">
        <v>765</v>
      </c>
      <c r="E1475" s="13" t="s">
        <v>82</v>
      </c>
      <c r="F1475" s="15" t="str">
        <f aca="false">IF(C1475&gt;=J1475,"ja","nein")</f>
        <v>ja</v>
      </c>
      <c r="G1475" s="15" t="str">
        <f aca="false">IF(C1475&gt;=K1475,"ja","nein")</f>
        <v>nein</v>
      </c>
      <c r="H1475" s="15" t="str">
        <f aca="false">IF(C1475&gt;=L1475,"ja","nein")</f>
        <v>nein</v>
      </c>
      <c r="I1475" s="15" t="str">
        <f aca="false">IF(C1475&gt;=M1475,"ja","nein")</f>
        <v>nein</v>
      </c>
      <c r="J1475" s="15" t="n">
        <f aca="false">ROUND(Annahmen!$K$35*(1+Annahmen!$B$20*D1475/1000),0)</f>
        <v>898</v>
      </c>
      <c r="K1475" s="15" t="n">
        <f aca="false">ROUND(Annahmen!$K$36*(1+Annahmen!$B$20*D1475/1000),0)</f>
        <v>1166</v>
      </c>
      <c r="L1475" s="15" t="n">
        <f aca="false">ROUND(Annahmen!$K$37*(1+Annahmen!$B$20*D1475/1000),0)</f>
        <v>1192</v>
      </c>
      <c r="M1475" s="15" t="n">
        <f aca="false">ROUND(Annahmen!$K$38*(1+Annahmen!$B$20*D1475/1000),0)</f>
        <v>1192</v>
      </c>
      <c r="N1475" s="16" t="s">
        <v>102</v>
      </c>
    </row>
    <row r="1476" customFormat="false" ht="15" hidden="false" customHeight="false" outlineLevel="0" collapsed="false">
      <c r="A1476" s="13" t="s">
        <v>2997</v>
      </c>
      <c r="B1476" s="14" t="s">
        <v>2998</v>
      </c>
      <c r="C1476" s="15" t="n">
        <v>904</v>
      </c>
      <c r="D1476" s="15" t="n">
        <v>1017</v>
      </c>
      <c r="E1476" s="13" t="s">
        <v>82</v>
      </c>
      <c r="F1476" s="15" t="str">
        <f aca="false">IF(C1476&gt;=J1476,"ja","nein")</f>
        <v>nein</v>
      </c>
      <c r="G1476" s="15" t="str">
        <f aca="false">IF(C1476&gt;=K1476,"ja","nein")</f>
        <v>nein</v>
      </c>
      <c r="H1476" s="15" t="str">
        <f aca="false">IF(C1476&gt;=L1476,"ja","nein")</f>
        <v>nein</v>
      </c>
      <c r="I1476" s="15" t="str">
        <f aca="false">IF(C1476&gt;=M1476,"ja","nein")</f>
        <v>nein</v>
      </c>
      <c r="J1476" s="15" t="n">
        <f aca="false">ROUND(Annahmen!$K$35*(1+Annahmen!$B$20*D1476/1000),0)</f>
        <v>917</v>
      </c>
      <c r="K1476" s="15" t="n">
        <f aca="false">ROUND(Annahmen!$K$36*(1+Annahmen!$B$20*D1476/1000),0)</f>
        <v>1191</v>
      </c>
      <c r="L1476" s="15" t="n">
        <f aca="false">ROUND(Annahmen!$K$37*(1+Annahmen!$B$20*D1476/1000),0)</f>
        <v>1217</v>
      </c>
      <c r="M1476" s="15" t="n">
        <f aca="false">ROUND(Annahmen!$K$38*(1+Annahmen!$B$20*D1476/1000),0)</f>
        <v>1217</v>
      </c>
      <c r="N1476" s="16" t="s">
        <v>102</v>
      </c>
    </row>
    <row r="1477" customFormat="false" ht="15" hidden="false" customHeight="false" outlineLevel="0" collapsed="false">
      <c r="A1477" s="13" t="s">
        <v>2999</v>
      </c>
      <c r="B1477" s="14" t="s">
        <v>3000</v>
      </c>
      <c r="C1477" s="15" t="n">
        <v>865</v>
      </c>
      <c r="D1477" s="15" t="n">
        <v>1720</v>
      </c>
      <c r="E1477" s="13" t="s">
        <v>82</v>
      </c>
      <c r="F1477" s="15" t="str">
        <f aca="false">IF(C1477&gt;=J1477,"ja","nein")</f>
        <v>nein</v>
      </c>
      <c r="G1477" s="15" t="str">
        <f aca="false">IF(C1477&gt;=K1477,"ja","nein")</f>
        <v>nein</v>
      </c>
      <c r="H1477" s="15" t="str">
        <f aca="false">IF(C1477&gt;=L1477,"ja","nein")</f>
        <v>nein</v>
      </c>
      <c r="I1477" s="15" t="str">
        <f aca="false">IF(C1477&gt;=M1477,"ja","nein")</f>
        <v>nein</v>
      </c>
      <c r="J1477" s="15" t="n">
        <f aca="false">ROUND(Annahmen!$K$35*(1+Annahmen!$B$20*D1477/1000),0)</f>
        <v>970</v>
      </c>
      <c r="K1477" s="15" t="n">
        <f aca="false">ROUND(Annahmen!$K$36*(1+Annahmen!$B$20*D1477/1000),0)</f>
        <v>1260</v>
      </c>
      <c r="L1477" s="15" t="n">
        <f aca="false">ROUND(Annahmen!$K$37*(1+Annahmen!$B$20*D1477/1000),0)</f>
        <v>1288</v>
      </c>
      <c r="M1477" s="15" t="n">
        <f aca="false">ROUND(Annahmen!$K$38*(1+Annahmen!$B$20*D1477/1000),0)</f>
        <v>1288</v>
      </c>
      <c r="N1477" s="16" t="s">
        <v>102</v>
      </c>
    </row>
    <row r="1478" customFormat="false" ht="15" hidden="false" customHeight="false" outlineLevel="0" collapsed="false">
      <c r="A1478" s="13" t="s">
        <v>3001</v>
      </c>
      <c r="B1478" s="14" t="s">
        <v>3002</v>
      </c>
      <c r="C1478" s="15" t="n">
        <v>800</v>
      </c>
      <c r="D1478" s="15" t="n">
        <v>686</v>
      </c>
      <c r="E1478" s="13" t="s">
        <v>82</v>
      </c>
      <c r="F1478" s="15" t="str">
        <f aca="false">IF(C1478&gt;=J1478,"ja","nein")</f>
        <v>nein</v>
      </c>
      <c r="G1478" s="15" t="str">
        <f aca="false">IF(C1478&gt;=K1478,"ja","nein")</f>
        <v>nein</v>
      </c>
      <c r="H1478" s="15" t="str">
        <f aca="false">IF(C1478&gt;=L1478,"ja","nein")</f>
        <v>nein</v>
      </c>
      <c r="I1478" s="15" t="str">
        <f aca="false">IF(C1478&gt;=M1478,"ja","nein")</f>
        <v>nein</v>
      </c>
      <c r="J1478" s="15" t="n">
        <f aca="false">ROUND(Annahmen!$K$35*(1+Annahmen!$B$20*D1478/1000),0)</f>
        <v>892</v>
      </c>
      <c r="K1478" s="15" t="n">
        <f aca="false">ROUND(Annahmen!$K$36*(1+Annahmen!$B$20*D1478/1000),0)</f>
        <v>1158</v>
      </c>
      <c r="L1478" s="15" t="n">
        <f aca="false">ROUND(Annahmen!$K$37*(1+Annahmen!$B$20*D1478/1000),0)</f>
        <v>1184</v>
      </c>
      <c r="M1478" s="15" t="n">
        <f aca="false">ROUND(Annahmen!$K$38*(1+Annahmen!$B$20*D1478/1000),0)</f>
        <v>1184</v>
      </c>
      <c r="N1478" s="16" t="s">
        <v>102</v>
      </c>
    </row>
    <row r="1479" customFormat="false" ht="15" hidden="false" customHeight="false" outlineLevel="0" collapsed="false">
      <c r="A1479" s="13" t="s">
        <v>3003</v>
      </c>
      <c r="B1479" s="14" t="s">
        <v>3004</v>
      </c>
      <c r="C1479" s="15" t="n">
        <v>800</v>
      </c>
      <c r="D1479" s="15" t="n">
        <v>950</v>
      </c>
      <c r="E1479" s="13" t="s">
        <v>82</v>
      </c>
      <c r="F1479" s="15" t="str">
        <f aca="false">IF(C1479&gt;=J1479,"ja","nein")</f>
        <v>nein</v>
      </c>
      <c r="G1479" s="15" t="str">
        <f aca="false">IF(C1479&gt;=K1479,"ja","nein")</f>
        <v>nein</v>
      </c>
      <c r="H1479" s="15" t="str">
        <f aca="false">IF(C1479&gt;=L1479,"ja","nein")</f>
        <v>nein</v>
      </c>
      <c r="I1479" s="15" t="str">
        <f aca="false">IF(C1479&gt;=M1479,"ja","nein")</f>
        <v>nein</v>
      </c>
      <c r="J1479" s="15" t="n">
        <f aca="false">ROUND(Annahmen!$K$35*(1+Annahmen!$B$20*D1479/1000),0)</f>
        <v>912</v>
      </c>
      <c r="K1479" s="15" t="n">
        <f aca="false">ROUND(Annahmen!$K$36*(1+Annahmen!$B$20*D1479/1000),0)</f>
        <v>1184</v>
      </c>
      <c r="L1479" s="15" t="n">
        <f aca="false">ROUND(Annahmen!$K$37*(1+Annahmen!$B$20*D1479/1000),0)</f>
        <v>1210</v>
      </c>
      <c r="M1479" s="15" t="n">
        <f aca="false">ROUND(Annahmen!$K$38*(1+Annahmen!$B$20*D1479/1000),0)</f>
        <v>1210</v>
      </c>
      <c r="N1479" s="16" t="s">
        <v>102</v>
      </c>
    </row>
    <row r="1480" customFormat="false" ht="15" hidden="false" customHeight="false" outlineLevel="0" collapsed="false">
      <c r="A1480" s="13" t="s">
        <v>3005</v>
      </c>
      <c r="B1480" s="14" t="s">
        <v>3006</v>
      </c>
      <c r="C1480" s="15" t="n">
        <v>800</v>
      </c>
      <c r="D1480" s="15" t="n">
        <v>1070</v>
      </c>
      <c r="E1480" s="13" t="s">
        <v>82</v>
      </c>
      <c r="F1480" s="15" t="str">
        <f aca="false">IF(C1480&gt;=J1480,"ja","nein")</f>
        <v>nein</v>
      </c>
      <c r="G1480" s="15" t="str">
        <f aca="false">IF(C1480&gt;=K1480,"ja","nein")</f>
        <v>nein</v>
      </c>
      <c r="H1480" s="15" t="str">
        <f aca="false">IF(C1480&gt;=L1480,"ja","nein")</f>
        <v>nein</v>
      </c>
      <c r="I1480" s="15" t="str">
        <f aca="false">IF(C1480&gt;=M1480,"ja","nein")</f>
        <v>nein</v>
      </c>
      <c r="J1480" s="15" t="n">
        <f aca="false">ROUND(Annahmen!$K$35*(1+Annahmen!$B$20*D1480/1000),0)</f>
        <v>921</v>
      </c>
      <c r="K1480" s="15" t="n">
        <f aca="false">ROUND(Annahmen!$K$36*(1+Annahmen!$B$20*D1480/1000),0)</f>
        <v>1196</v>
      </c>
      <c r="L1480" s="15" t="n">
        <f aca="false">ROUND(Annahmen!$K$37*(1+Annahmen!$B$20*D1480/1000),0)</f>
        <v>1222</v>
      </c>
      <c r="M1480" s="15" t="n">
        <f aca="false">ROUND(Annahmen!$K$38*(1+Annahmen!$B$20*D1480/1000),0)</f>
        <v>1222</v>
      </c>
      <c r="N1480" s="16" t="s">
        <v>102</v>
      </c>
    </row>
    <row r="1481" customFormat="false" ht="15" hidden="false" customHeight="false" outlineLevel="0" collapsed="false">
      <c r="A1481" s="13" t="s">
        <v>3007</v>
      </c>
      <c r="B1481" s="14" t="s">
        <v>3008</v>
      </c>
      <c r="C1481" s="15" t="n">
        <v>785</v>
      </c>
      <c r="D1481" s="15" t="n">
        <v>2283</v>
      </c>
      <c r="E1481" s="13" t="s">
        <v>82</v>
      </c>
      <c r="F1481" s="15" t="str">
        <f aca="false">IF(C1481&gt;=J1481,"ja","nein")</f>
        <v>nein</v>
      </c>
      <c r="G1481" s="15" t="str">
        <f aca="false">IF(C1481&gt;=K1481,"ja","nein")</f>
        <v>nein</v>
      </c>
      <c r="H1481" s="15" t="str">
        <f aca="false">IF(C1481&gt;=L1481,"ja","nein")</f>
        <v>nein</v>
      </c>
      <c r="I1481" s="15" t="str">
        <f aca="false">IF(C1481&gt;=M1481,"ja","nein")</f>
        <v>nein</v>
      </c>
      <c r="J1481" s="15" t="n">
        <f aca="false">ROUND(Annahmen!$K$35*(1+Annahmen!$B$20*D1481/1000),0)</f>
        <v>1013</v>
      </c>
      <c r="K1481" s="15" t="n">
        <f aca="false">ROUND(Annahmen!$K$36*(1+Annahmen!$B$20*D1481/1000),0)</f>
        <v>1315</v>
      </c>
      <c r="L1481" s="15" t="n">
        <f aca="false">ROUND(Annahmen!$K$37*(1+Annahmen!$B$20*D1481/1000),0)</f>
        <v>1344</v>
      </c>
      <c r="M1481" s="15" t="n">
        <f aca="false">ROUND(Annahmen!$K$38*(1+Annahmen!$B$20*D1481/1000),0)</f>
        <v>1344</v>
      </c>
      <c r="N1481" s="16" t="s">
        <v>102</v>
      </c>
    </row>
    <row r="1482" customFormat="false" ht="15" hidden="false" customHeight="false" outlineLevel="0" collapsed="false">
      <c r="A1482" s="13" t="s">
        <v>3009</v>
      </c>
      <c r="B1482" s="14" t="s">
        <v>3010</v>
      </c>
      <c r="C1482" s="15" t="n">
        <v>780</v>
      </c>
      <c r="D1482" s="15" t="n">
        <v>2470</v>
      </c>
      <c r="E1482" s="13" t="s">
        <v>82</v>
      </c>
      <c r="F1482" s="15" t="str">
        <f aca="false">IF(C1482&gt;=J1482,"ja","nein")</f>
        <v>nein</v>
      </c>
      <c r="G1482" s="15" t="str">
        <f aca="false">IF(C1482&gt;=K1482,"ja","nein")</f>
        <v>nein</v>
      </c>
      <c r="H1482" s="15" t="str">
        <f aca="false">IF(C1482&gt;=L1482,"ja","nein")</f>
        <v>nein</v>
      </c>
      <c r="I1482" s="15" t="str">
        <f aca="false">IF(C1482&gt;=M1482,"ja","nein")</f>
        <v>nein</v>
      </c>
      <c r="J1482" s="15" t="n">
        <f aca="false">ROUND(Annahmen!$K$35*(1+Annahmen!$B$20*D1482/1000),0)</f>
        <v>1027</v>
      </c>
      <c r="K1482" s="15" t="n">
        <f aca="false">ROUND(Annahmen!$K$36*(1+Annahmen!$B$20*D1482/1000),0)</f>
        <v>1334</v>
      </c>
      <c r="L1482" s="15" t="n">
        <f aca="false">ROUND(Annahmen!$K$37*(1+Annahmen!$B$20*D1482/1000),0)</f>
        <v>1363</v>
      </c>
      <c r="M1482" s="15" t="n">
        <f aca="false">ROUND(Annahmen!$K$38*(1+Annahmen!$B$20*D1482/1000),0)</f>
        <v>1363</v>
      </c>
      <c r="N1482" s="16" t="s">
        <v>102</v>
      </c>
    </row>
    <row r="1483" customFormat="false" ht="15" hidden="false" customHeight="false" outlineLevel="0" collapsed="false">
      <c r="A1483" s="13" t="s">
        <v>3011</v>
      </c>
      <c r="B1483" s="14" t="s">
        <v>3012</v>
      </c>
      <c r="C1483" s="15" t="n">
        <v>750</v>
      </c>
      <c r="D1483" s="15" t="n">
        <v>2198</v>
      </c>
      <c r="E1483" s="13" t="s">
        <v>82</v>
      </c>
      <c r="F1483" s="15" t="str">
        <f aca="false">IF(C1483&gt;=J1483,"ja","nein")</f>
        <v>nein</v>
      </c>
      <c r="G1483" s="15" t="str">
        <f aca="false">IF(C1483&gt;=K1483,"ja","nein")</f>
        <v>nein</v>
      </c>
      <c r="H1483" s="15" t="str">
        <f aca="false">IF(C1483&gt;=L1483,"ja","nein")</f>
        <v>nein</v>
      </c>
      <c r="I1483" s="15" t="str">
        <f aca="false">IF(C1483&gt;=M1483,"ja","nein")</f>
        <v>nein</v>
      </c>
      <c r="J1483" s="15" t="n">
        <f aca="false">ROUND(Annahmen!$K$35*(1+Annahmen!$B$20*D1483/1000),0)</f>
        <v>1006</v>
      </c>
      <c r="K1483" s="15" t="n">
        <f aca="false">ROUND(Annahmen!$K$36*(1+Annahmen!$B$20*D1483/1000),0)</f>
        <v>1307</v>
      </c>
      <c r="L1483" s="15" t="n">
        <f aca="false">ROUND(Annahmen!$K$37*(1+Annahmen!$B$20*D1483/1000),0)</f>
        <v>1336</v>
      </c>
      <c r="M1483" s="15" t="n">
        <f aca="false">ROUND(Annahmen!$K$38*(1+Annahmen!$B$20*D1483/1000),0)</f>
        <v>1336</v>
      </c>
      <c r="N1483" s="16" t="s">
        <v>102</v>
      </c>
    </row>
    <row r="1484" customFormat="false" ht="15" hidden="false" customHeight="false" outlineLevel="0" collapsed="false">
      <c r="A1484" s="13" t="s">
        <v>3013</v>
      </c>
      <c r="B1484" s="14" t="s">
        <v>3014</v>
      </c>
      <c r="C1484" s="15" t="n">
        <v>743</v>
      </c>
      <c r="D1484" s="15" t="n">
        <v>1378</v>
      </c>
      <c r="E1484" s="13" t="s">
        <v>82</v>
      </c>
      <c r="F1484" s="15" t="str">
        <f aca="false">IF(C1484&gt;=J1484,"ja","nein")</f>
        <v>nein</v>
      </c>
      <c r="G1484" s="15" t="str">
        <f aca="false">IF(C1484&gt;=K1484,"ja","nein")</f>
        <v>nein</v>
      </c>
      <c r="H1484" s="15" t="str">
        <f aca="false">IF(C1484&gt;=L1484,"ja","nein")</f>
        <v>nein</v>
      </c>
      <c r="I1484" s="15" t="str">
        <f aca="false">IF(C1484&gt;=M1484,"ja","nein")</f>
        <v>nein</v>
      </c>
      <c r="J1484" s="15" t="n">
        <f aca="false">ROUND(Annahmen!$K$35*(1+Annahmen!$B$20*D1484/1000),0)</f>
        <v>944</v>
      </c>
      <c r="K1484" s="15" t="n">
        <f aca="false">ROUND(Annahmen!$K$36*(1+Annahmen!$B$20*D1484/1000),0)</f>
        <v>1226</v>
      </c>
      <c r="L1484" s="15" t="n">
        <f aca="false">ROUND(Annahmen!$K$37*(1+Annahmen!$B$20*D1484/1000),0)</f>
        <v>1253</v>
      </c>
      <c r="M1484" s="15" t="n">
        <f aca="false">ROUND(Annahmen!$K$38*(1+Annahmen!$B$20*D1484/1000),0)</f>
        <v>1253</v>
      </c>
      <c r="N1484" s="16" t="s">
        <v>102</v>
      </c>
    </row>
    <row r="1485" customFormat="false" ht="15" hidden="false" customHeight="false" outlineLevel="0" collapsed="false">
      <c r="A1485" s="13" t="s">
        <v>3015</v>
      </c>
      <c r="B1485" s="14" t="s">
        <v>3016</v>
      </c>
      <c r="C1485" s="15" t="n">
        <v>730</v>
      </c>
      <c r="D1485" s="15" t="n">
        <v>2142</v>
      </c>
      <c r="E1485" s="13" t="s">
        <v>82</v>
      </c>
      <c r="F1485" s="15" t="str">
        <f aca="false">IF(C1485&gt;=J1485,"ja","nein")</f>
        <v>nein</v>
      </c>
      <c r="G1485" s="15" t="str">
        <f aca="false">IF(C1485&gt;=K1485,"ja","nein")</f>
        <v>nein</v>
      </c>
      <c r="H1485" s="15" t="str">
        <f aca="false">IF(C1485&gt;=L1485,"ja","nein")</f>
        <v>nein</v>
      </c>
      <c r="I1485" s="15" t="str">
        <f aca="false">IF(C1485&gt;=M1485,"ja","nein")</f>
        <v>nein</v>
      </c>
      <c r="J1485" s="15" t="n">
        <f aca="false">ROUND(Annahmen!$K$35*(1+Annahmen!$B$20*D1485/1000),0)</f>
        <v>1002</v>
      </c>
      <c r="K1485" s="15" t="n">
        <f aca="false">ROUND(Annahmen!$K$36*(1+Annahmen!$B$20*D1485/1000),0)</f>
        <v>1301</v>
      </c>
      <c r="L1485" s="15" t="n">
        <f aca="false">ROUND(Annahmen!$K$37*(1+Annahmen!$B$20*D1485/1000),0)</f>
        <v>1330</v>
      </c>
      <c r="M1485" s="15" t="n">
        <f aca="false">ROUND(Annahmen!$K$38*(1+Annahmen!$B$20*D1485/1000),0)</f>
        <v>1330</v>
      </c>
      <c r="N1485" s="16" t="s">
        <v>102</v>
      </c>
    </row>
    <row r="1486" customFormat="false" ht="15" hidden="false" customHeight="false" outlineLevel="0" collapsed="false">
      <c r="A1486" s="13" t="s">
        <v>3017</v>
      </c>
      <c r="B1486" s="14" t="s">
        <v>3018</v>
      </c>
      <c r="C1486" s="15" t="n">
        <v>700</v>
      </c>
      <c r="D1486" s="15" t="n">
        <v>830</v>
      </c>
      <c r="E1486" s="13" t="s">
        <v>82</v>
      </c>
      <c r="F1486" s="15" t="str">
        <f aca="false">IF(C1486&gt;=J1486,"ja","nein")</f>
        <v>nein</v>
      </c>
      <c r="G1486" s="15" t="str">
        <f aca="false">IF(C1486&gt;=K1486,"ja","nein")</f>
        <v>nein</v>
      </c>
      <c r="H1486" s="15" t="str">
        <f aca="false">IF(C1486&gt;=L1486,"ja","nein")</f>
        <v>nein</v>
      </c>
      <c r="I1486" s="15" t="str">
        <f aca="false">IF(C1486&gt;=M1486,"ja","nein")</f>
        <v>nein</v>
      </c>
      <c r="J1486" s="15" t="n">
        <f aca="false">ROUND(Annahmen!$K$35*(1+Annahmen!$B$20*D1486/1000),0)</f>
        <v>903</v>
      </c>
      <c r="K1486" s="15" t="n">
        <f aca="false">ROUND(Annahmen!$K$36*(1+Annahmen!$B$20*D1486/1000),0)</f>
        <v>1172</v>
      </c>
      <c r="L1486" s="15" t="n">
        <f aca="false">ROUND(Annahmen!$K$37*(1+Annahmen!$B$20*D1486/1000),0)</f>
        <v>1198</v>
      </c>
      <c r="M1486" s="15" t="n">
        <f aca="false">ROUND(Annahmen!$K$38*(1+Annahmen!$B$20*D1486/1000),0)</f>
        <v>1198</v>
      </c>
      <c r="N1486" s="16" t="s">
        <v>102</v>
      </c>
    </row>
    <row r="1487" customFormat="false" ht="15" hidden="false" customHeight="false" outlineLevel="0" collapsed="false">
      <c r="A1487" s="13" t="s">
        <v>3019</v>
      </c>
      <c r="B1487" s="14" t="s">
        <v>3020</v>
      </c>
      <c r="C1487" s="15" t="n">
        <v>679</v>
      </c>
      <c r="D1487" s="15" t="n">
        <v>2806</v>
      </c>
      <c r="E1487" s="13" t="s">
        <v>82</v>
      </c>
      <c r="F1487" s="15" t="str">
        <f aca="false">IF(C1487&gt;=J1487,"ja","nein")</f>
        <v>nein</v>
      </c>
      <c r="G1487" s="15" t="str">
        <f aca="false">IF(C1487&gt;=K1487,"ja","nein")</f>
        <v>nein</v>
      </c>
      <c r="H1487" s="15" t="str">
        <f aca="false">IF(C1487&gt;=L1487,"ja","nein")</f>
        <v>nein</v>
      </c>
      <c r="I1487" s="15" t="str">
        <f aca="false">IF(C1487&gt;=M1487,"ja","nein")</f>
        <v>nein</v>
      </c>
      <c r="J1487" s="15" t="n">
        <f aca="false">ROUND(Annahmen!$K$35*(1+Annahmen!$B$20*D1487/1000),0)</f>
        <v>1052</v>
      </c>
      <c r="K1487" s="15" t="n">
        <f aca="false">ROUND(Annahmen!$K$36*(1+Annahmen!$B$20*D1487/1000),0)</f>
        <v>1367</v>
      </c>
      <c r="L1487" s="15" t="n">
        <f aca="false">ROUND(Annahmen!$K$37*(1+Annahmen!$B$20*D1487/1000),0)</f>
        <v>1397</v>
      </c>
      <c r="M1487" s="15" t="n">
        <f aca="false">ROUND(Annahmen!$K$38*(1+Annahmen!$B$20*D1487/1000),0)</f>
        <v>1397</v>
      </c>
      <c r="N1487" s="16" t="s">
        <v>102</v>
      </c>
    </row>
    <row r="1488" customFormat="false" ht="15" hidden="false" customHeight="false" outlineLevel="0" collapsed="false">
      <c r="A1488" s="13" t="s">
        <v>3021</v>
      </c>
      <c r="B1488" s="14" t="s">
        <v>3022</v>
      </c>
      <c r="C1488" s="15" t="n">
        <v>630</v>
      </c>
      <c r="D1488" s="15" t="n">
        <v>1352</v>
      </c>
      <c r="E1488" s="13" t="s">
        <v>82</v>
      </c>
      <c r="F1488" s="15" t="str">
        <f aca="false">IF(C1488&gt;=J1488,"ja","nein")</f>
        <v>nein</v>
      </c>
      <c r="G1488" s="15" t="str">
        <f aca="false">IF(C1488&gt;=K1488,"ja","nein")</f>
        <v>nein</v>
      </c>
      <c r="H1488" s="15" t="str">
        <f aca="false">IF(C1488&gt;=L1488,"ja","nein")</f>
        <v>nein</v>
      </c>
      <c r="I1488" s="15" t="str">
        <f aca="false">IF(C1488&gt;=M1488,"ja","nein")</f>
        <v>nein</v>
      </c>
      <c r="J1488" s="15" t="n">
        <f aca="false">ROUND(Annahmen!$K$35*(1+Annahmen!$B$20*D1488/1000),0)</f>
        <v>942</v>
      </c>
      <c r="K1488" s="15" t="n">
        <f aca="false">ROUND(Annahmen!$K$36*(1+Annahmen!$B$20*D1488/1000),0)</f>
        <v>1224</v>
      </c>
      <c r="L1488" s="15" t="n">
        <f aca="false">ROUND(Annahmen!$K$37*(1+Annahmen!$B$20*D1488/1000),0)</f>
        <v>1251</v>
      </c>
      <c r="M1488" s="15" t="n">
        <f aca="false">ROUND(Annahmen!$K$38*(1+Annahmen!$B$20*D1488/1000),0)</f>
        <v>1251</v>
      </c>
      <c r="N1488" s="16" t="s">
        <v>102</v>
      </c>
    </row>
    <row r="1489" customFormat="false" ht="15" hidden="false" customHeight="false" outlineLevel="0" collapsed="false">
      <c r="A1489" s="13" t="s">
        <v>3023</v>
      </c>
      <c r="B1489" s="14" t="s">
        <v>3024</v>
      </c>
      <c r="C1489" s="15" t="n">
        <v>550</v>
      </c>
      <c r="D1489" s="15" t="n">
        <v>1670</v>
      </c>
      <c r="E1489" s="13" t="s">
        <v>82</v>
      </c>
      <c r="F1489" s="15" t="str">
        <f aca="false">IF(C1489&gt;=J1489,"ja","nein")</f>
        <v>nein</v>
      </c>
      <c r="G1489" s="15" t="str">
        <f aca="false">IF(C1489&gt;=K1489,"ja","nein")</f>
        <v>nein</v>
      </c>
      <c r="H1489" s="15" t="str">
        <f aca="false">IF(C1489&gt;=L1489,"ja","nein")</f>
        <v>nein</v>
      </c>
      <c r="I1489" s="15" t="str">
        <f aca="false">IF(C1489&gt;=M1489,"ja","nein")</f>
        <v>nein</v>
      </c>
      <c r="J1489" s="15" t="n">
        <f aca="false">ROUND(Annahmen!$K$35*(1+Annahmen!$B$20*D1489/1000),0)</f>
        <v>966</v>
      </c>
      <c r="K1489" s="15" t="n">
        <f aca="false">ROUND(Annahmen!$K$36*(1+Annahmen!$B$20*D1489/1000),0)</f>
        <v>1255</v>
      </c>
      <c r="L1489" s="15" t="n">
        <f aca="false">ROUND(Annahmen!$K$37*(1+Annahmen!$B$20*D1489/1000),0)</f>
        <v>1283</v>
      </c>
      <c r="M1489" s="15" t="n">
        <f aca="false">ROUND(Annahmen!$K$38*(1+Annahmen!$B$20*D1489/1000),0)</f>
        <v>1283</v>
      </c>
      <c r="N1489" s="16" t="s">
        <v>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2026-07-24T03:57:12Z</dcterms:created>
  <dc:creator>openpyxl</dc:creator>
  <dc:description/>
  <dc:language>en-US</dc:language>
  <cp:lastModifiedBy/>
  <dcterms:modified xsi:type="dcterms:W3CDTF">2026-07-24T03:57:13Z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